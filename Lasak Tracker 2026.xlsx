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olled" sheetId="1" r:id="rId5"/>
    <sheet state="visible" name="Accel_Old Leads" sheetId="2" r:id="rId6"/>
    <sheet state="visible" name="Accel 1301" sheetId="3" r:id="rId7"/>
    <sheet state="visible" name="Lasak 2501" sheetId="4" r:id="rId8"/>
    <sheet state="visible" name="Lasak 1001 " sheetId="5" r:id="rId9"/>
    <sheet state="visible" name="Lakshman" sheetId="6" r:id="rId10"/>
    <sheet state="visible" name="Lead 0602" sheetId="7" r:id="rId11"/>
    <sheet state="visible" name="April 2026" sheetId="8" r:id="rId12"/>
    <sheet state="visible" name="May 2026" sheetId="9" r:id="rId13"/>
    <sheet state="visible" name="June 2026" sheetId="10" r:id="rId14"/>
  </sheets>
  <definedNames>
    <definedName hidden="1" localSheetId="0" name="_xlnm._FilterDatabase">Enrolled!$A$1:$AA$80</definedName>
    <definedName hidden="1" localSheetId="1" name="_xlnm._FilterDatabase">'Accel_Old Leads'!$A$1:$AE$130</definedName>
    <definedName hidden="1" localSheetId="3" name="_xlnm._FilterDatabase">'Lasak 2501'!$A$1:$AA$98</definedName>
    <definedName hidden="1" localSheetId="7" name="_xlnm._FilterDatabase">'April 2026'!$A$1:$O$73</definedName>
    <definedName hidden="1" localSheetId="5" name="Z_C8B869FA_A204_480B_8886_9024D02247D0_.wvu.FilterData">Lakshman!$A$1:$Y$119</definedName>
    <definedName hidden="1" localSheetId="5" name="Z_C8BE43EC_D212_45BE_B31F_C1A890E8865C_.wvu.FilterData">Lakshman!$A$1:$Y$119</definedName>
    <definedName hidden="1" localSheetId="5" name="Z_9993A64D_C4B7_429E_A71B_4D995CF579ED_.wvu.FilterData">Lakshman!$A$1:$Y$116</definedName>
    <definedName hidden="1" localSheetId="5" name="Z_C10F55E0_04D8_48F9_A713_A1FD14DBACD2_.wvu.FilterData">Lakshman!$A$1:$Y$119</definedName>
    <definedName hidden="1" localSheetId="5" name="Z_DFF5EF81_5EB8_4039_9918_F7870C0DE09C_.wvu.FilterData">Lakshman!$F$106:$F$107</definedName>
  </definedNames>
  <calcPr/>
  <customWorkbookViews>
    <customWorkbookView activeSheetId="0" maximized="1" windowHeight="0" windowWidth="0" guid="{9993A64D-C4B7-429E-A71B-4D995CF579ED}" name="Filter 4"/>
    <customWorkbookView activeSheetId="0" maximized="1" windowHeight="0" windowWidth="0" guid="{C8B869FA-A204-480B-8886-9024D02247D0}" name="Filter 2"/>
    <customWorkbookView activeSheetId="0" maximized="1" windowHeight="0" windowWidth="0" guid="{C10F55E0-04D8-48F9-A713-A1FD14DBACD2}" name="Filter 3"/>
    <customWorkbookView activeSheetId="0" maximized="1" windowHeight="0" windowWidth="0" guid="{C8BE43EC-D212-45BE-B31F-C1A890E8865C}" name="Filter 1"/>
    <customWorkbookView activeSheetId="0" maximized="1" windowHeight="0" windowWidth="0" guid="{DFF5EF81-5EB8-4039-9918-F7870C0DE09C}" name="lakshman"/>
  </customWorkbookViews>
</workbook>
</file>

<file path=xl/sharedStrings.xml><?xml version="1.0" encoding="utf-8"?>
<sst xmlns="http://schemas.openxmlformats.org/spreadsheetml/2006/main" count="9872" uniqueCount="3105">
  <si>
    <t>ISM</t>
  </si>
  <si>
    <t>NAME</t>
  </si>
  <si>
    <t>NUMBER</t>
  </si>
  <si>
    <t>AD NO</t>
  </si>
  <si>
    <t xml:space="preserve"> </t>
  </si>
  <si>
    <t>COURSE</t>
  </si>
  <si>
    <t>STATUS</t>
  </si>
  <si>
    <t>FEES</t>
  </si>
  <si>
    <t>PAID</t>
  </si>
  <si>
    <t>ON</t>
  </si>
  <si>
    <t>BALANCE</t>
  </si>
  <si>
    <t>BALANCE STATUS</t>
  </si>
  <si>
    <t>EMI/INSTALLMENT</t>
  </si>
  <si>
    <t>DISBURSED/ DUE</t>
  </si>
  <si>
    <t>ON ACC</t>
  </si>
  <si>
    <t>BRANCH</t>
  </si>
  <si>
    <t>MODE</t>
  </si>
  <si>
    <t>TIMING</t>
  </si>
  <si>
    <t>TRAINER</t>
  </si>
  <si>
    <t>START DATE</t>
  </si>
  <si>
    <t>END DATE</t>
  </si>
  <si>
    <t>Completion Status</t>
  </si>
  <si>
    <t>Dustin</t>
  </si>
  <si>
    <t>PAVITHRAN</t>
  </si>
  <si>
    <t xml:space="preserve"> LTIEC0120</t>
  </si>
  <si>
    <t>Pavithran0807@gmail.com</t>
  </si>
  <si>
    <t>ST</t>
  </si>
  <si>
    <t>Enrolled_Registered</t>
  </si>
  <si>
    <t>dropped so 0 balance</t>
  </si>
  <si>
    <t>BAJAJ</t>
  </si>
  <si>
    <t>Head Office</t>
  </si>
  <si>
    <t>ONLINE</t>
  </si>
  <si>
    <t>SASI</t>
  </si>
  <si>
    <t>27/01/2026</t>
  </si>
  <si>
    <t>Dropped</t>
  </si>
  <si>
    <t>BHAIRAV</t>
  </si>
  <si>
    <t xml:space="preserve"> LTIEC0121</t>
  </si>
  <si>
    <t>bairavaganth000@gmail.com</t>
  </si>
  <si>
    <t>DA</t>
  </si>
  <si>
    <t xml:space="preserve">Applied EMI 30/01 &amp; rejected </t>
  </si>
  <si>
    <t>BRINDHA</t>
  </si>
  <si>
    <t>29/01/2026</t>
  </si>
  <si>
    <t>BEESHMA / PAISA</t>
  </si>
  <si>
    <t xml:space="preserve"> LTIEC0122</t>
  </si>
  <si>
    <t>beeshece@gmail.com</t>
  </si>
  <si>
    <t>P-FSD</t>
  </si>
  <si>
    <t>Enrolled_EMI</t>
  </si>
  <si>
    <t>Applied in bajaj 31/01 &amp; rejected , applied with his wife docs disbursed 16/02</t>
  </si>
  <si>
    <t>SHAMILI</t>
  </si>
  <si>
    <t>On-Going</t>
  </si>
  <si>
    <t>VINOTH</t>
  </si>
  <si>
    <t xml:space="preserve"> LTIEC0123</t>
  </si>
  <si>
    <t>vineeshpestcontrol@gmail.com</t>
  </si>
  <si>
    <t>Civil Combo</t>
  </si>
  <si>
    <t>Enrolled_Fully Paid</t>
  </si>
  <si>
    <t>-Nill-</t>
  </si>
  <si>
    <t>UPFRONT</t>
  </si>
  <si>
    <t>OFFLINE</t>
  </si>
  <si>
    <t>9 am to 10 am</t>
  </si>
  <si>
    <t>KARTHIK</t>
  </si>
  <si>
    <t>Completed</t>
  </si>
  <si>
    <t>PANJUMARIMUTHU</t>
  </si>
  <si>
    <t xml:space="preserve"> LTIEC0124</t>
  </si>
  <si>
    <t>Panjunatarajan@gmail.com</t>
  </si>
  <si>
    <t xml:space="preserve">-Nill- dropped </t>
  </si>
  <si>
    <t>Drop out- he can't attend the class</t>
  </si>
  <si>
    <t>SIBERAJ</t>
  </si>
  <si>
    <t xml:space="preserve"> LTIEC0125</t>
  </si>
  <si>
    <t>sibesanjai550@gmail.com</t>
  </si>
  <si>
    <t>Mech Combo</t>
  </si>
  <si>
    <t>will pay balance on 15/02 10k &amp; 10k on 15/03 , paid 10k on 16/02</t>
  </si>
  <si>
    <t>INSTALLMENT</t>
  </si>
  <si>
    <t>GANDHIPURAM</t>
  </si>
  <si>
    <t>2 TO 5 PM</t>
  </si>
  <si>
    <t>ELAVARASAN</t>
  </si>
  <si>
    <t>VASANTH</t>
  </si>
  <si>
    <t xml:space="preserve"> LTIEC0126</t>
  </si>
  <si>
    <t>pvasanthmgv@gmail.com</t>
  </si>
  <si>
    <t>docs shared for emi &amp; applied 23/02 approved disbursed 04/02</t>
  </si>
  <si>
    <t>KALYANKUMAR N</t>
  </si>
  <si>
    <t xml:space="preserve"> LTIEC0127</t>
  </si>
  <si>
    <t>kalyankumarnagendrakumar@gmail.com</t>
  </si>
  <si>
    <t>Shared doc for emi &amp; approved</t>
  </si>
  <si>
    <t>MANIS</t>
  </si>
  <si>
    <t xml:space="preserve"> LTIEC0128</t>
  </si>
  <si>
    <t>asmanis2003@gmail.com</t>
  </si>
  <si>
    <t>will pay balance on 22/02</t>
  </si>
  <si>
    <t>4 TO 6 PM</t>
  </si>
  <si>
    <t>MITHUN PRASAD</t>
  </si>
  <si>
    <t xml:space="preserve"> LTIEC0129</t>
  </si>
  <si>
    <t>mithoonprasadliv28@gmail.com</t>
  </si>
  <si>
    <t>will pay remaining before 10/02 / cleared balance</t>
  </si>
  <si>
    <t>12 TO 1 PM</t>
  </si>
  <si>
    <t>PRAKASH KANNAN</t>
  </si>
  <si>
    <t xml:space="preserve"> LTIEC0130</t>
  </si>
  <si>
    <t>Prakashkannan245@gmail.com</t>
  </si>
  <si>
    <t>EMI Rejected in bajaj and processing in Flashaid / FLASHAID PROCESSED FOR 4MONTHS</t>
  </si>
  <si>
    <t>FLASHAID</t>
  </si>
  <si>
    <t>Pending</t>
  </si>
  <si>
    <t>Laptop Purchase ku waiting</t>
  </si>
  <si>
    <t>DAMODARA PRASATH</t>
  </si>
  <si>
    <t xml:space="preserve"> LTIEC0131</t>
  </si>
  <si>
    <t>n.damodaraprasath45@gmail.com</t>
  </si>
  <si>
    <t xml:space="preserve">CIVIL </t>
  </si>
  <si>
    <t>Docs shared approved &amp; disbursed 04/02</t>
  </si>
  <si>
    <t>11 am to 1 pm</t>
  </si>
  <si>
    <t>BADMANATHAN</t>
  </si>
  <si>
    <t xml:space="preserve"> LTIEC0133</t>
  </si>
  <si>
    <t>SOLIDWORKS</t>
  </si>
  <si>
    <t>6.30 PM TO 7.30 PM</t>
  </si>
  <si>
    <t>SARAVANA KARTHICK</t>
  </si>
  <si>
    <t xml:space="preserve"> LTIEC0132</t>
  </si>
  <si>
    <t>samkarthick2905@gmail.com</t>
  </si>
  <si>
    <t>Enrolled_Installment</t>
  </si>
  <si>
    <t xml:space="preserve">Docs shared in bajaj but rejected paid 15k remaining date will be updated when he starts 1st class , paid 10k 14/03, paid 17k 30/03 </t>
  </si>
  <si>
    <t>11 TO 12 AM</t>
  </si>
  <si>
    <t>DHARANEESH</t>
  </si>
  <si>
    <t xml:space="preserve"> LTIEC0134</t>
  </si>
  <si>
    <t>dharaneesh20024@gmail.com</t>
  </si>
  <si>
    <t>will pay remaining before next month end or 30days , paid 15k 31/03 , Paid 10k 16/04</t>
  </si>
  <si>
    <t>10 TO 11 AM</t>
  </si>
  <si>
    <t>VIJAY</t>
  </si>
  <si>
    <t xml:space="preserve"> LTIEC0135</t>
  </si>
  <si>
    <t>Vijayjk8078@gmail.com</t>
  </si>
  <si>
    <t>will pay reminaing next month 14/03</t>
  </si>
  <si>
    <t xml:space="preserve">5 pm to 7 pm </t>
  </si>
  <si>
    <t>KOWSIK / GARUDA</t>
  </si>
  <si>
    <t xml:space="preserve"> LTIEC0136</t>
  </si>
  <si>
    <t>kowsiksri@gmail.com</t>
  </si>
  <si>
    <t>will pay remianing next month twice a month / paid 10k 31/03 / PAID 10K 15/04</t>
  </si>
  <si>
    <t xml:space="preserve">4 pm to 6 pm </t>
  </si>
  <si>
    <t>RAJI</t>
  </si>
  <si>
    <t xml:space="preserve"> LTIEC0137</t>
  </si>
  <si>
    <t>rajeswarinisha4@gmail.com</t>
  </si>
  <si>
    <t>she paid 15k remaining within 15days</t>
  </si>
  <si>
    <t>2 TO 4 PM</t>
  </si>
  <si>
    <t>DOMINIC KRISH</t>
  </si>
  <si>
    <t xml:space="preserve"> LTIEC0138</t>
  </si>
  <si>
    <t>dominicy8@gmail.com</t>
  </si>
  <si>
    <t>processed in flashaid</t>
  </si>
  <si>
    <t xml:space="preserve">3 pm to 4 pm </t>
  </si>
  <si>
    <t>SIVARANJANI</t>
  </si>
  <si>
    <t xml:space="preserve"> LTIEC0139</t>
  </si>
  <si>
    <t>ranjanichandran2004@gmail.com</t>
  </si>
  <si>
    <t>Applied and approved 25/02 , she will pay downpayment next month 5th PAID 3500 27/02, paid 2k 31/03</t>
  </si>
  <si>
    <t>5 to 6pm</t>
  </si>
  <si>
    <t>Lakshmanan</t>
  </si>
  <si>
    <t>STANY JOSE</t>
  </si>
  <si>
    <t xml:space="preserve"> LTIEC0140</t>
  </si>
  <si>
    <t>stany13594@gmail.com</t>
  </si>
  <si>
    <t>HE WILL PAY dp 7K BY 7or8TH MARCH , paid 7k 09/03</t>
  </si>
  <si>
    <t>8 pm to 9 pm</t>
  </si>
  <si>
    <t>SUDHARSAN</t>
  </si>
  <si>
    <t xml:space="preserve"> LTIEC0141</t>
  </si>
  <si>
    <t>gpsundhar001@gmail.com</t>
  </si>
  <si>
    <t>will pay remaining by 02/03 , paid 3k cash 12/03 to karthik bro</t>
  </si>
  <si>
    <t xml:space="preserve">2 pm to 3 pm </t>
  </si>
  <si>
    <t>Name</t>
  </si>
  <si>
    <t>Ins/DP</t>
  </si>
  <si>
    <t>Amount</t>
  </si>
  <si>
    <t xml:space="preserve">Balance </t>
  </si>
  <si>
    <t>YUVANESAN</t>
  </si>
  <si>
    <t xml:space="preserve"> LTIEC0142</t>
  </si>
  <si>
    <t>yuvanesan14@gmail.com</t>
  </si>
  <si>
    <t>paid 3k cash and remaining within month end , HE WILL PROCESS EMI BY 21/05</t>
  </si>
  <si>
    <t>DOWNPAYMENT</t>
  </si>
  <si>
    <t>SRIRAM KARTHICK</t>
  </si>
  <si>
    <t xml:space="preserve"> LTIEC0143</t>
  </si>
  <si>
    <t>sriramkarthic2003@gmail.com</t>
  </si>
  <si>
    <t>AutoCAD</t>
  </si>
  <si>
    <t>Fully paid 10/03</t>
  </si>
  <si>
    <t>NOT Coming</t>
  </si>
  <si>
    <t>PENDING FEES</t>
  </si>
  <si>
    <t>DHANYA</t>
  </si>
  <si>
    <t xml:space="preserve"> LTIEC0144</t>
  </si>
  <si>
    <t>ammu031105@gmail.com</t>
  </si>
  <si>
    <t>SARAVANA</t>
  </si>
  <si>
    <t>GOPINATH</t>
  </si>
  <si>
    <t xml:space="preserve"> LTIEC0145</t>
  </si>
  <si>
    <t>gopi.rgp1998@gmaip.com</t>
  </si>
  <si>
    <t>DM</t>
  </si>
  <si>
    <t>Remaining he will pay by saturday 14/03 dropped due to health issue 30/04</t>
  </si>
  <si>
    <t>SHANKAR</t>
  </si>
  <si>
    <t xml:space="preserve"> LTIEC0146</t>
  </si>
  <si>
    <t>saivikram6961@gmail.com</t>
  </si>
  <si>
    <t>CYBER-S</t>
  </si>
  <si>
    <t>he will pay remaining within 30days</t>
  </si>
  <si>
    <t>GURUPRAKASH</t>
  </si>
  <si>
    <t xml:space="preserve"> LTIEC0147</t>
  </si>
  <si>
    <t>guruprakashds1@gmail.com</t>
  </si>
  <si>
    <t>Scrum Master</t>
  </si>
  <si>
    <t>Fully paid 13/03</t>
  </si>
  <si>
    <t>DOMINIC</t>
  </si>
  <si>
    <t>VIJAYENDRAN SUNDARARAJAN</t>
  </si>
  <si>
    <t xml:space="preserve"> LTIEC0148</t>
  </si>
  <si>
    <t>kssvijay62@gmail.com</t>
  </si>
  <si>
    <t>he paid 10k remianing will clear within 30days , he will pay remaining by april 30th</t>
  </si>
  <si>
    <t>10:30 AM TO 11:30 AM</t>
  </si>
  <si>
    <t>KOWSHIK</t>
  </si>
  <si>
    <t>SIDDHARTH</t>
  </si>
  <si>
    <t xml:space="preserve"> LTIEC0149</t>
  </si>
  <si>
    <t>Siddu.p114@gmail.com</t>
  </si>
  <si>
    <t xml:space="preserve">he paid 5k remaining he will confirm </t>
  </si>
  <si>
    <t>RAMASAMY</t>
  </si>
  <si>
    <t xml:space="preserve"> LTIEC0150</t>
  </si>
  <si>
    <t>Kvpramasamy@gmail.com</t>
  </si>
  <si>
    <t xml:space="preserve">      </t>
  </si>
  <si>
    <t xml:space="preserve">PAID 7K REMAINING WITHIN 15DAYS PAID 5K BY MAY 2ND </t>
  </si>
  <si>
    <t>1:30 to 2:30pm</t>
  </si>
  <si>
    <t>DEVAKUMAR</t>
  </si>
  <si>
    <t xml:space="preserve"> LTIEC0151</t>
  </si>
  <si>
    <t>devakumarhomebook@gmail.com</t>
  </si>
  <si>
    <t xml:space="preserve">PAID 10K REMAINING WITHIN 30DAYS, HE PAID 5K 19/05 REMAINING BY 28TH </t>
  </si>
  <si>
    <t xml:space="preserve">8.00 pm to 9.00 pm </t>
  </si>
  <si>
    <t>ABINANDHAN</t>
  </si>
  <si>
    <t xml:space="preserve"> LTIEC0152</t>
  </si>
  <si>
    <t>abinandhan88838@gmail.com</t>
  </si>
  <si>
    <t>PAID 5999 AND REMAINING WITHIN 30DAYS, paid 9k &amp; 1k cash 12/05 remaining within 10days, Paid 10k 23/05</t>
  </si>
  <si>
    <t xml:space="preserve">10.30 am to 12.00 pm </t>
  </si>
  <si>
    <t>ANITHA P</t>
  </si>
  <si>
    <t xml:space="preserve"> LTIEC0153</t>
  </si>
  <si>
    <t>anithajun5@gmail.com</t>
  </si>
  <si>
    <t>PAID 5000 REMAINING 17/04, processed in bajaj approved 25k 27/04, remaining she will pay by next month mid  20/05 PAID 10K BY 17/05 REMAINING SHE SAID BY 2DAYS</t>
  </si>
  <si>
    <t xml:space="preserve">6.00 pm to 7.00 pm </t>
  </si>
  <si>
    <t>Monica</t>
  </si>
  <si>
    <t>Nithish</t>
  </si>
  <si>
    <t>ABIJAI</t>
  </si>
  <si>
    <t xml:space="preserve"> LTIEC0154</t>
  </si>
  <si>
    <t xml:space="preserve"> sureshkumarmanonmani@gmail.com</t>
  </si>
  <si>
    <t>PAID 5K REMAINING ON 20/04</t>
  </si>
  <si>
    <t>DUSTIN</t>
  </si>
  <si>
    <t>PRADEEP</t>
  </si>
  <si>
    <t xml:space="preserve"> LTIEC0155</t>
  </si>
  <si>
    <t>pradeeptm1812@gmail.com</t>
  </si>
  <si>
    <t>paid dp 5k CASH 06/05 processed in bajaj 29/05</t>
  </si>
  <si>
    <t xml:space="preserve">only monday </t>
  </si>
  <si>
    <t>SUBA</t>
  </si>
  <si>
    <t xml:space="preserve"> LTIEC0156</t>
  </si>
  <si>
    <t>subamuthu5597@gmail.com</t>
  </si>
  <si>
    <t>she will pay remaining by 30/05</t>
  </si>
  <si>
    <t>MANOJKUMAR</t>
  </si>
  <si>
    <t xml:space="preserve"> LTIEC0157</t>
  </si>
  <si>
    <t>manojkumarg4657@gmail.com</t>
  </si>
  <si>
    <t>Processed through bajaj 29/05 DP paid 5k</t>
  </si>
  <si>
    <t>10:30 to 11:30am</t>
  </si>
  <si>
    <t>VIJAYENDRAN</t>
  </si>
  <si>
    <t>SUGITHA S</t>
  </si>
  <si>
    <t xml:space="preserve"> LTIEC0159</t>
  </si>
  <si>
    <t>sugithasasi95@gmail.com</t>
  </si>
  <si>
    <t>she paid 5k remaining emi she will process by 05/06</t>
  </si>
  <si>
    <t>2:00pm to 3:00pm</t>
  </si>
  <si>
    <t>SILAMBARASAN</t>
  </si>
  <si>
    <t xml:space="preserve"> LTIEC0160</t>
  </si>
  <si>
    <t>silambarasannk27@gmail.com</t>
  </si>
  <si>
    <t>He paid 5k remaining will pay within 25days 15/06</t>
  </si>
  <si>
    <t>GOKUL P</t>
  </si>
  <si>
    <t xml:space="preserve"> LTIEC0161</t>
  </si>
  <si>
    <t>gokul.palanisamy99@gmail.com</t>
  </si>
  <si>
    <t xml:space="preserve">He paid 2k for registration and remaining will pay by monday -25-05-2026 &amp; paid 20k as a cash and remaining via UPI 23k at 26-05-2026 12.50 pm </t>
  </si>
  <si>
    <t>10:00am to 11:00am</t>
  </si>
  <si>
    <t>ANITHA</t>
  </si>
  <si>
    <t>GOTHAI NATCHIYAR L / CHELLATHAI L</t>
  </si>
  <si>
    <t xml:space="preserve"> LTIEC0162</t>
  </si>
  <si>
    <t>gothainatchiyar13@gmail.com</t>
  </si>
  <si>
    <t>Processed through bajaj DP paid 5k</t>
  </si>
  <si>
    <t>11.00 AM TO 12.30 PM</t>
  </si>
  <si>
    <t>KAVIYARASAN K</t>
  </si>
  <si>
    <t xml:space="preserve"> LTIEC0163</t>
  </si>
  <si>
    <t>Kaviyarasan3724work@gmail.com</t>
  </si>
  <si>
    <t xml:space="preserve">EMI rejected in bajaj, he paid 5k remaining with 30days </t>
  </si>
  <si>
    <t>04:00 PM TO 05:00PM</t>
  </si>
  <si>
    <t>DANSI V</t>
  </si>
  <si>
    <t xml:space="preserve"> LTIEC0164</t>
  </si>
  <si>
    <t>vdansi2003@gmail.com</t>
  </si>
  <si>
    <t>DP 5k paid and she will process EMI by 04/06</t>
  </si>
  <si>
    <t>VEERALAKSHMI K</t>
  </si>
  <si>
    <t xml:space="preserve"> LTIEC0165</t>
  </si>
  <si>
    <t>veeralakshmi12k@gmail.com</t>
  </si>
  <si>
    <t>she paid DP 5k processed in bajaj 25/05</t>
  </si>
  <si>
    <t>JAYA VAISHNAVI MK</t>
  </si>
  <si>
    <t xml:space="preserve"> LTIEC0166</t>
  </si>
  <si>
    <t>vaishnavii.mathi@gmail.com</t>
  </si>
  <si>
    <t>she paid DP 5k remianing docs shared to bajaj 26/05 &amp; approved 27/05</t>
  </si>
  <si>
    <t>BAVITHRAN</t>
  </si>
  <si>
    <t xml:space="preserve"> LTIEC0167</t>
  </si>
  <si>
    <t>bavithran6596@gmail.com</t>
  </si>
  <si>
    <t>CATIA</t>
  </si>
  <si>
    <t>he paid 2k remaining he is visiting office by friday (29th) and will pay 27/05</t>
  </si>
  <si>
    <t xml:space="preserve">SHARMILA </t>
  </si>
  <si>
    <t xml:space="preserve"> LTIEC0168</t>
  </si>
  <si>
    <t>sharmilaofficial12@gmail.com</t>
  </si>
  <si>
    <t>paid DP 6400, processed in bajaj 28/05</t>
  </si>
  <si>
    <t>03:00 PM TO 04:30PM</t>
  </si>
  <si>
    <t>RAJESHWARI G</t>
  </si>
  <si>
    <t xml:space="preserve"> LTIEC0169</t>
  </si>
  <si>
    <t>rajeshwari.siva.analyst@gmail.com</t>
  </si>
  <si>
    <t>Approved 25k and processed in bajaj 28/05 remaining she will pay by 02/06 paid DP 30/05</t>
  </si>
  <si>
    <t>11.30 AM TO 12.30 PM</t>
  </si>
  <si>
    <t>Jayashree</t>
  </si>
  <si>
    <t>SANTHIYA</t>
  </si>
  <si>
    <t xml:space="preserve"> LTIEC0170</t>
  </si>
  <si>
    <t>sandhyathenmozhi@gmail.com</t>
  </si>
  <si>
    <t>27-05-2026</t>
  </si>
  <si>
    <t>She will process EMI by June month</t>
  </si>
  <si>
    <t>INDHUMATHI</t>
  </si>
  <si>
    <t xml:space="preserve"> LTIEC0171</t>
  </si>
  <si>
    <t>She will come june 4 and complete the process</t>
  </si>
  <si>
    <t>DEEPIKA</t>
  </si>
  <si>
    <t xml:space="preserve"> LTIEC0172</t>
  </si>
  <si>
    <t>deepipau9941@gmail.com</t>
  </si>
  <si>
    <t>processed in bajaj dp she will pay by 03/06</t>
  </si>
  <si>
    <t>NIRANJAN</t>
  </si>
  <si>
    <t xml:space="preserve"> LTIEC0173</t>
  </si>
  <si>
    <t xml:space="preserve">keniranjan17@gmail.com </t>
  </si>
  <si>
    <t xml:space="preserve">Remaing he will pay by within 10 days </t>
  </si>
  <si>
    <t xml:space="preserve"> LTIEC0174</t>
  </si>
  <si>
    <t xml:space="preserve"> LTIEC0175</t>
  </si>
  <si>
    <t xml:space="preserve"> LTIEC0176</t>
  </si>
  <si>
    <t xml:space="preserve"> LTIEC0177</t>
  </si>
  <si>
    <t xml:space="preserve"> LTIEC0178</t>
  </si>
  <si>
    <t xml:space="preserve"> LTIEC0179</t>
  </si>
  <si>
    <t xml:space="preserve"> LTIEC0180</t>
  </si>
  <si>
    <t xml:space="preserve"> LTIEC0181</t>
  </si>
  <si>
    <t xml:space="preserve"> LTIEC0182</t>
  </si>
  <si>
    <t xml:space="preserve"> LTIEC0183</t>
  </si>
  <si>
    <t xml:space="preserve"> LTIEC0184</t>
  </si>
  <si>
    <t xml:space="preserve"> LTIEC0185</t>
  </si>
  <si>
    <t xml:space="preserve"> LTIEC0186</t>
  </si>
  <si>
    <t xml:space="preserve"> LTIEC0187</t>
  </si>
  <si>
    <t xml:space="preserve"> LTIEC0188</t>
  </si>
  <si>
    <t xml:space="preserve"> LTIEC0189</t>
  </si>
  <si>
    <t xml:space="preserve"> LTIEC0190</t>
  </si>
  <si>
    <t xml:space="preserve"> LTIEC0191</t>
  </si>
  <si>
    <t xml:space="preserve"> LTIEC0192</t>
  </si>
  <si>
    <t>Mobile Number</t>
  </si>
  <si>
    <t>are_you_interested_in_the_it_course?</t>
  </si>
  <si>
    <t>Date &amp; Time</t>
  </si>
  <si>
    <t>Location</t>
  </si>
  <si>
    <t>Source</t>
  </si>
  <si>
    <t>do_you_want_a_demo_session?_</t>
  </si>
  <si>
    <t>when_do_you_plan_to_start?_</t>
  </si>
  <si>
    <t>Last Dial</t>
  </si>
  <si>
    <t>Stage</t>
  </si>
  <si>
    <t>CV</t>
  </si>
  <si>
    <t>Notes</t>
  </si>
  <si>
    <t>Followup Status</t>
  </si>
  <si>
    <t>Followup Remarks</t>
  </si>
  <si>
    <t>PAP</t>
  </si>
  <si>
    <t>PAP Followup Status</t>
  </si>
  <si>
    <t>anandh</t>
  </si>
  <si>
    <t>p:+919600592717</t>
  </si>
  <si>
    <t>data_analytics</t>
  </si>
  <si>
    <t>2025-12-10T19:34:21+05:30</t>
  </si>
  <si>
    <t>Pollachi</t>
  </si>
  <si>
    <t>ig</t>
  </si>
  <si>
    <t>no_job</t>
  </si>
  <si>
    <t>yes,_ready_now</t>
  </si>
  <si>
    <t>Not Interested</t>
  </si>
  <si>
    <t>Lost</t>
  </si>
  <si>
    <t>he said not interested and disconnected the call</t>
  </si>
  <si>
    <t xml:space="preserve"> DNP-31-03</t>
  </si>
  <si>
    <t>Not Answering</t>
  </si>
  <si>
    <t>Not Connected</t>
  </si>
  <si>
    <t>Hari Krishnan</t>
  </si>
  <si>
    <t>p:+919159355602</t>
  </si>
  <si>
    <t>software_testing</t>
  </si>
  <si>
    <t>2025-12-10T05:34:04+05:30</t>
  </si>
  <si>
    <t>Tambaram</t>
  </si>
  <si>
    <t>want_to_switch_domain</t>
  </si>
  <si>
    <t>asked me to callback by 0730/switchedoff / Not answering the call texted in whatsapp / he said not interested and saying always busy</t>
  </si>
  <si>
    <t>Karthi Lee</t>
  </si>
  <si>
    <t>p:+918675710728</t>
  </si>
  <si>
    <t>2025-12-11T10:16:00+05:30</t>
  </si>
  <si>
    <t>Medavakkam</t>
  </si>
  <si>
    <t>low_salary</t>
  </si>
  <si>
    <t>Wrong Number</t>
  </si>
  <si>
    <t>Not in use</t>
  </si>
  <si>
    <t>kishore</t>
  </si>
  <si>
    <t>2025-12-05T22:34:13+05:30</t>
  </si>
  <si>
    <t>Salem, coimbatore</t>
  </si>
  <si>
    <t>want_to_know_more_first</t>
  </si>
  <si>
    <t xml:space="preserve">Not Answering/disconnecting the call / Not Answering / Not answering the call texted in whatsapp / DME 2024 WORKING IN MANUFACTURING LOOOKING FOR DESIGNING COURSE </t>
  </si>
  <si>
    <t>Gone Cold</t>
  </si>
  <si>
    <t>shared cv on 22/01 / shared price details he will update me within monday 26/01 / not answering the call texted in whatsapp / not interested texted in whatsapp / gone cold plan so dropping the lead</t>
  </si>
  <si>
    <t xml:space="preserve">Not interested </t>
  </si>
  <si>
    <t>L A K S H M I</t>
  </si>
  <si>
    <t>p:9344453316</t>
  </si>
  <si>
    <t>2025-12-07T09:19:03+05:30</t>
  </si>
  <si>
    <t>Perungalathur</t>
  </si>
  <si>
    <t>she said dint enquiredmight be brother applied mistakenly if he is interested will ask him to call back not ready to share her brother number</t>
  </si>
  <si>
    <t>Manoj Kumar</t>
  </si>
  <si>
    <t>p:+917904642421</t>
  </si>
  <si>
    <t>2025-12-10T03:52:00+05:30</t>
  </si>
  <si>
    <t>Trichy</t>
  </si>
  <si>
    <t xml:space="preserve">BE EEE 2013, WORKING IN FED BANK AS SALES PERSON WITH 25K SALARY , HE SHARED RESUME IN WHATSAPP </t>
  </si>
  <si>
    <t>he is not responding the call</t>
  </si>
  <si>
    <t>MR_INFUSION(surya)</t>
  </si>
  <si>
    <t>p:+916383269331</t>
  </si>
  <si>
    <t>2025-12-08T13:33:49+05:30</t>
  </si>
  <si>
    <t>Salem</t>
  </si>
  <si>
    <t>no_growth</t>
  </si>
  <si>
    <t>BE CHEMICAL 2023. WORKING IN MEDICAL WITH 18K, LOOKING FOR CAREER SWITCH IN DA</t>
  </si>
  <si>
    <t>reminder send for cv /not answering the call / Gone cold</t>
  </si>
  <si>
    <t xml:space="preserve">Follow-up, He was in middle of work by 5 pm </t>
  </si>
  <si>
    <t>Call back requested</t>
  </si>
  <si>
    <t>Connected</t>
  </si>
  <si>
    <t>Radhika Pandian</t>
  </si>
  <si>
    <t>p:+917550042580</t>
  </si>
  <si>
    <t>2025-12-10T18:23:03+05:30</t>
  </si>
  <si>
    <t>Chennai</t>
  </si>
  <si>
    <t>busy in another call/Number not available</t>
  </si>
  <si>
    <t>amsa</t>
  </si>
  <si>
    <t>p:+917708097275</t>
  </si>
  <si>
    <t>2025-12-08T20:51:40+05:30</t>
  </si>
  <si>
    <t>Dindigul</t>
  </si>
  <si>
    <t xml:space="preserve">Not Answering/ mistakenly enquired </t>
  </si>
  <si>
    <t>Rama</t>
  </si>
  <si>
    <t>p:+919597254506</t>
  </si>
  <si>
    <t>2025-12-08T15:51:13+05:30</t>
  </si>
  <si>
    <t>Disconnecting the call/looking for non paid course</t>
  </si>
  <si>
    <t xml:space="preserve">Call back requested due to worked in nightshift &amp; requested to call back by 7pm </t>
  </si>
  <si>
    <t>Ranjith Kumar</t>
  </si>
  <si>
    <t>p:+918015915175</t>
  </si>
  <si>
    <t>2025-12-11T15:22:38+05:30</t>
  </si>
  <si>
    <t>Joined Elsewhere</t>
  </si>
  <si>
    <t>busy in another call/ joined blesent technology chennai</t>
  </si>
  <si>
    <t>Rohith Sam</t>
  </si>
  <si>
    <t>p:9344799973</t>
  </si>
  <si>
    <t>2025-12-07T21:24:35+05:30</t>
  </si>
  <si>
    <t>Warm</t>
  </si>
  <si>
    <t>BCOM FINAL YEAR @ GNT COLLEGE,LOOKING FOR ST COURSE BUT DECIDED TO DO MBA IN CBE AS OF NOW NOT INTERESTED / He wanna Discuss with his parents regarding PAP-31-03</t>
  </si>
  <si>
    <t>Interested</t>
  </si>
  <si>
    <t>Cold</t>
  </si>
  <si>
    <t>DNP/ DNP / DNP 24-03/ will confirm by 5pm 31/03</t>
  </si>
  <si>
    <t>Sandhiya ...❥</t>
  </si>
  <si>
    <t>p:+917904829994</t>
  </si>
  <si>
    <t>2025-12-10T10:57:53+05:30</t>
  </si>
  <si>
    <t>Nambhiyur</t>
  </si>
  <si>
    <t>Not Answering / Not answering the call texted in whatsapp / not answering the call</t>
  </si>
  <si>
    <t>DNP 24-03/</t>
  </si>
  <si>
    <t xml:space="preserve">Swicthed off </t>
  </si>
  <si>
    <t>Switchedoff</t>
  </si>
  <si>
    <t>Selvam</t>
  </si>
  <si>
    <t>p:+919965630250</t>
  </si>
  <si>
    <t>2025-12-10T09:42:45+05:30</t>
  </si>
  <si>
    <t>Kanchipuram</t>
  </si>
  <si>
    <t>need_to_discuss_with_family</t>
  </si>
  <si>
    <t>he said mistakenly enquired</t>
  </si>
  <si>
    <t>Sugha Mani</t>
  </si>
  <si>
    <t>p:+919092247402</t>
  </si>
  <si>
    <t>2025-12-08T16:12:30+05:30</t>
  </si>
  <si>
    <t>wrong number</t>
  </si>
  <si>
    <t>ꜱɪᴠᴀㅤ</t>
  </si>
  <si>
    <t>p:+919543311784</t>
  </si>
  <si>
    <t>2025-12-09T19:11:27+05:30</t>
  </si>
  <si>
    <t>Rajapalayam</t>
  </si>
  <si>
    <t>Not Answering/he said not enquired and disconnected the call</t>
  </si>
  <si>
    <t>TAMILSURIYAN R</t>
  </si>
  <si>
    <t>p:+919943511977</t>
  </si>
  <si>
    <t>2025-12-08T20:09:49+05:30</t>
  </si>
  <si>
    <t>Mayiladuthurai</t>
  </si>
  <si>
    <t>Not Answering / he said dint enquired and disconnected the call</t>
  </si>
  <si>
    <t>Badru Deen</t>
  </si>
  <si>
    <t>p:90803517</t>
  </si>
  <si>
    <t>2025-12-23T05:04:00+05:30</t>
  </si>
  <si>
    <t>Coimbatore</t>
  </si>
  <si>
    <t>only 8 numbers</t>
  </si>
  <si>
    <t>Sriman_krishnan</t>
  </si>
  <si>
    <t>p:+919360778559</t>
  </si>
  <si>
    <t>2025-12-23T01:50:28+05:30</t>
  </si>
  <si>
    <t>Chhat</t>
  </si>
  <si>
    <t>Not Answering / he said not intersted and disconnected the call</t>
  </si>
  <si>
    <t>Vishnu</t>
  </si>
  <si>
    <t>p:+919823821575</t>
  </si>
  <si>
    <t>2025-12-22T23:26:17+05:30</t>
  </si>
  <si>
    <t>skill_outdated</t>
  </si>
  <si>
    <t>wrong number/not in use</t>
  </si>
  <si>
    <t>Tharik Rahuman</t>
  </si>
  <si>
    <t>p:+917448736763</t>
  </si>
  <si>
    <t>2025-12-22T22:51:03+05:30</t>
  </si>
  <si>
    <t>Ramanathapuram</t>
  </si>
  <si>
    <t>BBA 2025, LOOKING FOR ONLY JOB</t>
  </si>
  <si>
    <t>Varma</t>
  </si>
  <si>
    <t>p:+919150355883</t>
  </si>
  <si>
    <t>2025-12-22T19:09:10+05:30</t>
  </si>
  <si>
    <t>Vellore</t>
  </si>
  <si>
    <t>BA HISTORY 2024, NOT WORKING , LOOKING FOR IT CAREER ,</t>
  </si>
  <si>
    <t>reminder send for cv /he said not interested as of now plan dropped</t>
  </si>
  <si>
    <t>Devipriya. M</t>
  </si>
  <si>
    <t>p:+918438397036</t>
  </si>
  <si>
    <t>2025-12-24T10:37:03+05:30</t>
  </si>
  <si>
    <t xml:space="preserve">Not Answering/does not exist </t>
  </si>
  <si>
    <t>TOM samson</t>
  </si>
  <si>
    <t>p:+917695849629</t>
  </si>
  <si>
    <t>2025-12-24T08:54:10+05:30</t>
  </si>
  <si>
    <t xml:space="preserve">Not Answering/ will be calling back in 1-2hours/BE CSE FINAL YR, LOKING FOR CLOUD </t>
  </si>
  <si>
    <t>Manikandan</t>
  </si>
  <si>
    <t>p:9600772250</t>
  </si>
  <si>
    <t>2025-12-24T00:44:25+05:30</t>
  </si>
  <si>
    <t>Not Answering /Not answering the call texted in whatsapp / not answering the call</t>
  </si>
  <si>
    <t>He completed BBA-2025 &amp;  from Ramanathapuram and explained about PAP and he wanna think and tell</t>
  </si>
  <si>
    <t>Mohammed Rizwan</t>
  </si>
  <si>
    <t>p:+916379054924</t>
  </si>
  <si>
    <t>2025-12-23T21:49:23+05:30</t>
  </si>
  <si>
    <t xml:space="preserve">BE AURO 2022, WORKING IN NON IT AS LOGISTIC HELPER WITH 22K SALARY , LOOKING FOR CAREER SWITCH IN TESTING </t>
  </si>
  <si>
    <t xml:space="preserve">reminder send for cv / no response since one week </t>
  </si>
  <si>
    <r>
      <rPr>
        <rFont val="Comic Sans MS"/>
        <sz val="9.0"/>
      </rPr>
      <t xml:space="preserve">He was in middle of work &amp; call back requeted by </t>
    </r>
    <r>
      <rPr>
        <rFont val="Comic Sans MS"/>
        <color rgb="FF1155CC"/>
        <sz val="9.0"/>
        <u/>
      </rPr>
      <t>5.pm</t>
    </r>
    <r>
      <rPr>
        <rFont val="Comic Sans MS"/>
        <sz val="9.0"/>
      </rPr>
      <t xml:space="preserve"> </t>
    </r>
  </si>
  <si>
    <t>pavyyyy</t>
  </si>
  <si>
    <t>p:+918124813556</t>
  </si>
  <si>
    <t>2025-12-23T21:00:42+05:30</t>
  </si>
  <si>
    <t>Madurai</t>
  </si>
  <si>
    <t>she said travelling will call back tmrw /not answering / Not answering the call texted in whatsapp / not answering the call</t>
  </si>
  <si>
    <t xml:space="preserve">Her sister enquired course and she pursing UG 2nd year &amp; call back requested by evng 5.30 pm </t>
  </si>
  <si>
    <t xml:space="preserve">BY 5.30 pm </t>
  </si>
  <si>
    <t>manikandan</t>
  </si>
  <si>
    <t>p:+919486239651</t>
  </si>
  <si>
    <t>2025-12-23T19:25:10+05:30</t>
  </si>
  <si>
    <t>Tenkasi</t>
  </si>
  <si>
    <t>Not Answering/switchedoff / Switchedoff  texted in whatsapp / not answering the call</t>
  </si>
  <si>
    <t>𝙛𝙡𝙮𝙞𝙣𝙜_𝘿𝙪𝙙𝙜𝙚𝙢𝙚𝙣</t>
  </si>
  <si>
    <t>p:+919043073293</t>
  </si>
  <si>
    <t>2025-12-23T19:08:55+05:30</t>
  </si>
  <si>
    <t>Viruthunagar</t>
  </si>
  <si>
    <t>BA ECO FINAL YEAR LOOKING FOR NON PAID COURSE BUT ITS FPL</t>
  </si>
  <si>
    <t>p:+919087870406</t>
  </si>
  <si>
    <t>2025-12-24T14:03:17+05:30</t>
  </si>
  <si>
    <t>Disconnecting the call/not answering the call / she said enuqired but not interested as of now</t>
  </si>
  <si>
    <t>BE-cse 2022/ Non it experience 5 years 23k</t>
  </si>
  <si>
    <t>Gomathi balamurugan</t>
  </si>
  <si>
    <t>p:+917200895959</t>
  </si>
  <si>
    <t>2025-12-25T11:42:21+05:30</t>
  </si>
  <si>
    <t>Tenkasi district</t>
  </si>
  <si>
    <t xml:space="preserve">Not Answering/busy in another call/not answering the call / he said not interested as of now and disconnected the call </t>
  </si>
  <si>
    <t>𝐆𝐚𝐧𝐞𝐬𝐡amoorthy</t>
  </si>
  <si>
    <t>p:+918072364648</t>
  </si>
  <si>
    <t>2025-12-25T15:21:47+05:30</t>
  </si>
  <si>
    <t>Sivakasi</t>
  </si>
  <si>
    <t>BE ECE 2023, WORKING IN GEC WITH 21K</t>
  </si>
  <si>
    <t xml:space="preserve">not answering the call / no response </t>
  </si>
  <si>
    <t>Dhinesh Kumar</t>
  </si>
  <si>
    <t>p:+918778088944</t>
  </si>
  <si>
    <t>2025-12-26T02:56:04+05:30</t>
  </si>
  <si>
    <t>Erode</t>
  </si>
  <si>
    <t>Looking for job</t>
  </si>
  <si>
    <t>Not Answering / Not answering the call texted in whatsapp / he already compelted the course looking for only job</t>
  </si>
  <si>
    <t xml:space="preserve">Call back requested by 5 15 pm </t>
  </si>
  <si>
    <t xml:space="preserve">Call back requested by 6.30 pm </t>
  </si>
  <si>
    <t xml:space="preserve">Nasir </t>
  </si>
  <si>
    <t>p:+919095135845</t>
  </si>
  <si>
    <t>2025-12-25T20:38:11+05:30</t>
  </si>
  <si>
    <t>Perundurai</t>
  </si>
  <si>
    <t xml:space="preserve">Disconnecting the call/not answering the call/disconnecting the call / BSC AI 2025, HAD 3MONTHS EXP AS DATA ENTRY WITH 16K, LEFT JOB IN SEP 2025, </t>
  </si>
  <si>
    <t xml:space="preserve">shared resume 12/01 / Not answering the call  Texted in whatsapp / dropped due to non responsive </t>
  </si>
  <si>
    <t>~~Prahash*</t>
  </si>
  <si>
    <t>p:+917339420757</t>
  </si>
  <si>
    <t>2025-12-25T19:45:52+05:30</t>
  </si>
  <si>
    <t>HE SAID NOT INTERESTED</t>
  </si>
  <si>
    <t xml:space="preserve"> DNP -01-04</t>
  </si>
  <si>
    <t>Sandhya</t>
  </si>
  <si>
    <t>p:9738743585</t>
  </si>
  <si>
    <t>2025-12-25T18:53:46+05:30</t>
  </si>
  <si>
    <t>SHE SAID NOT INTERESTED AND DISCONNECTED THE CALL</t>
  </si>
  <si>
    <t>Manju Lokesh</t>
  </si>
  <si>
    <t>p:+919790770518</t>
  </si>
  <si>
    <t>2025-12-26T12:02:07+05:30</t>
  </si>
  <si>
    <t xml:space="preserve">LOOKING FOR OFFLINE CHRNNAI </t>
  </si>
  <si>
    <t>Completed BA Ecnomics 2013, having 10 years of experience in accounts salary 18k Currently in Chennai &amp; Married also She wannna discuss with her husband  &amp; Call back requested by 02-04-2026/ 11.00 am.</t>
  </si>
  <si>
    <t>MADHU</t>
  </si>
  <si>
    <t>p:+917845837076</t>
  </si>
  <si>
    <t>2025-12-27T11:28:24+05:30</t>
  </si>
  <si>
    <t>Not Answering/no incoming</t>
  </si>
  <si>
    <t>MuthuLakshmi</t>
  </si>
  <si>
    <t>p:+918056694300</t>
  </si>
  <si>
    <t>2025-12-27T09:02:06+05:30</t>
  </si>
  <si>
    <t>Tirunelveli</t>
  </si>
  <si>
    <t>Not Answering / Not answering the call texted in whatsapp</t>
  </si>
  <si>
    <t>Gokul Gokul</t>
  </si>
  <si>
    <t>p:+918144599048</t>
  </si>
  <si>
    <t>2025-12-27T08:54:43+05:30</t>
  </si>
  <si>
    <t xml:space="preserve">Not Answering/he said driving will call back when he is free/disconnecting the call / He said not interested and disconnected the call </t>
  </si>
  <si>
    <t>prathap s</t>
  </si>
  <si>
    <t>p:+918220027934</t>
  </si>
  <si>
    <t>2025-12-27T21:52:12+05:30</t>
  </si>
  <si>
    <t>asked me to callback by 0730/not answering the call/he said he is in hsptl will call back when he us free / looking for offline course</t>
  </si>
  <si>
    <t xml:space="preserve">Call back requested  </t>
  </si>
  <si>
    <t>Vignesh</t>
  </si>
  <si>
    <t>p:+919445929438</t>
  </si>
  <si>
    <t>2025-12-27T21:44:59+05:30</t>
  </si>
  <si>
    <t>Hot</t>
  </si>
  <si>
    <t>HIS MOM ATTENDED THE CALL BTECH IT 2025, WAS WORKING IN NON IT WITH 18K, LEFT JOB IN DEC 2025, 9840453013</t>
  </si>
  <si>
    <t>she will confirm by 3pm / Not answering the call / she said as of now no plan but will confirm by 23/01 / Not answering the call / Not answering the call / texted in whatsapp / interested 25k &amp; She wants to discuss with her husband regarding Fee / DNP//DNP &amp; texted in whatsapp/ DNP-31-03/</t>
  </si>
  <si>
    <t>Hariprasad J</t>
  </si>
  <si>
    <t>p:+918248266099</t>
  </si>
  <si>
    <t>2025-12-27T19:24:56+05:30</t>
  </si>
  <si>
    <t xml:space="preserve">Not Answering/ He said will be calling back in 30min/not answering the call / he said joined offline course in chennai </t>
  </si>
  <si>
    <t>𝔍𝔞𝔫𝔞𝔫𝔦</t>
  </si>
  <si>
    <t>p:+919962797818</t>
  </si>
  <si>
    <t>2025-12-27T18:05:50+05:30</t>
  </si>
  <si>
    <t>BA ECO 2024, WORKING IN ACCOUNTS WITH 18K, LOOKING FOR OFFLINE IN CHENNAI</t>
  </si>
  <si>
    <t xml:space="preserve">BA-Ecnomics 2024/1.5 years in Wherehouse with 18k in chennai &amp; she wannna discuss with her parents </t>
  </si>
  <si>
    <t>Surya</t>
  </si>
  <si>
    <t>p:9345725302</t>
  </si>
  <si>
    <t>2025-12-28T13:27:43+05:30</t>
  </si>
  <si>
    <t>Disconnecting the call/ he said enquired but not interested as of now</t>
  </si>
  <si>
    <t>He wanna discuss with his parents and call back requested by 02/04/2026</t>
  </si>
  <si>
    <t>M priyadharshini</t>
  </si>
  <si>
    <t>p:+919363993603</t>
  </si>
  <si>
    <t>2025-12-28T09:12:16+05:30</t>
  </si>
  <si>
    <t>Tirupattur</t>
  </si>
  <si>
    <t>Disconnecting the call/not answering the call/she said not interested and disconected the call</t>
  </si>
  <si>
    <t>Lathasri</t>
  </si>
  <si>
    <t>p:9003146267</t>
  </si>
  <si>
    <t>2025-12-29T01:40:09+05:30</t>
  </si>
  <si>
    <t>SHE SAID MISTAKENLY ENQUIRED</t>
  </si>
  <si>
    <t>Haresh Krish Unnikrishnan Hari</t>
  </si>
  <si>
    <t>p:+918220200932</t>
  </si>
  <si>
    <t>2025-12-28T15:43:46+05:30</t>
  </si>
  <si>
    <t>HE SAID WRONG NUMBER AND DISCONNECTED THE CALL</t>
  </si>
  <si>
    <t>Rohith</t>
  </si>
  <si>
    <t>p:+918524909262</t>
  </si>
  <si>
    <t>2025-12-29T11:45:41+05:30</t>
  </si>
  <si>
    <t>Nagapptinam</t>
  </si>
  <si>
    <t>HE IS FROM NAGAPATTINAM, DIP MECH 2025, LOOKING FDOR DA COURSE</t>
  </si>
  <si>
    <t>EMI Rejected</t>
  </si>
  <si>
    <t>he said will be sharing docs before 6pm/ not eligiblie for emi due to below 23</t>
  </si>
  <si>
    <t>Raja Sekar</t>
  </si>
  <si>
    <t>p:+918610461623</t>
  </si>
  <si>
    <t>2025-12-30T08:21:01+05:30</t>
  </si>
  <si>
    <t>HE ENQUIRED FOR HIS BROTHER AND HE IS NOT INTERESTED</t>
  </si>
  <si>
    <t>SRIDHAR</t>
  </si>
  <si>
    <t>p:+918973777165</t>
  </si>
  <si>
    <t>2025-12-29T22:46:03+05:30</t>
  </si>
  <si>
    <t>Sathyamangalam</t>
  </si>
  <si>
    <t xml:space="preserve">BSC CSE 2020, WORKING AS HARDWARE MAINTANANCE WITH 20K, </t>
  </si>
  <si>
    <t>reminder send for cv /shared cv on 07/01 / Not answering the call / he said not intersted and disconnected the call</t>
  </si>
  <si>
    <r>
      <rPr>
        <rFont val="Comic Sans MS"/>
        <color rgb="FF1155CC"/>
        <sz val="9.0"/>
        <u/>
      </rPr>
      <t>B.sc</t>
    </r>
    <r>
      <rPr>
        <rFont val="Comic Sans MS"/>
        <sz val="9.0"/>
      </rPr>
      <t xml:space="preserve"> Computer Science 2020/ Had worked 1.5 years CTS as a Process Associate with 16k due to nights shifts he quit the job / after 6 months he drove Zomoto / after joined as a process associate at Sri Kumaran Thangamaligai with salary 17k/ Timings: 9 am to 9 pm. / dnp-02/04</t>
    </r>
  </si>
  <si>
    <t>MadhuMitha Thirugnanam</t>
  </si>
  <si>
    <t>p:9788555583</t>
  </si>
  <si>
    <t>2025-12-29T22:00:16+05:30</t>
  </si>
  <si>
    <t>she said mistakenly enquired</t>
  </si>
  <si>
    <t>Arulkumar</t>
  </si>
  <si>
    <t>p:+918883546969</t>
  </si>
  <si>
    <t>2025-12-29T21:10:11+05:30</t>
  </si>
  <si>
    <t>Kallakurichi</t>
  </si>
  <si>
    <t>Disconnecting the call/he said not interested and disconnected the call</t>
  </si>
  <si>
    <t>Renuga</t>
  </si>
  <si>
    <t>p:+916385762094</t>
  </si>
  <si>
    <t>2025-12-30T17:56:14+05:30</t>
  </si>
  <si>
    <t>Not Answering/ BE BIO MEDICAL 2021, WAS WORKING IN MEDICAL CODING WITH 400K, LEFT JOB IN 2024 DUE TO HEALTH ISSUES,</t>
  </si>
  <si>
    <t>reminder send for cv / Not answering the call / she said not interested as of now due to family situvation</t>
  </si>
  <si>
    <t>Direct walkin fixed at tomorrow</t>
  </si>
  <si>
    <t>queen baby</t>
  </si>
  <si>
    <t>p:+916369502897</t>
  </si>
  <si>
    <t>2025-12-30T21:11:23+05:30</t>
  </si>
  <si>
    <t>Karur</t>
  </si>
  <si>
    <t>LOOKING FOR MARKETING COURSE</t>
  </si>
  <si>
    <t>Gokul.MJ</t>
  </si>
  <si>
    <t>p:+918122219110</t>
  </si>
  <si>
    <t>2025-12-30T21:09:00+05:30</t>
  </si>
  <si>
    <t>Tiruppur</t>
  </si>
  <si>
    <t>BCA 2024, WAS WORKING IN GAREMENTS WITH 18K, HE LEFT JOB 2025 MARCH , LOOKING FOR DA COURSE</t>
  </si>
  <si>
    <t xml:space="preserve"> Not Interested_Fees High</t>
  </si>
  <si>
    <t xml:space="preserve">BCA-2024, 1 year Garments with 18.5k salary due to family prblm quit job &amp; currently working in Finance sector with 18k, Call back requested by tmrw same time 02/04-5.26 pm </t>
  </si>
  <si>
    <t>Kavya</t>
  </si>
  <si>
    <t>p:+916382661149</t>
  </si>
  <si>
    <t>2025-12-31T17:09:19+05:30</t>
  </si>
  <si>
    <t xml:space="preserve">BSC CSE FINAL YR, LOOKING FOR ST COURSE, </t>
  </si>
  <si>
    <t xml:space="preserve">shared cv on 07/01 / Not answering the call , texted in whatsapp that call back by 0630 / forgot to call 22/01 / she said will connect with parents then will confirm  / she said cannot afford </t>
  </si>
  <si>
    <t>SURIYA</t>
  </si>
  <si>
    <t>p:+916380384944</t>
  </si>
  <si>
    <t>2025-12-03T10:37:02+05:30</t>
  </si>
  <si>
    <t>immediately_</t>
  </si>
  <si>
    <t xml:space="preserve">Not Answering/he said enquired but not interested as of now </t>
  </si>
  <si>
    <t xml:space="preserve">Not interested / joined someother  </t>
  </si>
  <si>
    <t>​​​​​Kavi</t>
  </si>
  <si>
    <t>p:+916385340385</t>
  </si>
  <si>
    <t>2025-12-03T09:38:54+05:30</t>
  </si>
  <si>
    <t xml:space="preserve">BE ECE 3RD YEAR IN RATHINAM </t>
  </si>
  <si>
    <t xml:space="preserve">he will visit office before this week end / he will visit after pongal / he is in 3rd yr looking for internhsip not a course </t>
  </si>
  <si>
    <t xml:space="preserve">Call back requested / he was busy </t>
  </si>
  <si>
    <t>Sudar Muthu Kumar</t>
  </si>
  <si>
    <t>p:+917871502438</t>
  </si>
  <si>
    <t>2025-12-03T09:02:19+05:30</t>
  </si>
  <si>
    <t xml:space="preserve">wrong number / 7904571833 BE MECH 2018, WORKING IN CHENNAI AS WIRING SPCS WITH 4LPA, LOOKING FOR WIRING HARNESS </t>
  </si>
  <si>
    <t>Plan Dropped</t>
  </si>
  <si>
    <t>he said will confirm by 07/02 / gone cold dropped / he called back agn said will join tdy within 3-4pm 21/03 / he said plan dropped not interested</t>
  </si>
  <si>
    <t>Gopi</t>
  </si>
  <si>
    <t>p:+917092380989</t>
  </si>
  <si>
    <t>2025-12-03T08:09:35+05:30</t>
  </si>
  <si>
    <t>Avadi</t>
  </si>
  <si>
    <t>Call forwarded/number switchedoff / not in use texted in whatsapp  / he said looking for offline branch in chennai</t>
  </si>
  <si>
    <t>Switched off</t>
  </si>
  <si>
    <t>ᴅɪɴᴇsʜ</t>
  </si>
  <si>
    <t>p:+919092511378</t>
  </si>
  <si>
    <t>2025-12-02T23:01:43+05:30</t>
  </si>
  <si>
    <t>Rajesh</t>
  </si>
  <si>
    <t>p:8248835525</t>
  </si>
  <si>
    <t>2025-12-02T22:06:47+05:30</t>
  </si>
  <si>
    <t>Hosur</t>
  </si>
  <si>
    <t>BSC SAT 2025, WORKING IN ADITYA SHOWROOM WITH 22K, LOOKING FOR CARRER SWITCH IN DA</t>
  </si>
  <si>
    <t xml:space="preserve">reminder send for cv / shared cv on 07/01 / he said driving / Not answering the call / he said will confirm with in 23/01 3pm / he said will share documents 23/01 / he said plan dropped due to trust issue </t>
  </si>
  <si>
    <t>Manoj</t>
  </si>
  <si>
    <t>p:9500691130</t>
  </si>
  <si>
    <t>2025-12-02T21:19:15+05:30</t>
  </si>
  <si>
    <t>Bangalore</t>
  </si>
  <si>
    <t>looking for cyber security course</t>
  </si>
  <si>
    <t>Er.Vickypillai</t>
  </si>
  <si>
    <t>p:+916369080759</t>
  </si>
  <si>
    <t>2025-12-02T20:09:51+05:30</t>
  </si>
  <si>
    <t>Pattukottai</t>
  </si>
  <si>
    <t>_this_week</t>
  </si>
  <si>
    <t xml:space="preserve">Disconnecting the call/BSC CSE 2022. WAS WORKING AS DEVELOPER WITH 18K, LEFT JOB IN 2024 DUE TO HEALTH ISSUES, </t>
  </si>
  <si>
    <t>reminder send for cv / shared cv on 08/01 / Disconnecting the call / Disconnecting the call 22/01 / gone cold dropping the lead</t>
  </si>
  <si>
    <t>Sabareesh arumugam</t>
  </si>
  <si>
    <t>p:+918098800934</t>
  </si>
  <si>
    <t>2025-12-04T09:37:32+05:30</t>
  </si>
  <si>
    <t>fb</t>
  </si>
  <si>
    <t>call busy/Not answering the call / Disconnecting the call texted in whatsapp / he was enquired but he got job so as of now not intereste in course</t>
  </si>
  <si>
    <t>Surendhira Kumar</t>
  </si>
  <si>
    <t>p:+917373225252</t>
  </si>
  <si>
    <t>2025-12-03T20:22:17+05:30</t>
  </si>
  <si>
    <t>BE 2018, MBA 2023, WORKING AS MANUAL TESTER IN  HANUDEV TECH PARK WITH 8LPA, LOOKING FOR AUTOMATION</t>
  </si>
  <si>
    <t>he wants to visit office in lunch 09/01 / he said will confirm by tdy within evening 12/01 / Not answering the call / dropped gone cold</t>
  </si>
  <si>
    <t>BE-ECE 2018/ MBA 2023/ 8 years having experience manual testing, looking for Automatic testing, coimbatore-11 am/ DNP-02/04/</t>
  </si>
  <si>
    <t>Kanna</t>
  </si>
  <si>
    <t>p:+919514776186</t>
  </si>
  <si>
    <t>2025-12-04T13:55:09+05:30</t>
  </si>
  <si>
    <t>Theni</t>
  </si>
  <si>
    <t xml:space="preserve">Joined in chennai criodo </t>
  </si>
  <si>
    <t>Deva Surya</t>
  </si>
  <si>
    <t>p:+919385410604</t>
  </si>
  <si>
    <t>2025-12-04T15:35:47+05:30</t>
  </si>
  <si>
    <t>Tiruppr</t>
  </si>
  <si>
    <t>not in use</t>
  </si>
  <si>
    <t>Vignesh Vicky</t>
  </si>
  <si>
    <t>p:8754673245</t>
  </si>
  <si>
    <t>2025-12-04T14:24:27+05:30</t>
  </si>
  <si>
    <t xml:space="preserve">he said cooking will call back/ will call back after 2pm /he said not interested as of now </t>
  </si>
  <si>
    <t xml:space="preserve"> DNP -02-04</t>
  </si>
  <si>
    <t>abi</t>
  </si>
  <si>
    <t>p:+919342410221</t>
  </si>
  <si>
    <t>2025-12-12T09:46:45+05:30</t>
  </si>
  <si>
    <t>Disconnecting the call/not answering the call / Not answering the call texted in whatsapp / not answering the call</t>
  </si>
  <si>
    <t>Kamaia Kumari</t>
  </si>
  <si>
    <t>p:+919566890838</t>
  </si>
  <si>
    <t>2025-12-06T12:21:29+05:30</t>
  </si>
  <si>
    <t>Not Answering/busy in another call/ she said not intesrted and disconneted the call</t>
  </si>
  <si>
    <t>Arun</t>
  </si>
  <si>
    <t>p:+919965263663</t>
  </si>
  <si>
    <t>2025-12-08T10:24:30+05:30</t>
  </si>
  <si>
    <t>number switchedoff/not in use</t>
  </si>
  <si>
    <t>Augustin Ruffez</t>
  </si>
  <si>
    <t>p:+919787649959</t>
  </si>
  <si>
    <t>2025-12-11T11:33:15+05:30</t>
  </si>
  <si>
    <t>𝓼𝓱𝓪𝓵𝓵𝓾𝓼𝓱𝓪𝓵𝓶𝓪</t>
  </si>
  <si>
    <t>p:+918610527556</t>
  </si>
  <si>
    <t>2025-12-06T21:57:03+05:30</t>
  </si>
  <si>
    <t>BCOM CA 2020, WORKING AS ACCOUNTANT WITH 20K, LOOKING FOR CAREER SWITCH IN DA</t>
  </si>
  <si>
    <t>she want to connect with parents / she said will confirm by 12/01 evening / parents said will join feb end / DNP-25-02 &amp; texted in whatsapp  / DNP / not interested as of now she replied to lakshmanan</t>
  </si>
  <si>
    <t xml:space="preserve">Not interested   </t>
  </si>
  <si>
    <t>Anitha sekar</t>
  </si>
  <si>
    <t>p:+919003347117</t>
  </si>
  <si>
    <t>2025-12-06T20:36:13+05:30</t>
  </si>
  <si>
    <t>Karaikal</t>
  </si>
  <si>
    <t>Not Answering / she said hospitalized so dropping the plan</t>
  </si>
  <si>
    <t>joesan</t>
  </si>
  <si>
    <t>p:+917305725630</t>
  </si>
  <si>
    <t>2025-12-06T17:20:25+05:30</t>
  </si>
  <si>
    <t>Thanjavur</t>
  </si>
  <si>
    <t>busy in another call/not answering the call / Not answering the call texted in whatsapp / dropped gone cold</t>
  </si>
  <si>
    <t>David Naresh</t>
  </si>
  <si>
    <t>p:+919944237750</t>
  </si>
  <si>
    <t>2025-12-11T15:36:12+05:30</t>
  </si>
  <si>
    <t>pavithran</t>
  </si>
  <si>
    <t>p:+919600944171</t>
  </si>
  <si>
    <t>2025-12-07T22:46:44+05:30</t>
  </si>
  <si>
    <t>Coimbathore</t>
  </si>
  <si>
    <t>BCOM CA 2025, WORKING IN BPO WITH 16K, NOTINTERESTED AS OF NOW HE GOT JOB</t>
  </si>
  <si>
    <t>varshini</t>
  </si>
  <si>
    <t>p:+918943089752</t>
  </si>
  <si>
    <t>2025-12-07T17:18:26+05:30</t>
  </si>
  <si>
    <t>call busy/ BE CIVIL 2020, WORKING IN BMW AS SERVICE ADVISOR WITH 55K, LOOKING FOR CAREER SWITCH IN DA</t>
  </si>
  <si>
    <t xml:space="preserve">she said will discuss with parents and will confirm by 09/01 / she said family denied </t>
  </si>
  <si>
    <t xml:space="preserve"> Not reachable  -02-04</t>
  </si>
  <si>
    <t>Not Reachable</t>
  </si>
  <si>
    <t>Kathir Ganesh</t>
  </si>
  <si>
    <t>p:+919698736362</t>
  </si>
  <si>
    <t>2025-12-07T00:56:03+05:30</t>
  </si>
  <si>
    <t xml:space="preserve">Not Answering / MSC BED 2013, WORKING IN NON IT WITH 30K, LOOKING FOR CARRER SWITCH IN TESTING </t>
  </si>
  <si>
    <t xml:space="preserve">shared resume on 13/01 / he said need to check with parents will confirm by 24/01 /  he will join  by 27/01 dont call before that he will be joining definitely / he said in car driving will call back / he said will confirm by 29/01 / he is arranging money / DNP-25-02 &amp; texted in whatsapp / his father passed away he will call back/DNP &amp; texted in whatsapp / he said will confirm by week end / seems not interested passing time </t>
  </si>
  <si>
    <t>p:+919363874117</t>
  </si>
  <si>
    <t>2025-12-09T02:47:37+05:30</t>
  </si>
  <si>
    <t xml:space="preserve">Not Answering/disconnecting the call/not answering the call / He said not interested </t>
  </si>
  <si>
    <t>Harish V</t>
  </si>
  <si>
    <t>p:+916383569905</t>
  </si>
  <si>
    <t>2025-12-08T19:48:51+05:30</t>
  </si>
  <si>
    <t>Tiruthani</t>
  </si>
  <si>
    <t>BCOM 2025, JOINED COURSE IN CBE</t>
  </si>
  <si>
    <t>Renuka</t>
  </si>
  <si>
    <t>p:+919080836897</t>
  </si>
  <si>
    <t>2025-12-08T18:22:05+05:30</t>
  </si>
  <si>
    <t>Cuddalore</t>
  </si>
  <si>
    <t>Not Answering/ BA FINAL YR, LOOKING FOR ONLY NON PAID COURSE BUT SHARED DETAILS IN WHATSAPP</t>
  </si>
  <si>
    <t>Kirubakaran</t>
  </si>
  <si>
    <t>p:+918220685391</t>
  </si>
  <si>
    <t>2025-12-10T09:20:00+05:30</t>
  </si>
  <si>
    <t xml:space="preserve">DIP AUTOMOBILE 2020, WORKING AS SERVICE ENGINEER WITH 25K , LOOKING FOR CAREER SWITCH BUT NOT INTERESTED </t>
  </si>
  <si>
    <t xml:space="preserve">low potent not showing interest </t>
  </si>
  <si>
    <t>Prabhu Shankar</t>
  </si>
  <si>
    <t>p:+919176952245</t>
  </si>
  <si>
    <t>2025-12-10T00:59:45+05:30</t>
  </si>
  <si>
    <t>Not Answering / no response after 12 calls not no response in whatsapp also  / replied for  new office offer for data analytics</t>
  </si>
  <si>
    <t>Romario</t>
  </si>
  <si>
    <t>p:+919655023964</t>
  </si>
  <si>
    <t>2025-12-08T12:39:03+05:30</t>
  </si>
  <si>
    <t xml:space="preserve">BSC CSE 2018, WORKING IN INSURANCE COMPANY WITH 25K, LOOKING FOR CAREER CHANGE IN TESTING </t>
  </si>
  <si>
    <t>wanted to visit office directly / Not answering the call texted in whatsapp / not answering the call / he said not interested</t>
  </si>
  <si>
    <t>Sabarnesh</t>
  </si>
  <si>
    <t>p:+916382977510</t>
  </si>
  <si>
    <t>2025-12-07T19:00:46+05:30</t>
  </si>
  <si>
    <t>Disconnecting the call/ he said not interested and disconnected the call</t>
  </si>
  <si>
    <t>Prasanth</t>
  </si>
  <si>
    <t>p:959742182</t>
  </si>
  <si>
    <t>2025-12-11T00:21:49+05:30</t>
  </si>
  <si>
    <t>ony 9 numbers</t>
  </si>
  <si>
    <t>Mohammed Refay</t>
  </si>
  <si>
    <t>p:+917305915415</t>
  </si>
  <si>
    <t>2025-12-10T22:08:23+05:30</t>
  </si>
  <si>
    <t>Not Answering/wrong number or no incoming</t>
  </si>
  <si>
    <t>Sanjay S</t>
  </si>
  <si>
    <t>p:+918220140345</t>
  </si>
  <si>
    <t>2025-12-07T09:03:36+05:30</t>
  </si>
  <si>
    <t>he said enquired 1month before as of now no plan for course</t>
  </si>
  <si>
    <t>CALL BACK MONTH OF MAY 2026</t>
  </si>
  <si>
    <t>FPL</t>
  </si>
  <si>
    <t>Keerthi Vignesh</t>
  </si>
  <si>
    <t>p:+918667056838</t>
  </si>
  <si>
    <t>2025-12-10T18:53:11+05:30</t>
  </si>
  <si>
    <t>her mom attented the call and she said keerthi joined somewhere else and disconnected the call</t>
  </si>
  <si>
    <t>Sedhupathi S</t>
  </si>
  <si>
    <t>p:+919361774073</t>
  </si>
  <si>
    <t>2025-12-09T07:04:24+05:30</t>
  </si>
  <si>
    <t>thiruvannamalai</t>
  </si>
  <si>
    <t>Call back requested / he was busy</t>
  </si>
  <si>
    <t>Bharath SK</t>
  </si>
  <si>
    <t>p:+916381102655</t>
  </si>
  <si>
    <t>2025-12-11T16:37:30+05:30</t>
  </si>
  <si>
    <t>Kumbokonam</t>
  </si>
  <si>
    <t>Not Answering/ DME 2025, FRESHER, COMPLETED INTERNSHIP,</t>
  </si>
  <si>
    <t>he said will cofirm by 11/01 / switchedoff / Not answering the call texted in whatsapp / dropping the lead he gone cold</t>
  </si>
  <si>
    <t>2025-12-12T08:08:01+05:30</t>
  </si>
  <si>
    <t>Not Answering / He said he dint enquired and disconnected the call</t>
  </si>
  <si>
    <t xml:space="preserve">Not reachable </t>
  </si>
  <si>
    <t>HARIKRISHNAN SAKTHI</t>
  </si>
  <si>
    <t>p:+919787089288</t>
  </si>
  <si>
    <t>2025-12-12T00:36:10+05:30</t>
  </si>
  <si>
    <t>Krishnagiri</t>
  </si>
  <si>
    <t>Not Answering / BSC MATHS 2024, MBA FINAL YR, LOOKING FOR OFFLINE COURSE</t>
  </si>
  <si>
    <t xml:space="preserve">Joined </t>
  </si>
  <si>
    <t>‌‌‌‌‌‌harini</t>
  </si>
  <si>
    <t>p:8610792374</t>
  </si>
  <si>
    <t>2025-12-11T22:47:16+05:30</t>
  </si>
  <si>
    <t>Thalankuppam</t>
  </si>
  <si>
    <t>she notinterested as of now</t>
  </si>
  <si>
    <t>Rubesh</t>
  </si>
  <si>
    <t>p:+918220301218</t>
  </si>
  <si>
    <t>2025-12-11T22:03:16+05:30</t>
  </si>
  <si>
    <t>he said out with friends in kerala asked me to call back on monday/not answering the call / dropped due to no response</t>
  </si>
  <si>
    <t>SIDDHARTH AYYAPPAN</t>
  </si>
  <si>
    <t>p:+918940953143</t>
  </si>
  <si>
    <t>2025-12-11T20:31:02+05:30</t>
  </si>
  <si>
    <t>Perambalur</t>
  </si>
  <si>
    <t>he said enquired but due to busy scheduled no plan as fo now</t>
  </si>
  <si>
    <t>Balaji Venkat</t>
  </si>
  <si>
    <t>p:+917558126926</t>
  </si>
  <si>
    <t>2025-12-11T20:17:19+05:30</t>
  </si>
  <si>
    <t>Not Answering / Dropped due to no response texted in whatsapp</t>
  </si>
  <si>
    <t>Tr Sathish</t>
  </si>
  <si>
    <t>p:+919486804266</t>
  </si>
  <si>
    <t>2025-12-05T22:22:36+05:30</t>
  </si>
  <si>
    <t>cuddalore</t>
  </si>
  <si>
    <t>Not Answering /BTECH EEE 2021, WAS WORKING IN PRODUCTION WITH 40K, LEFT JOB ON 2024, LOOKING FOR CAREER SWITCH IN DA</t>
  </si>
  <si>
    <t>reminder send for cv , he said out of station will share when he is free</t>
  </si>
  <si>
    <t>p:9677869312</t>
  </si>
  <si>
    <t>2025-12-22T22:01:00+05:30</t>
  </si>
  <si>
    <t>DME 2005, WORKING AS MACHINE OPERATOR WITH 20K, LOOKING FOR CAREER CHANGE IN DA/ He will visit office 28-02</t>
  </si>
  <si>
    <t xml:space="preserve">he is in bus travelling will call back once reached / Not answering the call / he will visit 28-02/DNP &amp; texted in whatsapp / Not answering the call texted in whatsapp/ Gone cold </t>
  </si>
  <si>
    <t>Pavithran</t>
  </si>
  <si>
    <t>p:+919566433273</t>
  </si>
  <si>
    <t>2025-12-23T14:19:18+05:30</t>
  </si>
  <si>
    <t>Enrolled</t>
  </si>
  <si>
    <t>Won</t>
  </si>
  <si>
    <t>BE AERO 2016, WAS WORKING IN IBM WITH 26K, LEFT JOB IN JULY 2025 DUETO NIGHT SHIFT, LOOKING FOR CAREER CHANGE IN TESTING</t>
  </si>
  <si>
    <t>he will be joining within 2days/applied emi on 08/01 &amp; rejected but cibil 774 / Paid 5k on 10/01</t>
  </si>
  <si>
    <t>Lokesh Loki</t>
  </si>
  <si>
    <t>p:+919150733699</t>
  </si>
  <si>
    <t>2025-12-23T13:44:33+05:30</t>
  </si>
  <si>
    <t>BCOM AF 2025, WORKING IN HDB FINANCIAL,LOOKING FOR CAREER CHANGE IN DA</t>
  </si>
  <si>
    <t>he texted in whatsapp that he joined in another institute</t>
  </si>
  <si>
    <t>Gowthamm</t>
  </si>
  <si>
    <t>p:8610139395</t>
  </si>
  <si>
    <t>2025-12-24T10:28:26+05:30</t>
  </si>
  <si>
    <t>switchedoff/Looking for only job</t>
  </si>
  <si>
    <t>Dhililp P Dhililp P</t>
  </si>
  <si>
    <t>p:+917305878533</t>
  </si>
  <si>
    <t>2025-12-23T23:45:55+05:30</t>
  </si>
  <si>
    <t>Dhililp</t>
  </si>
  <si>
    <t>Not Answering/he called me back he said not interested as of now</t>
  </si>
  <si>
    <t xml:space="preserve">No incoming call </t>
  </si>
  <si>
    <t>Pragadeesh</t>
  </si>
  <si>
    <t>p:+919600555243</t>
  </si>
  <si>
    <t>2025-12-24T11:26:58+05:30</t>
  </si>
  <si>
    <t xml:space="preserve">BE MECH 2018, WAS WORKING AS PRODUCTION ENGINEER, LAST SALARY 450K, LEFT JOB IN MARCH 2025 DUE TO PERSONAL ISSUES, </t>
  </si>
  <si>
    <t>he said will be joining before 11/01 / Not answering the call / he said not interested and disconnected the call</t>
  </si>
  <si>
    <t>surendar</t>
  </si>
  <si>
    <t>p:7397263966</t>
  </si>
  <si>
    <t>2025-12-25T08:34:22+05:30</t>
  </si>
  <si>
    <t>switchedoff/BCOM GEN 2020, WORKING IN ESAF BANK AS COLLECTION AGENT WITH 15K, LOOKING FOR CARRER SWITCH TESTING</t>
  </si>
  <si>
    <t xml:space="preserve">reminder send for cv , he will share / he said plan dropped as of now </t>
  </si>
  <si>
    <r>
      <rPr>
        <rFont val="Comic Sans MS"/>
        <sz val="9.0"/>
      </rPr>
      <t xml:space="preserve">He completed </t>
    </r>
    <r>
      <rPr>
        <rFont val="Comic Sans MS"/>
        <color rgb="FF1155CC"/>
        <sz val="9.0"/>
        <u/>
      </rPr>
      <t>B.com</t>
    </r>
    <r>
      <rPr>
        <rFont val="Comic Sans MS"/>
        <sz val="9.0"/>
      </rPr>
      <t xml:space="preserve"> CA 2020/ Having 3 years of experince as sales excutive at pedigiri salary 17k &amp; he wannna discuss with his brother and call back requested by day after tomorrow/</t>
    </r>
  </si>
  <si>
    <t>Balaji</t>
  </si>
  <si>
    <t>p:6374235014</t>
  </si>
  <si>
    <t>2025-12-25T06:10:30+05:30</t>
  </si>
  <si>
    <t>Raj Kumar</t>
  </si>
  <si>
    <t>p:8098263796</t>
  </si>
  <si>
    <t>2025-12-24T22:50:42+05:30</t>
  </si>
  <si>
    <t>Virudhunagar</t>
  </si>
  <si>
    <t xml:space="preserve">Plan dropped </t>
  </si>
  <si>
    <t>Selva</t>
  </si>
  <si>
    <t>p:+919600440929</t>
  </si>
  <si>
    <t>2025-12-24T22:10:08+05:30</t>
  </si>
  <si>
    <t>Karambakkudi</t>
  </si>
  <si>
    <t>BA ENG 2019, WORKING AS TAILOR WITH 25K IN GARMENTS, LOOKING FOR CAREER SWITCH IN DA</t>
  </si>
  <si>
    <t xml:space="preserve">he will be confirming after pongal 19/01 /CB 23/01 / not answering the call texted in whatsapp he called me back he said looking for offline centre in chennai </t>
  </si>
  <si>
    <t>Sakthi</t>
  </si>
  <si>
    <t>p:+916382054166</t>
  </si>
  <si>
    <t>2025-12-24T21:09:06+05:30</t>
  </si>
  <si>
    <t>Not Answering/number not available</t>
  </si>
  <si>
    <t>SUKESH</t>
  </si>
  <si>
    <t>p:+918807876162</t>
  </si>
  <si>
    <t>2025-12-24T19:38:19+05:30</t>
  </si>
  <si>
    <t>Namakkal</t>
  </si>
  <si>
    <t xml:space="preserve">BSC 2025, NOT WORKING, LOOKING FOR TESTING CAREER WILL JOIN AFTER PONGAL </t>
  </si>
  <si>
    <t>reminder send for cv / not answering the call / he said will share resume 12/01 / no response dropped</t>
  </si>
  <si>
    <t>Athish Vfc</t>
  </si>
  <si>
    <t>p:+919940792467</t>
  </si>
  <si>
    <t>2025-12-25T11:39:49+05:30</t>
  </si>
  <si>
    <t>Batlagundu</t>
  </si>
  <si>
    <t xml:space="preserve">MBA HR 2022, WAS WORKING AS HR ,LEFT JOB IN JUNE 2025 WITH 22k, </t>
  </si>
  <si>
    <t>he said looking for remote job location that we need to promise the he can join / he will confirm by evening 10/01 or 12/01 / looking for only wfh and need job first</t>
  </si>
  <si>
    <r>
      <rPr>
        <rFont val="Comic Sans MS"/>
        <color rgb="FF1155CC"/>
        <sz val="9.0"/>
        <u/>
      </rPr>
      <t>B.com</t>
    </r>
    <r>
      <rPr>
        <rFont val="Comic Sans MS"/>
        <sz val="9.0"/>
      </rPr>
      <t xml:space="preserve"> +MBA HR -2022 having 4 years of experince in HR food industry with salary -28k, 9 to 10 pm looking DA and he going proceed with EMI / Requested EMI Details and Course fees.</t>
    </r>
  </si>
  <si>
    <t>Mohan</t>
  </si>
  <si>
    <t>p:+919943194634</t>
  </si>
  <si>
    <t>2025-12-25T14:05:35+05:30</t>
  </si>
  <si>
    <t>BCA 2022, he said busyand disconnected the call/not answering the call / he said not interested and disconnected the call</t>
  </si>
  <si>
    <t>SPP KARTHIKEYAN</t>
  </si>
  <si>
    <t>p:+918825908455</t>
  </si>
  <si>
    <t>2025-12-26T08:51:19+05:30</t>
  </si>
  <si>
    <t xml:space="preserve">BSC CSE 2022, WORKING AS QUALITY ENGINEER WITH 23K , LOOKING FOR CAREER SWITCH IN TESTING </t>
  </si>
  <si>
    <t>reminder send for cv / not answering the call</t>
  </si>
  <si>
    <t>Nivetha sivakumar</t>
  </si>
  <si>
    <t>p:+919080384346</t>
  </si>
  <si>
    <t>2025-12-25T21:59:06+05:30</t>
  </si>
  <si>
    <t>BSC CSE 2023, MSC CSE 2025, LOOKING FOR DA/ 25k ok and she wants to discuss with her parents and follow-up call tdy evng 5.45 pm /</t>
  </si>
  <si>
    <t>shared cv on 07/01 / Switchedoff she texted in whatsapp that she will confirm by 11 am 10/01 / she said will confirm by after pongal / texted in whatsapp will confirm / she said looking for offline in tanjore / she called me she said will check emi if not working will drop / Not answering the call / 25k ok and she wants to discuss with her parents and follow-up call tdy evng 5.45 pm / DNP-26-02/ DNP &amp; texted in whatsapp / she txted me back she said will join within 2days / she said will join reaching cbd tdy evneing only / she is visiting office saturday 21/03 / she said she cont join now</t>
  </si>
  <si>
    <t>ℍ𝕒𝕣𝕚𝕟𝕚</t>
  </si>
  <si>
    <t>p:+917845997257</t>
  </si>
  <si>
    <t>2025-12-27T23:37:20+05:30</t>
  </si>
  <si>
    <t>Not Answering/ BCA 2024, WORKING IN BPO WITH 17K, LOOKING FOR CAREER SWITCH IN TESTING</t>
  </si>
  <si>
    <t>shared cv on 07/01 / Not answering the call / Not answering the call texted in whatsapp / Not answering the call / dropping due to gone cold</t>
  </si>
  <si>
    <t>Namitha</t>
  </si>
  <si>
    <t>p:+918610237277</t>
  </si>
  <si>
    <t>2025-12-27T15:48:39+05:30</t>
  </si>
  <si>
    <t>Udumalpet</t>
  </si>
  <si>
    <t>call busy/she said not interested as of now</t>
  </si>
  <si>
    <t>Rajesh kanna</t>
  </si>
  <si>
    <t>p:+919385703978</t>
  </si>
  <si>
    <t>2025-12-28T10:23:57+05:30</t>
  </si>
  <si>
    <t>Pkm</t>
  </si>
  <si>
    <t>Not Answering/MSC VISCOM 2013, WORKING IN REALESTATE SALES WITH 25K, LOOKING FOR CAREER SWITCH IN DA</t>
  </si>
  <si>
    <t>Not answering the call / he said driving will connect by 4pm / not answering the call texted in whatsapp / dropping the lead due to gone cold</t>
  </si>
  <si>
    <t>🅻 Balakrishnan</t>
  </si>
  <si>
    <t>p:+918667352587</t>
  </si>
  <si>
    <t>2025-12-28T09:36:14+05:30</t>
  </si>
  <si>
    <t>Manapparai</t>
  </si>
  <si>
    <t>BE CSE FINAL YR, LOOKING FOR CAREER IN DA / asked me to call friday 23/01</t>
  </si>
  <si>
    <t>he said need to discuss with parents and will update before eod 07/01 / he is in travelling will connect later 23/01 / not answering the call texted in whatsapp  / dropped due to non responsive</t>
  </si>
  <si>
    <t>@SHAJI-</t>
  </si>
  <si>
    <t>p:+919361594879</t>
  </si>
  <si>
    <t>2025-12-28T07:56:13+05:30</t>
  </si>
  <si>
    <t>Kanniya kumari</t>
  </si>
  <si>
    <t xml:space="preserve">DIP MECH 2025, WORKING AS LINE QUALITY WITH 18K, LOOKING FOR CAREER SWITCH IN TESTING </t>
  </si>
  <si>
    <t xml:space="preserve">he left job so need to discuss with family and will confirm by 10/01 /parents not allowing for paid course he said will refer frnds </t>
  </si>
  <si>
    <t>Beeshmaganth</t>
  </si>
  <si>
    <t>p:+919790695762</t>
  </si>
  <si>
    <t>2025-12-29T07:29:50+05:30</t>
  </si>
  <si>
    <t>dharmapuri</t>
  </si>
  <si>
    <t>Not Answering/ BE ECE 2015. WORKING IN SEMI CONDUCTOR FIELD WITH 580K, LOOKING FOR CAREER CHANGE IN FULLSTACK</t>
  </si>
  <si>
    <t xml:space="preserve">he said will share doc after discussing with wife going with full payment </t>
  </si>
  <si>
    <t>BAIRAVAGANTH</t>
  </si>
  <si>
    <t>82209 94923</t>
  </si>
  <si>
    <t>ref</t>
  </si>
  <si>
    <t xml:space="preserve">BE MECH 2019, WAS WORKING IN JEEVES CONSUMER SERVICES, LAST SALARY WITH 25K, LEFT JOB IN 2024 FOR HIGHER STUDIES, DONE WITH PYTHON COURSE, </t>
  </si>
  <si>
    <t xml:space="preserve">he said will process within 2 days / he said will join today 13/01 / paid 3k </t>
  </si>
  <si>
    <t>Elamparithi Elamparithi</t>
  </si>
  <si>
    <t>p:+916381863020</t>
  </si>
  <si>
    <t>2025-12-28T18:37:33+05:30</t>
  </si>
  <si>
    <t>SIVA</t>
  </si>
  <si>
    <t>p:+919344399951</t>
  </si>
  <si>
    <t>2025-12-28T18:20:58+05:30</t>
  </si>
  <si>
    <t>he said driving will call back/disconnecting the call/not answering the call / Not answering the call texted in whatsapp  / not answering the call</t>
  </si>
  <si>
    <t xml:space="preserve">May Month he will update &amp; follow-up </t>
  </si>
  <si>
    <t>Alex Aj</t>
  </si>
  <si>
    <t>p:+919092903626</t>
  </si>
  <si>
    <t>2025-12-28T17:25:44+05:30</t>
  </si>
  <si>
    <t>Not Answering / he said joined free course</t>
  </si>
  <si>
    <t xml:space="preserve"> ISM</t>
  </si>
  <si>
    <t>Lead Status</t>
  </si>
  <si>
    <t>DINESH</t>
  </si>
  <si>
    <t>p:+917598939063</t>
  </si>
  <si>
    <t>2026-01-13T21:41:53+05:30</t>
  </si>
  <si>
    <t>working_(mechanical_core)__வேலை_செய்கிறேன்_(mechanical_core)</t>
  </si>
  <si>
    <t>immediately__உடனே</t>
  </si>
  <si>
    <t xml:space="preserve">number not in use texted in whatsapp / Texted in whatsapp no response / Not answering the call/  not connected and texted in  whastapp/ </t>
  </si>
  <si>
    <t>𝙃𝘼𝙍𝙄𝙎𝙃</t>
  </si>
  <si>
    <t>p:+917094633156</t>
  </si>
  <si>
    <t>2026-01-13T20:45:01+05:30</t>
  </si>
  <si>
    <t>unemployed_/_job_searching__வேலை_தேடி_வருகிறேன்</t>
  </si>
  <si>
    <t>this_week__இந்த_வாரமே</t>
  </si>
  <si>
    <t>he said mistakenly enquired not interested as of now</t>
  </si>
  <si>
    <t>AKASH P</t>
  </si>
  <si>
    <t>p:+918825525154</t>
  </si>
  <si>
    <t>2026-01-14T10:28:15+05:30</t>
  </si>
  <si>
    <t>Vaniyambadi</t>
  </si>
  <si>
    <t xml:space="preserve"> DME 2022, WORKING IN MACHINE OPERATED CHENNAI  WITH 22K, </t>
  </si>
  <si>
    <t>HE SAID INTERESTED AND READY TO JOIN WITHIN 25/01 / he said will share docu 24/01 / not answering the call texted in whatsapp / gone cold dropped / got accident and interested in Mech cobo and he sent me resume and waiting for apporvel.  / he said will visit offic 20/03 / not answering the call texted in whatsapp / he said will share documents / not answering the call texted in whatsapp / he said will share documents by evening 27/03 / dropping gone cold, seems not interested</t>
  </si>
  <si>
    <t>Adhi</t>
  </si>
  <si>
    <t>p:+919597953908</t>
  </si>
  <si>
    <t>2026-01-14T08:24:37+05:30</t>
  </si>
  <si>
    <t>Not answering the call / Texted in whatsapp / Not answering the call / not answering the call</t>
  </si>
  <si>
    <t>Santhosh Mech</t>
  </si>
  <si>
    <t>p:+916383555593</t>
  </si>
  <si>
    <t>2026-01-14T07:33:44+05:30</t>
  </si>
  <si>
    <t>later__பிறகு</t>
  </si>
  <si>
    <t>disconnecting the call /  Texted in whatsapp  / Not answering the call / DME MECH 2021, WORKING IN GK INDUSTRIES WITH 18K, LOOKING FOR MECH COMBO</t>
  </si>
  <si>
    <t>he said will confirm 09/02 / not answering the call texted in whatsapp , he said plan dropped as of now</t>
  </si>
  <si>
    <t>Rajesh R</t>
  </si>
  <si>
    <t>p:+918825704929</t>
  </si>
  <si>
    <t>2026-01-14T06:12:40+05:30</t>
  </si>
  <si>
    <t>Thiruvannamalai</t>
  </si>
  <si>
    <t>Not answering the call / DME 2020, WORKING IN BIKE SHOWROOM ,NOT INTERESTED IN PAID COURSE</t>
  </si>
  <si>
    <t>Gopinath</t>
  </si>
  <si>
    <t>p:+918925497872</t>
  </si>
  <si>
    <t>2026-01-14T05:52:25+05:30</t>
  </si>
  <si>
    <t>final_year_student__final_year_student</t>
  </si>
  <si>
    <t>Disconnecting the call</t>
  </si>
  <si>
    <t>Not answering the call / Texted in whatsapp / disconnecting the call/ joined somewhere/</t>
  </si>
  <si>
    <t>RAFI</t>
  </si>
  <si>
    <t>p:9080709193</t>
  </si>
  <si>
    <t>2026-01-14T02:40:58+05:30</t>
  </si>
  <si>
    <t xml:space="preserve">HE IS FROM SALEM LOOKING FOR ONLY OFFLINE, BE MECH 2ND YR, MAHINDRA COLLEGE, LOOKING FOR AUTOCAD BUT FREE COURSE </t>
  </si>
  <si>
    <t>പ്രകൃതി സ്നേഹി</t>
  </si>
  <si>
    <t>p:6379228509</t>
  </si>
  <si>
    <t>2026-01-14T08:17:55+05:30</t>
  </si>
  <si>
    <t>Tirupur</t>
  </si>
  <si>
    <t xml:space="preserve">Plan Dropped </t>
  </si>
  <si>
    <t>Vikram</t>
  </si>
  <si>
    <t>p:+919566861924</t>
  </si>
  <si>
    <t>2026-01-14T15:47:37+05:30</t>
  </si>
  <si>
    <t>Villupuram</t>
  </si>
  <si>
    <t>Not answering the call / Disconnecting the call texted in whatsapp / he said not interested and disconnected the call</t>
  </si>
  <si>
    <t>~gokul~...!!</t>
  </si>
  <si>
    <t>p:+918778204925</t>
  </si>
  <si>
    <t>2026-01-16T11:30:53+05:30</t>
  </si>
  <si>
    <t>Gokul</t>
  </si>
  <si>
    <t>looking for only job not interested in course</t>
  </si>
  <si>
    <t>Sabari</t>
  </si>
  <si>
    <t>p:+919385381558</t>
  </si>
  <si>
    <t>2026-01-16T10:14:25+05:30</t>
  </si>
  <si>
    <t>Satyamangalam</t>
  </si>
  <si>
    <t>he said not interestedin paid course</t>
  </si>
  <si>
    <t>Buhari Kamsa</t>
  </si>
  <si>
    <t>p:+918438143467</t>
  </si>
  <si>
    <t>2026-01-16T08:08:03+05:30</t>
  </si>
  <si>
    <t>chennai</t>
  </si>
  <si>
    <t xml:space="preserve">BCOM 2017, DOING BUSINESS , WAS IN DUBAI FOR 5YRS, </t>
  </si>
  <si>
    <t xml:space="preserve">Not answering the call  Texted in wahtsapp / he said driving will call back / he said will join 26/01 , discussed with wife she said will join maximum before 27/01 / not answering the call / not interested </t>
  </si>
  <si>
    <t>dream_ catcher 143</t>
  </si>
  <si>
    <t>p:+918925245795</t>
  </si>
  <si>
    <t>2026-01-16T02:49:16+05:30</t>
  </si>
  <si>
    <t>she said not interested and disconnected the call</t>
  </si>
  <si>
    <t>Sivasankar</t>
  </si>
  <si>
    <t>p:+919597726796</t>
  </si>
  <si>
    <t>2026-01-16T00:29:08+05:30</t>
  </si>
  <si>
    <t>he said in work can connect only after 0730 / CB 0730/ DNP-26-02/</t>
  </si>
  <si>
    <t>Raghulrajendran</t>
  </si>
  <si>
    <t>p:+918883550742</t>
  </si>
  <si>
    <t>2026-01-15T23:19:52+05:30</t>
  </si>
  <si>
    <t>Kovilpatti</t>
  </si>
  <si>
    <t>Not answering the call / Texted in whatsapp / Not answering the call  / disconnecting the call/ DNP-26-02</t>
  </si>
  <si>
    <t>B H A R A T H I</t>
  </si>
  <si>
    <t>p:9500218717</t>
  </si>
  <si>
    <t>2026-01-15T19:26:04+05:30</t>
  </si>
  <si>
    <t xml:space="preserve">Not answering the call / Texted in whatsapp  / he said mistakenly enquired </t>
  </si>
  <si>
    <t>Krishnaraj v</t>
  </si>
  <si>
    <t>p:+917604894775</t>
  </si>
  <si>
    <t>2026-01-15T14:55:26+05:30</t>
  </si>
  <si>
    <t>MBA 2024, WORKING AS QC IN EXPORT COMPANY WITH 10K, LOOKING FOR CAREER SWITCH IN DA</t>
  </si>
  <si>
    <t>HE SAID WILL CONFIRM BY 22/01 3PM / not answering the call texted in whatsapp / not answering the call texted in whatsapp / plan dropped he said</t>
  </si>
  <si>
    <t>Thiyagu Velusamy</t>
  </si>
  <si>
    <t>p:+916369872562</t>
  </si>
  <si>
    <t>2026-01-15T13:20:02+05:30</t>
  </si>
  <si>
    <t>Kangeyam</t>
  </si>
  <si>
    <t>BE ECE 2019, DOING PART TIME WORK,  HE SAID NOT INTERESTED IN PAID COURSE</t>
  </si>
  <si>
    <t>Mukesh</t>
  </si>
  <si>
    <t>p:8072623878</t>
  </si>
  <si>
    <t>2026-01-15T10:40:15+05:30</t>
  </si>
  <si>
    <t>Kumbakonam</t>
  </si>
  <si>
    <t xml:space="preserve">BE MECH 2016 , WORKING IN PRODUCTION WITH 25K, </t>
  </si>
  <si>
    <t xml:space="preserve">Not answering the call  Texted in wahtsapp / Disconnecting the call texted in whatsapp / gone cold dropped </t>
  </si>
  <si>
    <t>kaviya</t>
  </si>
  <si>
    <t>p:+918668047291</t>
  </si>
  <si>
    <t>2026-01-14T21:44:43+05:30</t>
  </si>
  <si>
    <t>Karaikudi</t>
  </si>
  <si>
    <t>Future Prospect Leads</t>
  </si>
  <si>
    <t>MBA HR 2020, HOUSE WIFE , LOOKING FOR TESTING JOB / she said will join feb end</t>
  </si>
  <si>
    <t>she said ready to join but for fees need to discuss with parents / she said will join may month only / DNP-31-03</t>
  </si>
  <si>
    <t>Mani</t>
  </si>
  <si>
    <t>p:+919345009636</t>
  </si>
  <si>
    <t>2026-01-16T23:44:53+05:30</t>
  </si>
  <si>
    <t xml:space="preserve">Not answering the call / he said he dint enquired and disconnected the call </t>
  </si>
  <si>
    <t>divya</t>
  </si>
  <si>
    <t>p:+917604965579</t>
  </si>
  <si>
    <t>2026-01-16T21:48:47+05:30</t>
  </si>
  <si>
    <t>Mettupalaiyam coimbatore</t>
  </si>
  <si>
    <t xml:space="preserve">BSC IT FINAL , NOT INTERESTED </t>
  </si>
  <si>
    <t>Lakshmi</t>
  </si>
  <si>
    <t>p:+919042726653</t>
  </si>
  <si>
    <t>2026-01-16T20:20:27+05:30</t>
  </si>
  <si>
    <t>Not answering the call / Texted in whatsapp  / she said not interested in course</t>
  </si>
  <si>
    <t>PS Sakthivel</t>
  </si>
  <si>
    <t>p:+919080475822</t>
  </si>
  <si>
    <t>2026-01-16T18:37:03+05:30</t>
  </si>
  <si>
    <t>salem.636006</t>
  </si>
  <si>
    <t>call busy / HE ENQUIRED FOR HIS SON, BE ECE 2020, FRESHER , CAREER GAP HE SAID WILLCONNECT WITH HIS SON</t>
  </si>
  <si>
    <t xml:space="preserve">looking for 10-15k course with job </t>
  </si>
  <si>
    <t>SADHIK</t>
  </si>
  <si>
    <t>p:+919133744091</t>
  </si>
  <si>
    <t>2026-01-16T10:21:51+05:30</t>
  </si>
  <si>
    <t>coimbatore</t>
  </si>
  <si>
    <t>Not answering the call / Texted in whatsapp / not answering the call / he said not interested and disconnected the call</t>
  </si>
  <si>
    <t>Ran J Ith</t>
  </si>
  <si>
    <t>p:+919747369609</t>
  </si>
  <si>
    <t>2026-01-16T09:13:12+05:30</t>
  </si>
  <si>
    <t>working_(non-core_/_production_/_maintenance)__வேலை_செய்கிறேன்_(non-core_/_production_/_maintenance)</t>
  </si>
  <si>
    <t xml:space="preserve">BE MECH 2017, WORKING CURRENTLY IN IT WITH 35K, LOOKING FOR CAREER SWITCH </t>
  </si>
  <si>
    <t>vimal nishanth</t>
  </si>
  <si>
    <t>p:+916379826700</t>
  </si>
  <si>
    <t>2026-01-16T09:00:01+05:30</t>
  </si>
  <si>
    <t>Not answering the call / Texted in whatsapp  / Not answering the call / not answering the call /DNP-26-02/</t>
  </si>
  <si>
    <t>ravi_7_5_0_1</t>
  </si>
  <si>
    <t>p:+919566317219</t>
  </si>
  <si>
    <t>2026-01-16T08:18:45+05:30</t>
  </si>
  <si>
    <t>Punjai Puliyampatti</t>
  </si>
  <si>
    <t xml:space="preserve">Not answering the call / BE MECH 2021, WORKING CURRENTLY IN QUALITY WITH 30K, </t>
  </si>
  <si>
    <t>he said need to discuss need some time 23/01 / he ssid still in confusion wethr course or job so takes time CB 27/01 / not answering the call texted in whatsapp / CB 26/02/ DNP-11-03/ May month FPL &amp; he wants only Upskilling Auto cad/</t>
  </si>
  <si>
    <t>𝗔𝗱𝗵𝗶_</t>
  </si>
  <si>
    <t>p:+916380804135</t>
  </si>
  <si>
    <t>2026-01-16T06:32:26+05:30</t>
  </si>
  <si>
    <t>BE AUTOMOBILE FINAL YR,  LOOKING FOR SCHOLARSHIP</t>
  </si>
  <si>
    <t>Scholarship provioded 50% and shared details in whatsapp / he said parents wont allow for paid course</t>
  </si>
  <si>
    <t>dilip</t>
  </si>
  <si>
    <t>p:+919345621885</t>
  </si>
  <si>
    <t>2026-01-16T00:17:09+05:30</t>
  </si>
  <si>
    <t>Not answering the call / BE ROBOTICS 3RD YR, not much interested BUT SHARED DETAILS IN MESSAGE</t>
  </si>
  <si>
    <t>he said not interested fees high</t>
  </si>
  <si>
    <t>Boopesh Boopesh</t>
  </si>
  <si>
    <t>p:+919843191610</t>
  </si>
  <si>
    <t>2026-01-15T17:17:48+05:30</t>
  </si>
  <si>
    <t>Mettupalayam</t>
  </si>
  <si>
    <t>switchedoff / Texted in whatsapp  / he said already completed the course looking for only job</t>
  </si>
  <si>
    <t>Muthu Kumar</t>
  </si>
  <si>
    <t>p:+919080113647</t>
  </si>
  <si>
    <t>2026-01-15T17:08:39+05:30</t>
  </si>
  <si>
    <t>switchedoff / Texted in whatsapp  / not answering the call/ Joined somewhere/</t>
  </si>
  <si>
    <t>Vicky</t>
  </si>
  <si>
    <t>p:+918637450390</t>
  </si>
  <si>
    <t>2026-01-15T16:12:51+05:30</t>
  </si>
  <si>
    <t xml:space="preserve">Not answering the call / switchedoff texted in wahtsapp / looking for only internship </t>
  </si>
  <si>
    <t>Vijay Jk</t>
  </si>
  <si>
    <t>p:+918610498870</t>
  </si>
  <si>
    <t>2026-01-15T15:03:06+05:30</t>
  </si>
  <si>
    <t xml:space="preserve">Not answering the call / not in whatsapp  / ITI MECH 2021, WORKING IN CMC WITH 18K, LOOKING FOR AUTOCAD 9188318081 </t>
  </si>
  <si>
    <t>NOT ANSWERING THE CALL TEXTED IN WHATSAPP / he said will confirm by 10/02 / he will join by 12/02 /  he will be visiting within this week / paid 35k remaining 5k next month</t>
  </si>
  <si>
    <t>Godwin M</t>
  </si>
  <si>
    <t>p:+918015507584</t>
  </si>
  <si>
    <t>2026-01-15T11:45:36+05:30</t>
  </si>
  <si>
    <t>Mayiladudhurai</t>
  </si>
  <si>
    <t>switchedoff / Not answering the call Texted in whatsapp  / not answering the call /BE MECH FINAL YR, LOOKING FOR AUTOCAD</t>
  </si>
  <si>
    <t>no response for call even in whatsapp he blocked</t>
  </si>
  <si>
    <t>Ꮶᴀvi࿐</t>
  </si>
  <si>
    <t>p:+916382763564</t>
  </si>
  <si>
    <t>2026-01-15T10:06:27+05:30</t>
  </si>
  <si>
    <t>Pudukkottai</t>
  </si>
  <si>
    <t>Not answering the call / BE MECH FINAL YR , LOOKING FOR FREE COURSE OR INTERN</t>
  </si>
  <si>
    <t>p:+919043180312</t>
  </si>
  <si>
    <t>2026-01-15T05:20:39+05:30</t>
  </si>
  <si>
    <t>Sarcarsamakulam</t>
  </si>
  <si>
    <t>fresher_–_completed_degree__fresher_–_degree_முடித்து_இருக்கிறேன்</t>
  </si>
  <si>
    <t xml:space="preserve">Not answering the call / BE MECH 2025, DOING PART TIME JOB, FUSION 360 COMPLETED COURSE </t>
  </si>
  <si>
    <t xml:space="preserve">Not answering the call texted in whatsapp / not answering the call / dropping the lead gone cold </t>
  </si>
  <si>
    <t>M̤ M̤O̤H̤A̤M̤M̤E̤D̤ R̤A̤B̤E̤E̤K̤</t>
  </si>
  <si>
    <t>p:+919677340091</t>
  </si>
  <si>
    <t>2026-01-15T04:29:11+05:30</t>
  </si>
  <si>
    <t xml:space="preserve">Not answering the call /called back and she gave her hus number /BE MECH 2009, WORKING CURRENTLY IN PRODUCTION WITH 42K, </t>
  </si>
  <si>
    <t>Not answering the call / he called me back he said will confirm he is in confusion / hesaid will cb 27/01 in hospital / not answering the call texting in whatsapp / NOT ANSWERING THE CALL/DNP-11-03/ DNP=31-3/ / gone cold dropped 24/04</t>
  </si>
  <si>
    <t>Naveen Kumar</t>
  </si>
  <si>
    <t>p:+918072963597</t>
  </si>
  <si>
    <t>2026-01-14T23:08:23+05:30</t>
  </si>
  <si>
    <t>hosur</t>
  </si>
  <si>
    <t xml:space="preserve">DME 2009, WORKING CURRENTLY IN HOSUR IN DESIGNING WITH 40K, LOOKING FOR CATIA, LOOKING FOR ONLY COURSE </t>
  </si>
  <si>
    <t>Not answering the call texted in whatsapp / he said not interested and disconnected the call</t>
  </si>
  <si>
    <t>Tʜɪʀᴜ</t>
  </si>
  <si>
    <t>p:+919384192012</t>
  </si>
  <si>
    <t>2026-01-16T21:22:33+05:30</t>
  </si>
  <si>
    <t>Not answering the call / Texted in whatsapp  / he said college students mistakenly enquired</t>
  </si>
  <si>
    <t>Karuna Moorthy</t>
  </si>
  <si>
    <t>p:+917904534342</t>
  </si>
  <si>
    <t>2026-01-19T07:22:00+05:30</t>
  </si>
  <si>
    <t>pudukkottai</t>
  </si>
  <si>
    <t xml:space="preserve">Not answering the call / Texted in whatsapp / Not answering the call /not answering the call/ BE-MECH 2017, CNC operator 5 years and not interested </t>
  </si>
  <si>
    <t xml:space="preserve">BE-MECH 2017, CNC operator 5 years, </t>
  </si>
  <si>
    <t>கோவை வாசி</t>
  </si>
  <si>
    <t>p:+919789528292</t>
  </si>
  <si>
    <t>2026-01-19T05:37:24+05:30</t>
  </si>
  <si>
    <t>No incoming texted in whatsapp / no response in whatsapp / dropping no incoming</t>
  </si>
  <si>
    <t>Hari Sathish Kumar</t>
  </si>
  <si>
    <t>p:+919597224330</t>
  </si>
  <si>
    <t>2026-01-18T16:46:33+05:30</t>
  </si>
  <si>
    <t xml:space="preserve">No incoming texted in whatsapp he replied me that he is in UAE HE DID DME </t>
  </si>
  <si>
    <t>he dint respond in whatsapp / gone cold dropping the lead</t>
  </si>
  <si>
    <t>Ananth M</t>
  </si>
  <si>
    <t>p:+917871614353</t>
  </si>
  <si>
    <t>2026-01-18T16:26:14+05:30</t>
  </si>
  <si>
    <t>Not answering the call / BE AUTO MOBILE 3RD YR IN KCT , LOOKING FOR FREE COURSE HE ALREADY DONE COURSES BUT SHARED DETAILS HE SAID WILL CALL BACK IF NEEDED</t>
  </si>
  <si>
    <t>satheesha</t>
  </si>
  <si>
    <t>p:+919663510411</t>
  </si>
  <si>
    <t>2026-01-18T10:53:20+05:30</t>
  </si>
  <si>
    <t>looking for only offline course in bangalore</t>
  </si>
  <si>
    <t>Yuva</t>
  </si>
  <si>
    <t>p:+918072117367</t>
  </si>
  <si>
    <t>2026-01-18T10:32:12+05:30</t>
  </si>
  <si>
    <t>No Incoming</t>
  </si>
  <si>
    <t>No incoming texted in whatsapp / texted in whatsapp / out of services</t>
  </si>
  <si>
    <t>Prakash kannan</t>
  </si>
  <si>
    <t>p:+918015706382</t>
  </si>
  <si>
    <t>2026-01-18T09:15:50+05:30</t>
  </si>
  <si>
    <t xml:space="preserve">No incoming texted in whatsapp /.BE MECH 3RD YR DISCOUNTINUED, BCA ONLINE 1ST YR, WORKING IN WIRING WITH 18K, LOOKING FOR AUTOCAD &amp; ALL </t>
  </si>
  <si>
    <t>Not answering the call texted in whatsapp / he said will confirm by 3pm 21/01 / EMI applied 22/01 &amp; rejected, shared mother docs</t>
  </si>
  <si>
    <t>First_love_V</t>
  </si>
  <si>
    <t>p:+916383070189</t>
  </si>
  <si>
    <t>2026-01-18T08:13:25+05:30</t>
  </si>
  <si>
    <t>Not answering the call / Disconnecting the call texted in whatsapp, he replied that will call by evening / he said not interested</t>
  </si>
  <si>
    <t>abhinav saxena</t>
  </si>
  <si>
    <t>p:+918770368719</t>
  </si>
  <si>
    <t>2026-01-18T01:04:05+05:30</t>
  </si>
  <si>
    <t xml:space="preserve">BE MECH 2023, NOT WORKING, FRESHER </t>
  </si>
  <si>
    <t xml:space="preserve">Not answering the call  Texted in wahtsapp / he said not interested and disconencted </t>
  </si>
  <si>
    <t>Deepak M</t>
  </si>
  <si>
    <t>p:+917530056549</t>
  </si>
  <si>
    <t>2026-01-17T23:17:21+05:30</t>
  </si>
  <si>
    <t>Not answering the call /Mistakenly enquired  and its not deepak</t>
  </si>
  <si>
    <t>v.dhivakar</t>
  </si>
  <si>
    <t>p:+918754667892</t>
  </si>
  <si>
    <t>2026-01-17T22:46:45+05:30</t>
  </si>
  <si>
    <t xml:space="preserve">Not answering the call  /BE 3RD YR ,NOT INTERESTED IN PAID COURSE </t>
  </si>
  <si>
    <t>Sankar</t>
  </si>
  <si>
    <t>p:+919345163712</t>
  </si>
  <si>
    <t>2026-01-17T21:23:06+05:30</t>
  </si>
  <si>
    <t>Denkanimottai</t>
  </si>
  <si>
    <t xml:space="preserve">Disconnecting the call / Texted in whatsapp / BE MECH 2022, WORKING IN MANUFACTURING WITH 52K, ALRDY DONE BASIC </t>
  </si>
  <si>
    <t xml:space="preserve">HE SAID READY TO JOIN BUT HE IS FROM HOSUR SO THINKING ABOUT OFFLINE / gone cold he is not responding even after attending calls </t>
  </si>
  <si>
    <t>Ajithkumar M</t>
  </si>
  <si>
    <t>p:+919567845266</t>
  </si>
  <si>
    <t>2026-01-17T19:12:29+05:30</t>
  </si>
  <si>
    <t>Not answering the call / Switchedoff texted in wahtsapp / he said completed course looking for only job</t>
  </si>
  <si>
    <t>𝐑 𝐀 𝐅 𝐄 𝐄 𝐊</t>
  </si>
  <si>
    <t>p:+919943568066</t>
  </si>
  <si>
    <t>2026-01-19T10:30:36+05:30</t>
  </si>
  <si>
    <t>Tiruchirappalli</t>
  </si>
  <si>
    <t xml:space="preserve">Not answering the call  / BE MECH 3RD YR LOOKING FOR ONLY FREE COURSE AND IF INTERESTED IN PAID COURSE WILL CALL AFTER 7TH SEM </t>
  </si>
  <si>
    <t>Santhosh Ram</t>
  </si>
  <si>
    <t>p:9360025721</t>
  </si>
  <si>
    <t>2026-01-19T00:05:53+05:30</t>
  </si>
  <si>
    <t xml:space="preserve">Not answering the call / Texted in whatsapp  / Not answering the call / not answering the call texted in whatsapp / swicthed off - Texted in whatsapp 26-02/ </t>
  </si>
  <si>
    <t>Sandeep</t>
  </si>
  <si>
    <t>p:+919655098772</t>
  </si>
  <si>
    <t>2026-01-18T23:03:07+05:30</t>
  </si>
  <si>
    <t xml:space="preserve">disconnecting the call / Texted in whatsapp / Not answering the call / not answering the call texted in whatsapp/ DNP-26-02/ </t>
  </si>
  <si>
    <t>محمد شاهيك</t>
  </si>
  <si>
    <t>p:+918637408277</t>
  </si>
  <si>
    <t>2026-01-18T22:28:10+05:30</t>
  </si>
  <si>
    <t>Tamil nadu</t>
  </si>
  <si>
    <t>he said mistakenly enquired and disconnected the call</t>
  </si>
  <si>
    <t>V.𝐀𝐧𝐚𝐧𝐝</t>
  </si>
  <si>
    <t>p:+918148403792</t>
  </si>
  <si>
    <t>2026-01-18T14:48:08+05:30</t>
  </si>
  <si>
    <t>BE MECH 2025, WORKING IN ELECTRICAL WITH 20K, LOOKING FOR CAREER CHANGE IN DATA ANALYTICS</t>
  </si>
  <si>
    <t xml:space="preserve">HE SAID WILL SHARE EMI DOCUMENTS AFTER DISCUSSING WITH PARENTS / he said need to check for emi with parents will complete process 27/01 / he said plan dropped </t>
  </si>
  <si>
    <t>Cyril Fernandez</t>
  </si>
  <si>
    <t>p:+919585075127</t>
  </si>
  <si>
    <t>2026-01-18T09:40:15+05:30</t>
  </si>
  <si>
    <t>BA FRECH 2022, WORKING IN HCL TECH VOICE PROCESS WITH 25K, LOOKING FOR UPSAKILLS</t>
  </si>
  <si>
    <t>he dint share resume based on eligibility need to check  / dropping the lead due to gone cold</t>
  </si>
  <si>
    <t>panjumarimuthu</t>
  </si>
  <si>
    <t>p:+918667025873</t>
  </si>
  <si>
    <t>2026-01-17T22:33:31+05:30</t>
  </si>
  <si>
    <t xml:space="preserve">Not answering the call  / MSC IT 2014, WORKING AS SUPERVISOR WITH 20K, LOOKING FOR TESTING COURSE </t>
  </si>
  <si>
    <t>HE SAID WILL CONFIRM BY 22/01 / shared doc 22/01 applied and approved  / emi process compelted 29/01</t>
  </si>
  <si>
    <t>s.sumithra</t>
  </si>
  <si>
    <t>p:+917395849711</t>
  </si>
  <si>
    <t>2026-01-17T21:47:32+05:30</t>
  </si>
  <si>
    <t>she said busy will call back after 0630 / Not answering the call texted in whatsapp / BCA 2022, WAS WORKING AS SYS ADMINLEFT JOB IN 2025 ,</t>
  </si>
  <si>
    <t>Not answering the call texted in whatsapp / she said need to discuss with parents for emi CB 28/01 / she said looking for 10k course</t>
  </si>
  <si>
    <t>" ~ Hey .....</t>
  </si>
  <si>
    <t>p:+916380815077</t>
  </si>
  <si>
    <t>2026-01-17T13:21:35+05:30</t>
  </si>
  <si>
    <t>Vellakovil</t>
  </si>
  <si>
    <t>he said he dint enquired</t>
  </si>
  <si>
    <t>Monday, 19 January 2026 13:30.</t>
  </si>
  <si>
    <t>Fb</t>
  </si>
  <si>
    <t>No growth</t>
  </si>
  <si>
    <t>Need to discuss with family</t>
  </si>
  <si>
    <t>he said he is in meeting will CB in 1hour / he said mistakenly enquired and disconnected the call</t>
  </si>
  <si>
    <t>ajaykumar</t>
  </si>
  <si>
    <t>career gap</t>
  </si>
  <si>
    <t>imeediate joiner</t>
  </si>
  <si>
    <t>BE MECH 2023, WAS WORKING IN FINANCE FOR 2MONTHS, COMPLETE CAREER GAP, LOOKING FOR ST</t>
  </si>
  <si>
    <t>Not answering the call texted in whatsapp / not answering the call / nOt answering the call texted in whatsapp / he texted in whatsapp that his father passedaway so dropped plan</t>
  </si>
  <si>
    <t>siberaj</t>
  </si>
  <si>
    <t>BE MECH 2025, BACKLOGS ARE THERE NO EXP, LOOKING FOR DESIGN ENGINEER</t>
  </si>
  <si>
    <t>he texted me in whatsapp to CB 0130 pm 29/01 / he said will confirm within 2days 31/01 /HE WILL PAY 31/01 / enrolled 31/01</t>
  </si>
  <si>
    <t>Vinoth kumar</t>
  </si>
  <si>
    <t xml:space="preserve">DIP 2012, doing autocad course, looking for upskill for business or freelancing / paid 22k , sketchup and luminos </t>
  </si>
  <si>
    <t>Moneshang</t>
  </si>
  <si>
    <t>28/01/2026</t>
  </si>
  <si>
    <t>tirupur</t>
  </si>
  <si>
    <t>fresher</t>
  </si>
  <si>
    <t>looking for intern</t>
  </si>
  <si>
    <t>BE CSE FINAL YR , JAI SHREERAM COLLEGE looking for DA intern not interested in paid course</t>
  </si>
  <si>
    <t>srishanth</t>
  </si>
  <si>
    <t>sitra</t>
  </si>
  <si>
    <t>DME 2024, WORKING IN PRICOL IN ASSEMLY WITH 20K, 9344637977</t>
  </si>
  <si>
    <t>Not answering the call texted in whatsapp / HE SAID WILL JOIN WITHIN MONDAY 02/02 he said not interested as of now</t>
  </si>
  <si>
    <t>amirtesh</t>
  </si>
  <si>
    <t>peelamedu</t>
  </si>
  <si>
    <t>web</t>
  </si>
  <si>
    <t>student</t>
  </si>
  <si>
    <t>Not answering the call / not answering the call texted in whatsapp / mistakenly enquired</t>
  </si>
  <si>
    <t>raja</t>
  </si>
  <si>
    <t>he said outside will call back / not answering the call / ITI 2024, WORKING CURRENTLY WITH 18K, LOOKING FOR DA  / he called me said looking for only job</t>
  </si>
  <si>
    <t>he said will confirm by 02/02</t>
  </si>
  <si>
    <t>prabhu</t>
  </si>
  <si>
    <t>EMBEDDED</t>
  </si>
  <si>
    <t>Not answering the call texted i n whatsapp / BE EEE 2018, WORKING IN PCB, LOOKING TO SWITCH IN EMBEDDED / HE SAID WILL VISIT</t>
  </si>
  <si>
    <t>HE SAID WILL JOIN BY 02/02 / he will pay tdy 03/02 / he said couldnt arrange money so will go next batch after 2 months/ DNP-11-03/ DNP-31-03/</t>
  </si>
  <si>
    <t>Mithoon prasad</t>
  </si>
  <si>
    <t>BE EEE 2016, WORKING IN NON IT ELECTRICAL with 40k, left job in 2024, LOOKING FOR IT SWITCH , no resume</t>
  </si>
  <si>
    <t>he visited office 30/01 will join on monday 02/02 / paid 15k remaining on 05/02</t>
  </si>
  <si>
    <t>Moulesh</t>
  </si>
  <si>
    <t xml:space="preserve">DIPLOMA CIVIL 2024, SITE ENGINEERING WITH 20K, LOOKING FOR COURSE TRAINING </t>
  </si>
  <si>
    <t>Not answering the call / not answering the call / not answering the call texted in whatsapp / dropping gone cold</t>
  </si>
  <si>
    <t>switchedoff texted in whatsapp / switchedoff / he texted in whatsapp and asked em to share civil course details / no response / switchedoff/ he texted in whatsapp that joined already</t>
  </si>
  <si>
    <t>sathya</t>
  </si>
  <si>
    <t>not answering the call texted in whatsapp / no incoming / someone responsed and said not avilable will connect later / switchedoff he said wrong number</t>
  </si>
  <si>
    <t>vasanth</t>
  </si>
  <si>
    <t>REF BY SIBENRAJ ,BE MECH 20265, 2 BACKLOGS, WORKING IN LOCAL F0R 15K, LOOKING FOR MECH COMBO</t>
  </si>
  <si>
    <t xml:space="preserve">he said will join 31/01 / paid 5k and emi docs shared </t>
  </si>
  <si>
    <t>Others</t>
  </si>
  <si>
    <t>not answering the call texted in whatsapp / not answering the call / he said mistakenly enquired and disconnected the call</t>
  </si>
  <si>
    <t>gowtham</t>
  </si>
  <si>
    <t xml:space="preserve">NB : BE MECH 2024, WAS WORKING AS QUALITY INS WITH 20K, LEFT DEC 2024, LOOKING FOR IT &amp; COMBO </t>
  </si>
  <si>
    <t>he said will join by 02/02 / he visited office he said will join next month/DNP-03-11/ / not answering the call texted in whatsapp / since there is no proper response droping profile/ DNP -31-03/</t>
  </si>
  <si>
    <t>lavanya</t>
  </si>
  <si>
    <t>NB :  not answering the call texted in whatsapp / not answering the call / she is from telangana looking for only job</t>
  </si>
  <si>
    <t>sathyamani</t>
  </si>
  <si>
    <t>NB : MCA 2021, WORKING IN FSD PYTHON WITH 30K IN BUG CREATIVE, LOOKING FOR UPSKILL AND JOB GROWTH INSIDE SAME COMPANY</t>
  </si>
  <si>
    <t xml:space="preserve">not answering the call texted in whatsapp / SHE SAID ONLY LOOKING FOR JOB </t>
  </si>
  <si>
    <t>damodara prasath</t>
  </si>
  <si>
    <t>sathy</t>
  </si>
  <si>
    <t>not answering the call / DCE 2022, WAS WORKING IN 3D DESIGNER WITH 25K, LOOKING FOR CIVIL</t>
  </si>
  <si>
    <t>he said will join within 05/02 / he paid 5k and remaining on emi</t>
  </si>
  <si>
    <t>Promotion</t>
  </si>
  <si>
    <t>delhi</t>
  </si>
  <si>
    <t xml:space="preserve">NB : no incoming texted in whatsapp / he is working in promotion company  </t>
  </si>
  <si>
    <t>vadivel</t>
  </si>
  <si>
    <t>DADS</t>
  </si>
  <si>
    <t>8778155795, BE MECH 2021, 3YRS CAREER GAP, WORKING CURRENTLY IN NON IT AS SITE ENGINEER WITH 15K, LOOKING FOR IT</t>
  </si>
  <si>
    <t>he said will confirm by 08/02 / not answering the call texted in whatsapp he replied that not interested</t>
  </si>
  <si>
    <t>ovya</t>
  </si>
  <si>
    <t>MCA 2023, WORKING IN IP DOMAIN NON TECH WITH 250K, LOOKING FOR CLOUD DEVOPS</t>
  </si>
  <si>
    <t>not answering the call / she said plan dropped as of now</t>
  </si>
  <si>
    <t>mathew</t>
  </si>
  <si>
    <t>BSC PHYSCOLOGY 2014, WORKING WITH 20k, LOOKING FOR JOB IN IT / HE SAID IN WORK WILL CALL  / switchedoff / switchedoff / DROPPING GONE COLD</t>
  </si>
  <si>
    <t>yogi</t>
  </si>
  <si>
    <t>HE TEXTED IN WHATSAPP THAT LOOKING FOR ONLY JOB</t>
  </si>
  <si>
    <t>BA TOUSISM 2024, WORKING IN CUSTOMER HANDLING WITH 18K, LOOKING FOR AI  / BUSY IN ANOTHER CALL /not answering the call / not answering the call texted in whatsapp / NOT ANSWERING THE CALL</t>
  </si>
  <si>
    <t>DNP- Texted in whatsapp -26-02/</t>
  </si>
  <si>
    <t>sivaranjani</t>
  </si>
  <si>
    <t>BA ECO 2026, WORKING AS MOBILE MANUFACTURING WITH 15K, LOOKING FOR DA</t>
  </si>
  <si>
    <t>she said will join within 5days need to discuss with her borther for emi /call back 13/02 / she will  join within 4days / not answering / she said emi issue so will decide and share documents  / applied in bajaj &amp; approved 25/02 / processsed in bajaj 25/02</t>
  </si>
  <si>
    <t>Number switchedoff / number switchedoff no response in whatsapp / switchedoff / switchedoff dropping the lead</t>
  </si>
  <si>
    <t>not answering the call / not answering the cal texted  in whatsapp / replied in whatsapp looking for tally job</t>
  </si>
  <si>
    <t>anu</t>
  </si>
  <si>
    <t>BSC AIDS 2ND YR IN VENKADESWARA COLLEGE, LOOKING FOR OFFLINE CENTRE IN TIRUPUR</t>
  </si>
  <si>
    <t>prabakaran</t>
  </si>
  <si>
    <t>looking for job</t>
  </si>
  <si>
    <t>he is a video editor looking for job</t>
  </si>
  <si>
    <t>rajkumar</t>
  </si>
  <si>
    <t>he said looking for only job</t>
  </si>
  <si>
    <t xml:space="preserve">he said mistakenly enquired but will check with family memebrs </t>
  </si>
  <si>
    <t>roshan</t>
  </si>
  <si>
    <t xml:space="preserve">his friend visited office to enquire about autocad BE MECH FINAL YR, LOOKING FOR MECH COMBO </t>
  </si>
  <si>
    <t xml:space="preserve">not answering the call texted in whatsapp / HE CALLED ME BACK HE SAID WILL UPDATE BY 09/02 / HE SAID GOT INTERN SHIP SO PLAN DROPPED </t>
  </si>
  <si>
    <t>Lakshmana Prakash</t>
  </si>
  <si>
    <t>2026-01-12T12:10:46+05:30</t>
  </si>
  <si>
    <t>Not answering the call Texted in whatsapp /MBA 2025, LOOKING FOR HOSPITALITY , SIMPLY ENQUIRED</t>
  </si>
  <si>
    <t>DNP-24-03</t>
  </si>
  <si>
    <t>Aysu Babu</t>
  </si>
  <si>
    <t>2026-01-11T19:19:11+05:30</t>
  </si>
  <si>
    <t>Not answering the call / she said mistakenly enquired</t>
  </si>
  <si>
    <t>Kamal</t>
  </si>
  <si>
    <t>2026-01-11T15:58:02+05:30</t>
  </si>
  <si>
    <t xml:space="preserve">BSC CSE 2020, WORKING CURRENTLY IN LIFE SCIENCE WITH 600K, </t>
  </si>
  <si>
    <t xml:space="preserve">he said ready to join will confirm by 22/01 / he said will confirm by 4pm 23/01 / he dint inform so sent final intimation in WA / He was stuck with project work and he will confirm and call back march / He stuck with project work/ </t>
  </si>
  <si>
    <t>Abinandhan A</t>
  </si>
  <si>
    <t>SolidWorks</t>
  </si>
  <si>
    <t xml:space="preserve">Coimbatore </t>
  </si>
  <si>
    <t xml:space="preserve">ins </t>
  </si>
  <si>
    <t>Other</t>
  </si>
  <si>
    <t>Within 1 month</t>
  </si>
  <si>
    <t>DEM 2022, WORKING CURRENTLY , LOOKING FOR CAREER SWITCH IN CORE /</t>
  </si>
  <si>
    <t>busy in another call / Not answering the call texted in whatsapp / shared  cv 21/01 / Not answering the call dropping du/e to non response / he said will confirm within 29/01 / not visitimng /  completed BE-CSE and currently working in Non IT role 20k/ interested in Mech/office he can tell only on monday  02/02 / not answering the call texted in whatsapp/ DNP 26-02/ He was driving and call back requested-11-03-26/DNP 24-03/ He was stuck in project work and he will visit the office by april 8th and willing to do the admission process &amp; EMI / paid 5999 8th april</t>
  </si>
  <si>
    <t>wa</t>
  </si>
  <si>
    <t>Finding a high-paying job</t>
  </si>
  <si>
    <t>Immediately</t>
  </si>
  <si>
    <t>Not answering the call / Disconnecting the call / Texted in whatsapp / HE SAID MISTAKENLY ENQUIRED</t>
  </si>
  <si>
    <t>Jayasakthi</t>
  </si>
  <si>
    <t xml:space="preserve">Thanjavur </t>
  </si>
  <si>
    <t>Not answering the call / BE MECH 2025, AGE 23, DOING PART TIME JOB , ALREADY COURSE COMPLETED</t>
  </si>
  <si>
    <t>Not answering the call texted in whatsapp / he called me back said will join within 2 days 24/01 / Not answering the call / not answering the call texted in whatsapp / no responsev / gone cold /  BE MECH 2025, Having 1 year of experience in CNC operator at chennai salary 16k, looking for mech course with placements. / Not answering the call texted in whatsapp  / sister attaended the call said will confirm next week / 3 months after he will join - 31-03/</t>
  </si>
  <si>
    <t>Krishnaveni</t>
  </si>
  <si>
    <t>(AutoCAD, SolidWorks, Creo, Catia) - 1 Package</t>
  </si>
  <si>
    <t>ins</t>
  </si>
  <si>
    <t xml:space="preserve">wrong number not in whatsapp also </t>
  </si>
  <si>
    <t>Kamalakannan R</t>
  </si>
  <si>
    <t xml:space="preserve">Tirupur </t>
  </si>
  <si>
    <t>1–3 months</t>
  </si>
  <si>
    <t xml:space="preserve">Not answering the call / BE MECT 2025, AGE 24, 4 BACKLOGS, FRESHER / he said due to family issues not interested </t>
  </si>
  <si>
    <t>Sakthicharan</t>
  </si>
  <si>
    <t>Later</t>
  </si>
  <si>
    <t xml:space="preserve">BE AGRI FINAL YR, LOOKING FOR AUTO CAD COMBO </t>
  </si>
  <si>
    <t xml:space="preserve">he said will discuss with parents / he said due to budget issues will join next month/ DNP-20-02/ not interested </t>
  </si>
  <si>
    <t>Rajkumar</t>
  </si>
  <si>
    <t>Not answering the call / Disconnecting the call / Texted in whatsapp / HE REPLIED :  DME 2016, WORKING IN CNC TURNING MANUAL PROGRAMMER WITH 27000</t>
  </si>
  <si>
    <t>very much interested he said will confirm by 22/01 / Not answering the call  / he said will process by 27/01 / he texted me in whatsapp that not interested as of now/ 6.30 pm call back/ requested/ 26-02 DNP/ Not answering the call texted in whatsapp / gone cold dropped</t>
  </si>
  <si>
    <t>Kowsigan</t>
  </si>
  <si>
    <t>Data Analytics</t>
  </si>
  <si>
    <t>Thursday, 1 January 2026 08:26.</t>
  </si>
  <si>
    <t>Ammapettai</t>
  </si>
  <si>
    <t>Skill outdated</t>
  </si>
  <si>
    <t>he said he dint enquired and disconnected the call</t>
  </si>
  <si>
    <t>SUMITHA</t>
  </si>
  <si>
    <t>Software Testing</t>
  </si>
  <si>
    <t>Wednesday, 31 December 2025 12:11.</t>
  </si>
  <si>
    <t>No job</t>
  </si>
  <si>
    <t>Yes, ready now</t>
  </si>
  <si>
    <t>Not answering the call / ME 2018, WAS WORKING  IN COLLEGE AS PROFESSOR WITH 30, LEFT JOB DEC 2025, 8973225230</t>
  </si>
  <si>
    <t>reyan</t>
  </si>
  <si>
    <t>Monday, 12 January 2026 15:36.</t>
  </si>
  <si>
    <t>Thoothukudi</t>
  </si>
  <si>
    <t>Want to switch domain</t>
  </si>
  <si>
    <t xml:space="preserve">busy in another call / BE ECE 2025, AGE 22, 6MONTHS EXP IN PRODUCTIONS WITH 16K WHEN HE WAS IN FINAL YEAR, LOOKING FOR IT COURSE </t>
  </si>
  <si>
    <t>he said he will confirm by 22/01 once talk with parents  / Disconnecting the call 23/01 / he said not interested and disconnected the call</t>
  </si>
  <si>
    <t xml:space="preserve">sakthi </t>
  </si>
  <si>
    <t>Tuesday, 13 January 2026 09:58.</t>
  </si>
  <si>
    <t>Number switchedoff / Texted in whatsapp replied looking for ST / NO RESPONSE</t>
  </si>
  <si>
    <t xml:space="preserve">JOTHIMANI S </t>
  </si>
  <si>
    <t>Lack of practical experience</t>
  </si>
  <si>
    <t>Not answering the call / Texted in whatsapp / Not answering the call / she said enquired but not interested as of now</t>
  </si>
  <si>
    <t>Sibiniranjan.R</t>
  </si>
  <si>
    <t>Tuesday, 13 January 2026 11:15.</t>
  </si>
  <si>
    <t>Not answering the call /  Texted in whatsapp /Not answering the call / Not answering the call / he said mistakenly enquired and disconnected the call</t>
  </si>
  <si>
    <t xml:space="preserve">Marikani </t>
  </si>
  <si>
    <t>Choosing the right course</t>
  </si>
  <si>
    <t>busy in another call  / BOOKED DEMO HE IS VISITING THE OFFICE TMRW 20/01</t>
  </si>
  <si>
    <t xml:space="preserve">Not answering the call texted in whatsapp / he said plan dropped as of now </t>
  </si>
  <si>
    <t>Adhithyan A</t>
  </si>
  <si>
    <t xml:space="preserve">Cuddalore </t>
  </si>
  <si>
    <t xml:space="preserve">BE MECH 2022, WORKING IN DESIGNING WITH 450K,  LOOKING FOR AUTOCAD &amp; OTHER STUFFS </t>
  </si>
  <si>
    <t>he said ready to process tmrw 22/01 / Not answering the call  / he said not interested and disconnected the call</t>
  </si>
  <si>
    <t xml:space="preserve">Boobalan </t>
  </si>
  <si>
    <t>Not answering the call / someone picked the call &amp; gave this number 9600521983 but no response Texted in whatsapp / not answering the call / he said enquired but not interested as of now</t>
  </si>
  <si>
    <t xml:space="preserve">                                                                        </t>
  </si>
  <si>
    <t>CAMPAIGN</t>
  </si>
  <si>
    <t>Number</t>
  </si>
  <si>
    <t>Sch</t>
  </si>
  <si>
    <t>Outsource</t>
  </si>
  <si>
    <t>bhuvi</t>
  </si>
  <si>
    <t>He was studying final year IT at PSG tech and doing a course in Flutter development</t>
  </si>
  <si>
    <t xml:space="preserve">he said alrdy doing course and ending in march only so its dificult </t>
  </si>
  <si>
    <t>anuraj</t>
  </si>
  <si>
    <t xml:space="preserve">He completed Master of Science in Botany 2024 &amp; interested in DA , working in voice process with 12k, </t>
  </si>
  <si>
    <t xml:space="preserve">he said will discuss with parents and update monday 23/02 / he said will confirm by tmrw he forget to check fees / HE SAID HE CANNOT AFFORD EVEN 10K </t>
  </si>
  <si>
    <t>aswin krishnan</t>
  </si>
  <si>
    <t>He completed BE-EEE and looking for cybersecurity.</t>
  </si>
  <si>
    <t>not answering the call / not answering the call  texted in whatsapp / not answering the call  texted in whatsapp / gone cold dropped</t>
  </si>
  <si>
    <t>vasu</t>
  </si>
  <si>
    <t>J-FSD</t>
  </si>
  <si>
    <t>thirunelveli</t>
  </si>
  <si>
    <t>He completed B.sc Computer Science 2025 and already done certification course with Full-stack &amp; lookingn for same</t>
  </si>
  <si>
    <t>he said plan dropped he got job</t>
  </si>
  <si>
    <t>iniyan</t>
  </si>
  <si>
    <t>He completed an M.Sc. in industrial engineering &amp; management, and he has a career gap and is currently working as a freelancer, and he is interested in cybersecurity, and I convinced DA.</t>
  </si>
  <si>
    <t>not answering the call / he said need 2 days time will update / not answering the call  texted in whatsapp</t>
  </si>
  <si>
    <t>kogila</t>
  </si>
  <si>
    <t xml:space="preserve">virudhunagar </t>
  </si>
  <si>
    <t>She completed BE-CSE and currently working in Developer and looking for cyber security domain</t>
  </si>
  <si>
    <t>she said need time to discuss with husband will cofnirm after 2 days</t>
  </si>
  <si>
    <t>priyadharshini</t>
  </si>
  <si>
    <t>BE ECE 2016, Interested in DA &amp; UI/UX designing and currently present in Chennai</t>
  </si>
  <si>
    <t>she said need time to discuss with parents CB 21/02 /  not answering the call  texted in whatsapp / she caleld me she said financially not stable so dropping the plan</t>
  </si>
  <si>
    <t>kannan</t>
  </si>
  <si>
    <t>ariyalur</t>
  </si>
  <si>
    <t>He did BBA and currently working in the finance sector &amp; looking for digital marketing</t>
  </si>
  <si>
    <t>he said need 2days time to confirm / he tmrw will update without fail / he said need to arrange money 02/03 / he said plan dropped due to financial issue</t>
  </si>
  <si>
    <t>deepak</t>
  </si>
  <si>
    <t>He completed B.sc Visual communication 2023 and currently working in as Freelance ( Graphic Designer )</t>
  </si>
  <si>
    <t>not answering the call /  not answering the call  texted in whatsapp / gone cold dropped</t>
  </si>
  <si>
    <t>sri haritha</t>
  </si>
  <si>
    <t>She completed B.sc IT 2025, looking for DA course with offline -Gandhipuram / She will visit Nava india off @ 10.30 to 11 am (19-Feb-2026)</t>
  </si>
  <si>
    <t xml:space="preserve">she said need 10 days atleast or month end oly can confirm / already dropped </t>
  </si>
  <si>
    <t>stany jose</t>
  </si>
  <si>
    <t>He completed BE-MECH and having 10 years of experince in QC at Manufacturing company (45K). He appiled Digital Marketing and i convince to take Mechanica domain, from Sulur.</t>
  </si>
  <si>
    <t>not answering the call / he called me he said will join month end 23/02 / he said will visit by 25/02 / he will share documents tdy / processed in bajaj</t>
  </si>
  <si>
    <t>sukumar</t>
  </si>
  <si>
    <t>He did UG 2017 and currently working and looking for digital marketing course</t>
  </si>
  <si>
    <t>not answering the call / not answering the call  texted in whatsapp / he said got job not interested</t>
  </si>
  <si>
    <t>sheena mohan</t>
  </si>
  <si>
    <t>She is currently in notice period due to time issues &amp; interested in DA &amp; Next month follow-up</t>
  </si>
  <si>
    <t>he can join next month 02/03 / not answering the call texted in whatsapp 06/04 / dropping the lead gone cold</t>
  </si>
  <si>
    <t>vairavamoorthi</t>
  </si>
  <si>
    <t xml:space="preserve">udumalaipettai </t>
  </si>
  <si>
    <t>B.sc Statictis 2025 and completed Full-stak course and looking job</t>
  </si>
  <si>
    <t>he said will discuss with parents and update tmrw 21/02 / not answering the call  texted in whatsapp / he called me he said will update tmrw / he replied in whatsapp that not interested</t>
  </si>
  <si>
    <t>velmurugan</t>
  </si>
  <si>
    <t>salem</t>
  </si>
  <si>
    <t>He completed UG B.Sc. AI &amp; DS 2025 and is currently looking for a job and a DA coursae.</t>
  </si>
  <si>
    <t>he said will join tmrw 21/02 / his brother visiting tdy as he informed / he said brother visiting tdy only /  not answering the call  texted in whatsapp / he said parents denied for paid course so plan dropped</t>
  </si>
  <si>
    <t>mukesh jana</t>
  </si>
  <si>
    <t>He went outside and made a follow-up call by tomorrow</t>
  </si>
  <si>
    <t>not answering the call / not answering the call  texted in whatsapp / gone cold dropped</t>
  </si>
  <si>
    <t>sridhar</t>
  </si>
  <si>
    <t>He completed Diploma in Hotel management and currently looking for digital marketing job.</t>
  </si>
  <si>
    <t>he called me he said will join monday 23/02 / he said busy will update tmrw 24/02 / not answering the call  texted in whatsapp/ money not ready so convinced him for emi / he said will shae documents  / not answering the call texted in whatsapp  93609996835 / he shared documents but deleted</t>
  </si>
  <si>
    <t>Lekha</t>
  </si>
  <si>
    <t>She completed MCA 2017 and currenlty working as a sales head and salary 20k with incentives.</t>
  </si>
  <si>
    <t>she asked for fees details will confirm within tuesday 24/02 / will join next month 05/02/ She wanna think &amp; Evng call back 26-02/</t>
  </si>
  <si>
    <t>Allen</t>
  </si>
  <si>
    <t>He completed MCa and currently working 14 years in recutment with 80k salary and looking for Networking feild.</t>
  </si>
  <si>
    <t>due to fianncial issue not ready to join</t>
  </si>
  <si>
    <t>Muhammed Sanfar</t>
  </si>
  <si>
    <t>B.com CA 2025 &amp; looking for DA course., Fresher &amp; offline</t>
  </si>
  <si>
    <t>he said will confirm by 24/02 he viisted office tdy and will pay tmrw as mentioned 24th / he said will confirm by thursday / no response even in whatsapp also final remoinder sent</t>
  </si>
  <si>
    <t>Keerthika</t>
  </si>
  <si>
    <t>UIUX</t>
  </si>
  <si>
    <t>She completed BE-Agiriculture Engineering 2025 &amp; looking for online UI / UX, She is from Namakkal.</t>
  </si>
  <si>
    <t>she said plan dropped</t>
  </si>
  <si>
    <t>Janani</t>
  </si>
  <si>
    <t>Ooty</t>
  </si>
  <si>
    <t>She completed B.ed in Tamil 2025 at mahendra arts &amp; science and  currently looking for course UI/UX course.</t>
  </si>
  <si>
    <t>SHE WILL SHARE RESUME 21/02 &amp; she shared the resume / she said will join within 2 days  / she said will join tdy itself but will discuss with parents regarding fees / she said fees high so parents denied for course</t>
  </si>
  <si>
    <t>Vijay</t>
  </si>
  <si>
    <t>He completed MCA 2024 and completed FSD course at chennai and earing 20k at manufacutring company erode. and looking for Data analyst.</t>
  </si>
  <si>
    <t xml:space="preserve">HE SAID WILL CONFIRM BY 24/02 / he said fees high not interested </t>
  </si>
  <si>
    <t>Diwakar</t>
  </si>
  <si>
    <t>He working as a content creator and looking for digital marketing, salary 40k month and online.</t>
  </si>
  <si>
    <t>HE SAID BUSY NOW WILL CONNECT LATER / not answering the call  texted in whatsapp / he said not intersted as of now</t>
  </si>
  <si>
    <t>Jagadeesh</t>
  </si>
  <si>
    <t>He completed MCA and doing own buisness &amp; looking for digital marketing course</t>
  </si>
  <si>
    <t>not answering the call / not answering the call texted in whatsapp / gone cold dropped</t>
  </si>
  <si>
    <t>Mohan Sakthi</t>
  </si>
  <si>
    <t>Thiruppur</t>
  </si>
  <si>
    <t>He having network company and looking for Digital marketing, Fee 20k and he is looking for online.</t>
  </si>
  <si>
    <t xml:space="preserve">HE SAID BUSY WILL CALL BACK /  not answering the call texted in whatsapp / Not answering the call texted in whatsapp / he said not interested as of now </t>
  </si>
  <si>
    <t>Askerali</t>
  </si>
  <si>
    <t>He was working in private company and looking for Digital marketing</t>
  </si>
  <si>
    <t>HE CAN JOIN 24/02 / he said will join by month end / he said looking for imeediate job but still he will inform tdy evening 02/03</t>
  </si>
  <si>
    <t>sriram</t>
  </si>
  <si>
    <t>He was studying M.sc Cyber security and looking for cyber security course and looking for offline (Gandhipuram)</t>
  </si>
  <si>
    <t>he can join next month starting 02/03 / Not answering the call texted in whatsapp</t>
  </si>
  <si>
    <t>MADDEPALLI RAVITEJA</t>
  </si>
  <si>
    <t>bangalore</t>
  </si>
  <si>
    <t>He working as a softwere tester and looking for DA.</t>
  </si>
  <si>
    <t>he can confirm by next month 02/03 / since there is no proper update  dropping profile gone cold</t>
  </si>
  <si>
    <t>He completed Diploma &amp; having 20 years exp in production support with 25k salary. looking for Digital marketing job</t>
  </si>
  <si>
    <t xml:space="preserve">he said will decide and confirm within 2days 27/02 , he is visiting tmrw / HE SAID WILL PAY BY EVENING OR TMRW 27/02 / waiting for payment he is arranging payment  / he said will pay by 3pm 7k </t>
  </si>
  <si>
    <t>vivek</t>
  </si>
  <si>
    <t>Pricol production engineer &amp; 20k, Dipolma EEE and looking for Digital Marketing</t>
  </si>
  <si>
    <t>he will join by 26/02/ tomorrow evng follow-up call and he wanna discuss with his parents/  he said parents denied for paid course so dropping the course plan</t>
  </si>
  <si>
    <t>Trichengodu</t>
  </si>
  <si>
    <t>BE-CSE final year, Hindhusthan college- Ohsur...Looking for cyber security</t>
  </si>
  <si>
    <t>not answering the call texted in whatsapp / dropped gone cold</t>
  </si>
  <si>
    <t>Yuvanesan</t>
  </si>
  <si>
    <t>D-CSE 2020, Texmo 3, E-Commerce 2 years, Leadsquared 7 months and salary 18k &amp; lookinf FSD- Phython</t>
  </si>
  <si>
    <t xml:space="preserve">ready to join but will pay 3k only remaining after sometimes / paid 3k cash and remaining within month end </t>
  </si>
  <si>
    <t>umar</t>
  </si>
  <si>
    <t>Doing B.tech AIDS at SNS college and looking for DA</t>
  </si>
  <si>
    <t>he said will call back when he is ready asked to share fees details 11/03 / he said parents denied for paid course</t>
  </si>
  <si>
    <t>GP Sunthar</t>
  </si>
  <si>
    <t>DME 2019, WAS WORKING IN FABRICATION &amp; PRODUCTION ENGINEER WITH 35K, LEFT JOB DEC 2025 DUE TO HEALTH ISSUE , enrolled 27/02</t>
  </si>
  <si>
    <t xml:space="preserve">paid 18k remaining 3k balance </t>
  </si>
  <si>
    <t xml:space="preserve">Shankar </t>
  </si>
  <si>
    <t>MBA and having 10 years of experience in Banking salary 58k TKH, Looking for Cyber-security</t>
  </si>
  <si>
    <t xml:space="preserve">not answering the call texted in whatsapp / he called me back he said will join within 10/03 / paid 12500 remaining next month </t>
  </si>
  <si>
    <t>Karnan</t>
  </si>
  <si>
    <t>Rejected</t>
  </si>
  <si>
    <t>M.sc geoghraphy 2017, total 6 years, 5 years map analsyt - 25k,1.5 years real esate  currently working 20k + incentives , FSD-PHY.</t>
  </si>
  <si>
    <t>EMI Approved</t>
  </si>
  <si>
    <t>he said will confirm by tmrw 11/03 / he said will share documents  12/03 / rejected due to cibil 674 / not answering the call / Not answering the call no response in whatsapp also / not answering the call yestrday he called back said he was in hsptl 25/03 / he called me he said will pay before 4pm 25/03 / he said will join 06/04 / he said will pay by tdy 06/04 / disconnecting the call texted in whatsapp final reminder 07/04 / gone cold dropped in whatsapp 15/04</t>
  </si>
  <si>
    <t>B.com 2012, Having 3 years exp from different domain and currently working in Credit card sales with 15k, Looking for DA</t>
  </si>
  <si>
    <t>he said will confirm by tmrw 11/03 / he said busy will call back tmrw 14/03 / he said will confirm by 3pm 16/03 / not answering the call texted in whatsapp  / he said parents denied for paid course</t>
  </si>
  <si>
    <t>Kathiravan</t>
  </si>
  <si>
    <t>B.tech AIDS final year and trichy looking for Web developemnet course online with friends and planning to next month.</t>
  </si>
  <si>
    <t>not reachable / not reachable texted in whatsapp / SWITCHEDOFF / gone cold dropped</t>
  </si>
  <si>
    <t>Ilaya bharathi</t>
  </si>
  <si>
    <t>BBA- 2025, accounts 2 months 17k, Digital marketing, erode,  offline.</t>
  </si>
  <si>
    <t>DNP / final reminder call for resume : busy in another call/ DNP-21-03  someone attended the call he said will be informing to call back / not answering the call texted in whatsapp / gone cold 25/03</t>
  </si>
  <si>
    <t>Guruprakash</t>
  </si>
  <si>
    <t>MBA-Acoounts &amp; finnace and having 6.2 years of experinec in mixed domain and salary of 7.5 LPA looking for scrum master and i suggested to him that DA.</t>
  </si>
  <si>
    <t>he said looking for scrum master so he can join said 1month course / paid full amount  13/03</t>
  </si>
  <si>
    <t>Sanjai</t>
  </si>
  <si>
    <t>he said will  cofnirm by 20th he is ready to join / he said as of now cont join will join after july 15th</t>
  </si>
  <si>
    <t>b.com IB 2021, 4.5 years medical billing 2.75 LPA, interested DA.</t>
  </si>
  <si>
    <t>he said will  cofnirm by 20th he is ready to join</t>
  </si>
  <si>
    <t>Deepika</t>
  </si>
  <si>
    <t xml:space="preserve">She completed M.Tech and had a career gap and is currently looking for a DA course,Currently working as a freelance Support role. </t>
  </si>
  <si>
    <t>DNP / she said husband denied for paid course</t>
  </si>
  <si>
    <t>Sarabesh</t>
  </si>
  <si>
    <t>BE-cse 2025, cyber-security interested, Presently in chennai</t>
  </si>
  <si>
    <t>DNP / final reminder call for resume : not answering  / gone cold dropped</t>
  </si>
  <si>
    <t>Tamil Arunan</t>
  </si>
  <si>
    <t>BE-EEE 2017, 3 years of experience in Sales &amp; marketing at Vellore, 24k Plus incentives 20k.  &amp; looking for offline class , DA</t>
  </si>
  <si>
    <t xml:space="preserve">he said will confirm by 11/03 / HE SAID PLAN DROPPED </t>
  </si>
  <si>
    <t>Muthukumar</t>
  </si>
  <si>
    <t>Diploma Mech 2022, , quality insurance 1 year 18k, design related.</t>
  </si>
  <si>
    <t>he said will confirm by 11/03 / he said will process tmrw 18/03 / he is disconnecting the call 20/03 / he said will share documents 21/03 / he said will share documents need to take followup tdy eod agn 23/03 / seems not interested</t>
  </si>
  <si>
    <t>Suresh</t>
  </si>
  <si>
    <t>Diploma mech-2018, Maintenance 35k, presently Chennai Looking for Mech , will send resume today evng.</t>
  </si>
  <si>
    <t>DNP / final reminder call for resume : not answering / not answering the call texted in whatsapp / GONE COLD DROPPED</t>
  </si>
  <si>
    <t>Bhathrisha</t>
  </si>
  <si>
    <t xml:space="preserve">palladam </t>
  </si>
  <si>
    <t>BE-CSE 2025, Looking for software related, Fresher. FSD</t>
  </si>
  <si>
    <t xml:space="preserve">she said will join by 11/03 / not answering the call texted in whatsapp / not answering the call texted in whatsapp / she said will call back after 7pm and will confirm / family denied for paid course </t>
  </si>
  <si>
    <t>Riyas</t>
  </si>
  <si>
    <t>BE- 2012 discontinued,  14 years sales &amp; marketing, 33k, omr, chennai, Looking for digital marketing</t>
  </si>
  <si>
    <t xml:space="preserve">he said will confirm by 11/03 / he said will confirm within evneing 16/03 , he said will pay by 18/03 / he called me said will pay full tmrw 19/03 / not responding he said will pay  tdy within5min / HE WILL PAY BY MONDAY  / he said will pay but not responding so putting under FPL 25/03 / he said will visit to office and pay tdy after salary 06/03 / he said will pay but due to trust issue he couldnt payd and said not interested </t>
  </si>
  <si>
    <t>Surendar</t>
  </si>
  <si>
    <t>BE-Civil 2020, 5 years ex, 2 years in data entry, 3 years in product designer 22k to 27k, Thuruchendur, -Mech</t>
  </si>
  <si>
    <t>not answering the call texted in whatsapp / he called me said will join within 3days / not answering the call texted in whatsapp / gone cold dropped</t>
  </si>
  <si>
    <t>Aravindkumar</t>
  </si>
  <si>
    <t>thirupathur</t>
  </si>
  <si>
    <t>BA.English- 2024, MA English , Currently Working as Baker 28k to 30k, Thirupathur, online &amp; interested in Data Analyst.</t>
  </si>
  <si>
    <t>not answering the call texted in whatsapp / shared price will share documents if parents okay / he said will complete process by 27/03 /  he said will join by week arranging money 21/03 / not answering the call texted in whatsapp / not answering the call texted in whatsapp / NOT ANSWERING THE CALL  / he said will process tdy 13/04 / final call by nithish he said will discuss with parents and update 16/04 / not answering the call texted in whatsapp  18/04 / gone cold dropped 24/04</t>
  </si>
  <si>
    <t>anwar</t>
  </si>
  <si>
    <t>Kerala</t>
  </si>
  <si>
    <t>PG-software development 2025, fresher, kalicut &amp; FSD-Phython</t>
  </si>
  <si>
    <t>he said plan dropped and disconnected the call</t>
  </si>
  <si>
    <t>Gayathri</t>
  </si>
  <si>
    <t>kudalur</t>
  </si>
  <si>
    <t>b.com 2025, marketing management, 18k, online, Looking for FSD-PHY</t>
  </si>
  <si>
    <t>Not answering the call texted in whatsapp / she said parents denied for paid course</t>
  </si>
  <si>
    <t>LeninRaj</t>
  </si>
  <si>
    <t>M.sc CS 2014, 9 years documentation &amp; export company, 27k, looking Digital Marketing and from Koundampalayam looking for offline</t>
  </si>
  <si>
    <t>shared resume 12/03 / he asked to call back after 20min 13/03 / Not answering the call texted in whatsapp /HE SAID WILL CONFIRM BY ONE DAY  / not answering the call / he said will pay tmrq 2pm / HE SAID AMOUNT COULDNT ARRANGE SO HE SAID WILL SHARE DOCUMENTS FOR EMI / dropping seems not interested</t>
  </si>
  <si>
    <t>Vasantha Kumar</t>
  </si>
  <si>
    <t>Mayiladurai</t>
  </si>
  <si>
    <t>MCA 2016, 4 years data base 5.25 LPA, non it 1 month 23k, from mayiladuthurai looking for Cyber-security online</t>
  </si>
  <si>
    <t>not answering the call texted in whatsapp / he called me said will join by 2 days / not answering the call texted in whatsapp / HE CALLED BACK SAID WILL PROCESS TDY 16/03 / not answering the call texted in whatsapp / he said will confirm by 30min 20/03 / not answering the call texted in whatsapp / gone cold dropped</t>
  </si>
  <si>
    <t>Lavanya</t>
  </si>
  <si>
    <t>PG maths, 2023, 3 years working as Sales Marketing related company, 16k &amp; looking DM</t>
  </si>
  <si>
    <t xml:space="preserve">Plan dropped &amp; fees releated </t>
  </si>
  <si>
    <t>Scrum Master / Chennai</t>
  </si>
  <si>
    <t>Not answering the call texted in whatsapp / called me back fees 22k one mont training accpted/ he expected by 11 LPA / willing to pay / he will be visitimng office directly / enrolled paid 20k 13/03</t>
  </si>
  <si>
    <t>Elangovan</t>
  </si>
  <si>
    <t>BBA-2021, Textile related accounts ex 5 years - 15k, Erode, Digital Marketing</t>
  </si>
  <si>
    <t>he said need one day to confirm 13/03 / he said will share documents within 2days 15/03 / NOT ANSWERING THE CALL / he called back said that will join after 2months</t>
  </si>
  <si>
    <t>suresh</t>
  </si>
  <si>
    <t>upskill - 12th 2008, 18 years fabricate business, Karumathampatti, looking for soild works, autocad.</t>
  </si>
  <si>
    <t xml:space="preserve">he said need 10days time to confirm / he said will confirm by tmrw 24/03 / he said plan dropped and seems not interested </t>
  </si>
  <si>
    <t>Nandhakumar</t>
  </si>
  <si>
    <t>He did BE and is doing his own business and is currently looking for DA</t>
  </si>
  <si>
    <t xml:space="preserve">he said will confirm within 2days need to share fees details  / not answering the call texted in whatsapp / he will update the status within 2hours 23/03 / seems not interested </t>
  </si>
  <si>
    <t xml:space="preserve">Siddharth </t>
  </si>
  <si>
    <t>Diploma ECE- and having 5 years of experience in networking related and laid off as a Cyber security analyst  and looking for Cyber security  and Last salary is 7.4 LPA and looking for online.</t>
  </si>
  <si>
    <t>he said will confirm tmrw he is very much interested 18/03 /  number switchedoff / he said will pay tmrw  / number not reachable / final reminder sent waitring for response / PAID 5K 24/03</t>
  </si>
  <si>
    <t>Rajeswari</t>
  </si>
  <si>
    <t>She enquired for her brother and He did M.sc Computer Science 2012, 1 year of experience in Data Entry at Dell salary around 12k, Having one year of experience in Teaching in polytechnic college and currently looking for DA.</t>
  </si>
  <si>
    <t>DNP/ she shared her brother number govinda balu 9942077453 need to call his brother / shared the resume / number swictheoff / he said will join by monday 23/03 / he said will process EMI tdy  applied in bajaj &amp; rejected 23/03 , shared his father docs rejected 23/03 / DUE TO EMI PROCESS REJECTED HE COULDNT ARRANGE MONEY SO DROPPING PLAN</t>
  </si>
  <si>
    <t>Mega</t>
  </si>
  <si>
    <t>BE-Mech 2024, Currently working in Royal Enfield company Salary 35k, Looking for Mech Combo</t>
  </si>
  <si>
    <t>DNP / final reminder call for resume : not answering / not answering the call texted in whatsapp / gone cold dropped</t>
  </si>
  <si>
    <t>Sangeetha</t>
  </si>
  <si>
    <t>BCA-2009, Teaching side experience-25k, Looking DA</t>
  </si>
  <si>
    <t>not answering the call texted in whatsapp / not answering the call texted in whatsapp 25/03 / gone cold dropped</t>
  </si>
  <si>
    <t>Jagathpriyan</t>
  </si>
  <si>
    <t>namakkal</t>
  </si>
  <si>
    <t>MBA-and having 1 years of experience in BDE at Gold manufacturing company with 30k salary &amp; looking for FSD</t>
  </si>
  <si>
    <t>not answering the call texted in whatsapp / resume shared 16/03 / he said will confirm by tmrw 19/03 / not answering the call texted in whatsapp / not answering the call texted in whatsapp / number switchedoff 25/03 / not answering the call texted in whatsapp final reminder sent 26/03 / gone cold dropped</t>
  </si>
  <si>
    <t>Mohammed</t>
  </si>
  <si>
    <t>trichy</t>
  </si>
  <si>
    <t>BE-Mech 2021, Having 3 years of experience in Production Department as a Supervisor 25k,Un employed now looking for job</t>
  </si>
  <si>
    <t>not answering the call might be busy in eid / he called me back said will join after eid / not answering the call texted in whatsapp/ gone cold dropped</t>
  </si>
  <si>
    <t xml:space="preserve">Kiran </t>
  </si>
  <si>
    <t>B.sc AI &amp; ML 2025, Palakkad, Looking for DA &amp; job seeker</t>
  </si>
  <si>
    <t xml:space="preserve">he said not interested as of now since he is looking for job position for data analystis only </t>
  </si>
  <si>
    <t>Joythika</t>
  </si>
  <si>
    <r>
      <rPr>
        <rFont val="Comic Sans MS"/>
        <color theme="1"/>
        <sz val="9.0"/>
      </rPr>
      <t>PAP-</t>
    </r>
    <r>
      <rPr>
        <rFont val="Comic Sans MS"/>
        <b/>
        <color theme="1"/>
        <sz val="9.0"/>
      </rPr>
      <t xml:space="preserve"> </t>
    </r>
    <r>
      <rPr>
        <rFont val="Comic Sans MS"/>
        <color theme="1"/>
        <sz val="9.0"/>
      </rPr>
      <t>She Completed UG &amp; having 3 years as a Technical mentor private institute, She already done a course now looking for Job and Direct appointment fixed at 19-03/ 3 to 4 pm</t>
    </r>
  </si>
  <si>
    <t>DNP / gone cold dropped</t>
  </si>
  <si>
    <t>Velmurugan</t>
  </si>
  <si>
    <t>He did MBA-2022, Job seeker and Having one year of experience in Networking Technician 12k, Looking for Digital Marketing Course &amp; he wanna discuss with his parents.</t>
  </si>
  <si>
    <t>not answering the call texted in whatsapp / gone cold dropped</t>
  </si>
  <si>
    <t>Kalaipriyan</t>
  </si>
  <si>
    <t>Ba-political science 2022, prepared UPSC exam and currently working in part-time driver, and looking for IT career.</t>
  </si>
  <si>
    <t>Shyam vignesh</t>
  </si>
  <si>
    <t>BE-Mech- 2016, 7 years of experience in Service Desk 9.5 LPA, Looking for Cyber Security course , online.</t>
  </si>
  <si>
    <t>he said in outside will connect when he is free  / he called me said will visit office tdy 23/03 , he visited he said will confirm within 2 days 25/03 / not answering the call texted in whatsapp reminder message sent / he replied in whatsapp looking for oppurtunity outside 27/03</t>
  </si>
  <si>
    <t>srinivasa</t>
  </si>
  <si>
    <t xml:space="preserve">He completed M.sc Cyber security and 6 month unemployee &amp; looking for cyber security course </t>
  </si>
  <si>
    <t xml:space="preserve">not answering the call texted in whatsapp / not answering the call texted in whatsapp 26/03 / gone cold dropped </t>
  </si>
  <si>
    <t xml:space="preserve">Leela </t>
  </si>
  <si>
    <t>BSC IT 2nd yr looking for cyber security or python basic</t>
  </si>
  <si>
    <t>She went outside &amp; her father took call &amp; after 2 hours &amp; 2 pm / her father said she is bsy with exams will call back after one week / dropped gone cold 07/04</t>
  </si>
  <si>
    <t xml:space="preserve">RAJAPANDI </t>
  </si>
  <si>
    <t>tirunelveli</t>
  </si>
  <si>
    <t>BE-CSE 2025, Job seeker and looking for Phy-FSD</t>
  </si>
  <si>
    <t>not answering the call texted in whatsapp / he said  will join within 1 week  / HE SAID PARENTS DENIED FOR PAID COURSE</t>
  </si>
  <si>
    <t>Arul</t>
  </si>
  <si>
    <t>BE- Mech 2012, Having 10+ years of experience production engineer salary of 42k &amp; looking for Mech combo.</t>
  </si>
  <si>
    <t>he said looking for warehouse training course</t>
  </si>
  <si>
    <t>Guru</t>
  </si>
  <si>
    <t>Dmech-2017, BE-mech 2025 with backlogs, currently working with QC salary of 30k, looking for mech combo</t>
  </si>
  <si>
    <t>final reminder call for resume 01/04 / gone cold dropped 07/04</t>
  </si>
  <si>
    <t>KEERTHISH</t>
  </si>
  <si>
    <t>tanjore</t>
  </si>
  <si>
    <t>Did Mech 2025 at karpagam Engineering college and looking for IT and already joined another ins &amp; looking now placments &amp; interested in FSD-PHY</t>
  </si>
  <si>
    <t>not answering the call texted in whatsapp / he said need to discuss with parents and will confirm by tmrw 27/03 / he said  dint discuss with parents will confirm by evening or tmrw 28/03 / not answering the call texted in whatsapp / ot answering the call texted in whatsapp31/03 / GONE COLD DROPPED THE LEAD</t>
  </si>
  <si>
    <t>Job Portal</t>
  </si>
  <si>
    <t>Jefrin Roy B</t>
  </si>
  <si>
    <t>BE_Mech 2025, CUrrently working in contract base with 16k salary looking for Mech combo</t>
  </si>
  <si>
    <t xml:space="preserve">not answering the call texted in whatsapp  / HE CALLED ME BACK SAID WILL COINFIRM BY 3 DAYS / not answering the call texted in whatsapp 07/04 he called me back said will after june </t>
  </si>
  <si>
    <t>Referral</t>
  </si>
  <si>
    <t>PAP- Python- Fullstack &amp; he will come by tomorrow office/</t>
  </si>
  <si>
    <t xml:space="preserve">he will pay by 27/03/ DNP-27-03 / not answering the call texted in whatsapp / Not answering the call  final reminder message sent in whatsapp / finanial issue so he will call back when he is interested to pay / gone cold dropped 24/04 </t>
  </si>
  <si>
    <t xml:space="preserve">Manikandan </t>
  </si>
  <si>
    <t xml:space="preserve">chennai </t>
  </si>
  <si>
    <t>BE-Mech final year and currently doing internship with 20k, Looking for mech combo</t>
  </si>
  <si>
    <t>not answering the call texted in whatsapp / she called back said will check and update seems not that much interested  / SHE SAID PARENTS NOT ALLOWING SEEMS NOT INTERESTED 24/04</t>
  </si>
  <si>
    <t xml:space="preserve">Ragu </t>
  </si>
  <si>
    <t>BE-MECH 2025, Currently working in operation role at Hyd with 5.5 LPA &amp; looking for Mech course with job</t>
  </si>
  <si>
    <t>he said will confirm by tmrw 20/04 / not answering the call texted in whatsapp 07/04 / not answering the call texted in whatsapp 15/04 / he texted in whatsapp that not interested withdraw the process 15/04</t>
  </si>
  <si>
    <t>kalaiselvan</t>
  </si>
  <si>
    <t xml:space="preserve">tirupur </t>
  </si>
  <si>
    <t>Fresher &amp; completed B.sc CS 25, looking for DA course</t>
  </si>
  <si>
    <t>he said need to discuss with parents will confirm by 02/04/ DNP 02-04/ he said will give final confirmation by 4pm 06/04 / not answering the call texted in whatsapp/ DNP-07-04/ PAREMNTS DENIED FOR PAID COURSE 08/04</t>
  </si>
  <si>
    <t>OLX</t>
  </si>
  <si>
    <t xml:space="preserve">Jafer </t>
  </si>
  <si>
    <t xml:space="preserve">OLX-BBA2024, Having one year in sales &amp; marketing &amp; quit the job &amp; now did DM course looking for placments </t>
  </si>
  <si>
    <t>Lead not added in CRM , not answering the call texted in whatsapp  / he said plan dropped and disconnected the call 07/04</t>
  </si>
  <si>
    <t>Ranjith</t>
  </si>
  <si>
    <t>Ariyalur</t>
  </si>
  <si>
    <t>BE-Mech 2025, Fresher and had completed course already- AUTO,Creo,Solid works worth of 15k, Now looking for Placements &amp; his from Ariyalur</t>
  </si>
  <si>
    <t>he said will join tmrw 02/04 / he said fees high so parents denied for paid course 07/04</t>
  </si>
  <si>
    <t>sourav gowda m</t>
  </si>
  <si>
    <t>BE-IT 2024, one year in investing banking &amp; having one offer in hand as Network Engineer salary of 15k, looking for coding domain &amp; Pitched PAP.</t>
  </si>
  <si>
    <t>not answering the call texted in whatsapp / he said need to discuss with parents and will confirm by tmrw 27/03 / he said  dint discuss with parents will confirm by evening or tmrw 28/03 / not answering the call texted in whatsapp / not answering the call texted in whatsapp31/03 / he called me back said will confirm after checking fees / not answering the call final reminder sent 07/04 / he called me back said not interested in paid course 07/04</t>
  </si>
  <si>
    <t>Shianisha</t>
  </si>
  <si>
    <t>She doing UG in 3rd year &amp; she already completed course at People click learning cyber security &amp; now looking for cloud related course with placements &amp; PAP &amp; she refer her friends also for PAP</t>
  </si>
  <si>
    <t>Vasanth Durai Raj.S</t>
  </si>
  <si>
    <t>BE-Mech 2023, 2 years working in Designing field with 25k at thanjavur, he knows Autocad, Soild works.</t>
  </si>
  <si>
    <t xml:space="preserve">he said ghot job so not interested as of now </t>
  </si>
  <si>
    <t>Manoj Kumar Nath</t>
  </si>
  <si>
    <t>UG-Mech 2020, PG in Robotics &amp; automations at 2024, Complete Job seeker &amp; looking IT related course with placements.</t>
  </si>
  <si>
    <t>not answering the call texted in whatsapp / he called me back said not interested in course looking for job</t>
  </si>
  <si>
    <t>Chetan Devendra Uikey</t>
  </si>
  <si>
    <t xml:space="preserve">North india </t>
  </si>
  <si>
    <t>BE- Mech 2023, Due to travelling issues he quit the job, and done DA in Intellipaat worth of 60k, He is from north indian Designing course</t>
  </si>
  <si>
    <t>not answering the call texted in whatsapp / number not reachable 07/04 / not answering the call texted in whatsapp 15/04 / he said will confirm by tmrw 16/04 / he said plan dropped as of now 20/04</t>
  </si>
  <si>
    <t xml:space="preserve">GOWTHAM </t>
  </si>
  <si>
    <t>BE-MECH 2025, already did course at Sky tech worth of 20k mech course &amp; now looking for Mech placements</t>
  </si>
  <si>
    <t>Disconencting the call texted in whatsapp / he got job dropping the plan 07/04</t>
  </si>
  <si>
    <t>Giri Raj A</t>
  </si>
  <si>
    <t>Be-Mech 2025, 4 Months having experience in roots as a Mechanical engineer due to medical issues he left company &amp; salary 20k, Now looking for Mech job</t>
  </si>
  <si>
    <t xml:space="preserve">he said will visit office tdy or tmrw 02/04 / he said visiting office thursday 09/04 / he said plan dropped due to financial issue 16/04 </t>
  </si>
  <si>
    <t xml:space="preserve">Shivakumar </t>
  </si>
  <si>
    <t xml:space="preserve">Bangalore </t>
  </si>
  <si>
    <t>BE-Mech Final Year, Doing internship 14k, And looking for designing  domain.</t>
  </si>
  <si>
    <t>number switche off texted in whatsapp / not answering the call texted in whatsapp 07/04 / he said not looking for course only job</t>
  </si>
  <si>
    <t>Ranjith Mon</t>
  </si>
  <si>
    <t xml:space="preserve">Palakkad </t>
  </si>
  <si>
    <r>
      <rPr>
        <rFont val="Comic Sans MS"/>
        <color rgb="FF1155CC"/>
        <sz val="9.0"/>
        <u/>
      </rPr>
      <t>OLX_B.sc</t>
    </r>
    <r>
      <rPr>
        <rFont val="Comic Sans MS"/>
        <sz val="9.0"/>
      </rPr>
      <t xml:space="preserve"> Computer Science with Data Analyst 2024, From Palakkad, had worked 3 company due to interested in DA he quit, Interested in DA</t>
    </r>
  </si>
  <si>
    <t>number switche off texted in whatsapp / number switche off texted in whatsapp 07/04 / number not reachable no incoming 15/04</t>
  </si>
  <si>
    <t xml:space="preserve">Raghul </t>
  </si>
  <si>
    <t xml:space="preserve">perambalur </t>
  </si>
  <si>
    <t>BE-Mech 2022, Having 2 years experience production engineer 15k, now looking for designing domain</t>
  </si>
  <si>
    <t>he said will confirm by tmrw but not that much interested 02/04 / he said not interested and disconnected the call</t>
  </si>
  <si>
    <t>Abdul Kalam</t>
  </si>
  <si>
    <t>B.tech Mech 2024, Currently working in 1.5 years as a Quality &amp; project coordinator salary 18k, Due to low salary he wants to change his current company</t>
  </si>
  <si>
    <t>he said he is in meeting will call back later / he said will join within week end 07/04 / he said in out will call later 13/04 / he said in meeting asked me to call back 16/04 / he said will join  after auguest 20/04</t>
  </si>
  <si>
    <t xml:space="preserve">Madhusudanan </t>
  </si>
  <si>
    <t>BE-Mech 2026, Done two internship one is stipend based 15k, one is production related, He knows 5 softwares and now looking for job &amp; waiting final sem exam as well.</t>
  </si>
  <si>
    <t>he said might be busy with final yr exams will confirm by tmrw 02/04 / he said as of now not interested lookin for only course</t>
  </si>
  <si>
    <t xml:space="preserve">Jeyapriya </t>
  </si>
  <si>
    <t>BE_EEE 2026, Looking for mechanical domain. Worked in the production line at BNC Motors for 6 months, handling and assembling
electrical and electronic components.</t>
  </si>
  <si>
    <t>not answering the call texted in whatsapp 31/03  / not answering the call texted in whatsapp 07/04 / not answering the call texted in whatsapp 15/04 / gone cold dropped 20/04</t>
  </si>
  <si>
    <t>Devakumar</t>
  </si>
  <si>
    <t>Cloud,AWS // Tiruppur</t>
  </si>
  <si>
    <t>5 years currently working network related 25k, B.sc computetr science 2017,  Cloud AWS, Network</t>
  </si>
  <si>
    <t>he said will confirm by tmrw 02/04 / he said visiting the office monday 06/04 / he visited office he will pay 10k by 06/04 / paid 10k remaining within 30days 06/04</t>
  </si>
  <si>
    <t>Ehambara Moorthy M</t>
  </si>
  <si>
    <t>B.sc botany 2015, pharmacy working in as a incharge with salary 20k and notice period 1.5 months looking for DA</t>
  </si>
  <si>
    <t xml:space="preserve"> not answering the call texted in whatsapp 07/04 /  not answering the call texted in whatsapp 15/04 / not answering the call texted in whatsapp 16/04 / gone cold dropped 20/04</t>
  </si>
  <si>
    <t>Saran</t>
  </si>
  <si>
    <t>BE_Bio- 2017 and having 7 years of experience in Voice /Non Voice process salary 35k &amp; Looking for DA and currently doing M.sc Data Analyst looking for Night shifts</t>
  </si>
  <si>
    <t>not answering the call final reminder sent 07/04 /  not answering the call texted in whatsapp 15/04 / dnp-16-04 / gone cold 20/04</t>
  </si>
  <si>
    <t>Selva Kumar</t>
  </si>
  <si>
    <t>SAP MM /</t>
  </si>
  <si>
    <t>BCA-2021 &amp; having 3 years experience in SAP consultant and 1 year in UI/UX freelancer &amp; currently working in Odisha based company salary 20k with Food accumendation &amp; interested in SAP MM</t>
  </si>
  <si>
    <t>he said will confirm 2days 07/04 / he said will continue with same company with better salary 16/04</t>
  </si>
  <si>
    <t>LOGESH</t>
  </si>
  <si>
    <t>BE_EEE-2026, Nandha Engineering College, Did one internship &amp; looking for Mechanical Domain</t>
  </si>
  <si>
    <t>gone cold dropped 07/04</t>
  </si>
  <si>
    <t xml:space="preserve">Rajesh </t>
  </si>
  <si>
    <t>BE-Mech 2025, Having 3 month experience in store due to salary and timing issues he quit and salary is 16,300.. Now looking for Mech combo</t>
  </si>
  <si>
    <t xml:space="preserve"> not answering the call texted in whatsapp 07/04 /  not answering the call texted in whatsapp 13/04 /  not answering the call texted in whatsapp 15/04 / he replied in whatsapp that not interested 20/04</t>
  </si>
  <si>
    <t>Mithilesh Kumar</t>
  </si>
  <si>
    <t>B.tech Mech 2024, currently working in Maintance and Production &amp; North indian having salary of 37k per month and willing to change in MECH Combo</t>
  </si>
  <si>
    <t>M.SRI RAM</t>
  </si>
  <si>
    <t>B.Tech ECE- 2025, Unemployed still not get placed and looking for mechanical domain and he wanna discuss with his parents aswell.</t>
  </si>
  <si>
    <t xml:space="preserve"> not answering the call texted in whatsapp 13/04 / he said not interested 16/04</t>
  </si>
  <si>
    <t>Chintan Patel</t>
  </si>
  <si>
    <t>Mumbai</t>
  </si>
  <si>
    <t>He doing final year B.Tech CSE and looking for Mechanical oriented job and He is from Mumbai and willing to relocate in Bangalore.</t>
  </si>
  <si>
    <t>he said will confirm by evening 13/04 / LOOKING FOR JOB 16/04</t>
  </si>
  <si>
    <t>Venkata Sai</t>
  </si>
  <si>
    <t>B.TECH EEE 2025, Doing Hybrid Electricals vehicle course with 1.5 lakhs,  interested in mech combo</t>
  </si>
  <si>
    <t xml:space="preserve"> not answering the call final reminder sent 13/04 / he said will join within week end waiting for hr call 16/04 / he said alrdy paying lot of money so felt fees high looking for free courses as of now 20/04</t>
  </si>
  <si>
    <t xml:space="preserve">DHINAKARAN </t>
  </si>
  <si>
    <t>BE-Mech 2023, Prepared TNPSC 2 year and currently looking for job &amp; Mech combo</t>
  </si>
  <si>
    <t>he said will update in 2 days 13/04 / he said parents denied for paid course 20/04</t>
  </si>
  <si>
    <t>Pradeep kumar Thota</t>
  </si>
  <si>
    <t>BE-Mech 2026, He fresher and having basic software knowledge and now looking for job &amp; I told him about training and job location  will be bangalore</t>
  </si>
  <si>
    <t>he said will update before friday 13/04 / not answering the call texted in whatsapp 16/04 / not answering the call texted in whatsapp 20/04 / FINANCIAL ISSUE 21/04</t>
  </si>
  <si>
    <t>Dileep</t>
  </si>
  <si>
    <t>B.tech Mech 2026, He done 3 internship. 2 in gov and 1 is Start-up company and presently in Hyderabad and looking for Mech combo.</t>
  </si>
  <si>
    <t xml:space="preserve">he said will update by evening 03/04 / joined iN edk 16/04 </t>
  </si>
  <si>
    <t xml:space="preserve">Balamurugan </t>
  </si>
  <si>
    <t>Dip Mech 2021, One year worked as a 2D Designer with 19k salary, after Be-Mech 2026, now looking for job</t>
  </si>
  <si>
    <t>he said will confirm by evening 13/04 / LCU REJECTED IN BAJAJ WILL GET CINFIRMATION FROM EMI TEAM 15/04 / processwed in bajaj DP he will pay by next week 16/04</t>
  </si>
  <si>
    <t>Santosh Kumar Naik</t>
  </si>
  <si>
    <t>BE_MEch 2024, had Graduate Engineer Trainee and looking for job Mech related</t>
  </si>
  <si>
    <t xml:space="preserve"> not answering the call final reminder sent 13/04 / he said will join within 2days 15/04 / not answering the call texted in whatsapp 16/04 / he said plan dropped and disconncted the call 20/04</t>
  </si>
  <si>
    <t>Prateek Atrey</t>
  </si>
  <si>
    <t xml:space="preserve">Khanpoor </t>
  </si>
  <si>
    <t>BE-Mech 2026. He is from Khan Poor. and looking for mech combo</t>
  </si>
  <si>
    <t>Not reachable 13/04 / DNP-16-04 / he said not interested in paid course 20/04</t>
  </si>
  <si>
    <t>Sakthi Balaji</t>
  </si>
  <si>
    <t>He completed a B.Sc. in Computer Science and had experience in an HR role at Amazon.Currently working in real estate and looking for cybersecurity.</t>
  </si>
  <si>
    <t>Not reachable 13/04 / DNP-16-04 / gone cold dropped 20/04</t>
  </si>
  <si>
    <t>LASAK</t>
  </si>
  <si>
    <t>sneha</t>
  </si>
  <si>
    <t>Friday, 6 February 2026 12:26.</t>
  </si>
  <si>
    <t xml:space="preserve">BSC 2024, WORKING IN LTI MIND TREE AS CLOUD SUPPORT WITH 370K, LOOKING FOR DA </t>
  </si>
  <si>
    <t>she said plan dropped and disconnected the call</t>
  </si>
  <si>
    <t>keerthana</t>
  </si>
  <si>
    <t>Friday, 6 February 2026 11:40.</t>
  </si>
  <si>
    <t xml:space="preserve">disconnecting the call texted in whatsapp / BE CSE 2023, WAS WORKING IN CUSTOBER SUPPORT WITH 15K, LEFT JOB IN JAN 2026 DUE TO NON GROWTH, LOOKING FOR DA </t>
  </si>
  <si>
    <t>Not answering the call / not answering the call texted in whatsapp / no response in both whatsapp and normal call</t>
  </si>
  <si>
    <t>pooja</t>
  </si>
  <si>
    <t>Friday, 6 February 2026 10:16.</t>
  </si>
  <si>
    <t>Mettuppalaiyam</t>
  </si>
  <si>
    <t>BBA CA 2023, MBA BA 2026 FINAL YR, LOOKING FOR DA</t>
  </si>
  <si>
    <t>she said will confirm by 12/02 / forget to share scholarship / no response / gone cold plan dropped</t>
  </si>
  <si>
    <t xml:space="preserve">prethyenka suresh </t>
  </si>
  <si>
    <t>Friday, 6 February 2026 16:13.</t>
  </si>
  <si>
    <t>she said travelling will connect later / not answering the call / not answering the call texted in whatsapp / she said joined else where</t>
  </si>
  <si>
    <t>dominic krrish</t>
  </si>
  <si>
    <t>Saturday, 7 February 2026 01:58.</t>
  </si>
  <si>
    <t>not answering the call / not answering the call / he is doing night shift when i called he was sleeping he said will CB / BTECH IT 2017, WORKING IN SR TRAVELS WITH 25K, COMPLETED AWS COURSE, LOOKING FOR CLOUD  OR DA</t>
  </si>
  <si>
    <t>not answering the call texted in whatsapp / he called me back said will join 15/02 / he called me and asked for emi but cibil very low 20/02 / not answering the call texted in whatsapp  / he will join monday  ./ he said will pay by 4pm / paid 5k remianing 35k monthly processed in flashaid</t>
  </si>
  <si>
    <t xml:space="preserve">Abishek R </t>
  </si>
  <si>
    <t>not answering the call / not answering the call texted in whatsapp / HE REPLIED IN WHATSAPP THAT NOT INTERESTED CURRENTLY</t>
  </si>
  <si>
    <t>kalai vani</t>
  </si>
  <si>
    <t xml:space="preserve">SHE ENQUIRED FOR HER SON FOR UPSKILLING , BE CSE FINAL YR IN RAMAKRISHNA COLLEGE, ALREADY PLACED </t>
  </si>
  <si>
    <t>she said her son joined elsewhere</t>
  </si>
  <si>
    <t>raja kanthan</t>
  </si>
  <si>
    <t>Saturday, 7 February 2026 15:24.</t>
  </si>
  <si>
    <t>thiruchendyur</t>
  </si>
  <si>
    <t>ITI 2024, WORKING CURRENTLY IN STEEL WITH 12K, LOOKING FOR ONLY JOB, already enquired</t>
  </si>
  <si>
    <t>gopinath</t>
  </si>
  <si>
    <t>karur</t>
  </si>
  <si>
    <t>BE MECH 2025, WORKING IN PURCHASING WITH 19K, LOOKING FOR MECH COMBO</t>
  </si>
  <si>
    <t>he said will join after 22/02 / not answering the call texted in whatsap /gone cold dropped</t>
  </si>
  <si>
    <t>moneshag</t>
  </si>
  <si>
    <t>2026-02-08T23:18:33+05:30</t>
  </si>
  <si>
    <t xml:space="preserve">looking for only intern </t>
  </si>
  <si>
    <t>yokith</t>
  </si>
  <si>
    <t>2026-02-08T21:59:30+05:30</t>
  </si>
  <si>
    <t>Not answering the call / not answering the call texted in whatsapp / switchedoff / he said mistakenly enquired</t>
  </si>
  <si>
    <t>Jasima Yasmin A J</t>
  </si>
  <si>
    <t>2026-02-08T20:43:50+05:30</t>
  </si>
  <si>
    <t>not answering the call texted in whatsapp she replied in whatsapp  BE CSE FINAL YR, WORKING AS MERN STACK INTERN LOOKING FOR DA</t>
  </si>
  <si>
    <t>she said busy will connect monday 16/02 / she said not interested and disconnected the call</t>
  </si>
  <si>
    <t>Thiru</t>
  </si>
  <si>
    <t>Job</t>
  </si>
  <si>
    <t>2026-02-08T19:22:19+05:30</t>
  </si>
  <si>
    <t>Not answering the call / disconnecting the call / disconnecting the call no response in whatsapp also / he replied in whatsapp looking for graphic designing job</t>
  </si>
  <si>
    <t>vadivelp35810@gmail.com</t>
  </si>
  <si>
    <t>2026-02-08T12:07:16+05:30</t>
  </si>
  <si>
    <t>Dharapuram</t>
  </si>
  <si>
    <t>Not answering the call / BE MECH 2021, 3YRS CAREER GAP, WORKING IN ELECTRICAL DOMAIN IN WIND MILL LINE WORK WITH 15K, LOOKING FOR DA</t>
  </si>
  <si>
    <t xml:space="preserve">he said will confirm by 14/02 / he said fees high looking for 25k only </t>
  </si>
  <si>
    <t>𝗩𝗶𝘀𝗵𝗻𝘂</t>
  </si>
  <si>
    <t>2026-02-08T12:02:28+05:30</t>
  </si>
  <si>
    <t>Disconnecting the call / 9080679559 NETWORK ISSUE COULDNT HEAR PROPERLY / BE CSE FINAL YR IN NGP COLLEGE, LOOKING FOR DA</t>
  </si>
  <si>
    <t>he said will confirm by 14/02 / he said need to discuss with parents  / not answering the call texted in whatsapp / he said plan dropped as of now not interested</t>
  </si>
  <si>
    <t>Sunitha</t>
  </si>
  <si>
    <t>2026-02-08T09:22:58+05:30</t>
  </si>
  <si>
    <t xml:space="preserve">Not answering the call  / SHE CALLED ME BACK SAID SHE WILL BE BUSY WILL CALL ABCK AFTER 5PM / BTECH IT 2016, WORKING CURRENTLY IN TEACHING IN SCHOOL WITH 15K, </t>
  </si>
  <si>
    <t>Not answering the call / she replied in whatsapp that not interested as of now</t>
  </si>
  <si>
    <t>Visalachi</t>
  </si>
  <si>
    <t>2026-02-08T05:54:23+05:30</t>
  </si>
  <si>
    <t>Not answering the call / BTECH IT FINAL YR IN SNS COLLEGE , LOOKING FOR DS,</t>
  </si>
  <si>
    <t>not answering the call texted in whatsapp / she said will join only in may / she said not interested as of now 27/05</t>
  </si>
  <si>
    <t>saravana</t>
  </si>
  <si>
    <t>2026-02-07T22:15:26+05:30</t>
  </si>
  <si>
    <t>Karumathampatti</t>
  </si>
  <si>
    <t xml:space="preserve">BEAUTOMOBILE FINAL YR, LOOKING FOR DA / doing internship </t>
  </si>
  <si>
    <t>he said will join by  12/02 / documents shared applied in bajaj &amp; rejected for both his &amp; sister docus 11/02 / paid 15k 12/02</t>
  </si>
  <si>
    <t>ACCEL</t>
  </si>
  <si>
    <t>Santhosh</t>
  </si>
  <si>
    <t>2026-02-09T05:30:51+05:30</t>
  </si>
  <si>
    <t>Number switchedoff / BE CHEMICAL ENGINEERING 2021, WORKING AS BA WITH 40K</t>
  </si>
  <si>
    <t>Not answering the call / he said not interested and disconnected the call</t>
  </si>
  <si>
    <t>Shobiya</t>
  </si>
  <si>
    <t>2026-02-08T23:32:30+05:30</t>
  </si>
  <si>
    <t>mother pickedcall she said went to college CB after 5pm / she in outside will call back / BE CSE 3RD YR IN NADAR COLLEGE THENI , LOOKING FOR DA , LOOKING FOR ONLY FREE COURSE</t>
  </si>
  <si>
    <t>GURUSARAN_22</t>
  </si>
  <si>
    <t>2026-02-08T23:19:23+05:30</t>
  </si>
  <si>
    <t>BBA 2025, NOT WORKING , LOOKING FOR DA</t>
  </si>
  <si>
    <t>not answering the call texted in whatsapp / joined elsewhere</t>
  </si>
  <si>
    <t>Arunya</t>
  </si>
  <si>
    <t>2026-02-08T22:31:18+05:30</t>
  </si>
  <si>
    <t>Not answering the call / BCA 2019, WORKING IN COMMUNICATION DEPARTMENT IN HOSPITAL, LOOKING FOR DA</t>
  </si>
  <si>
    <t xml:space="preserve">Not answering the call / not answering the call texted in whatsapp / she said plan dropped </t>
  </si>
  <si>
    <t>vigneshwaran</t>
  </si>
  <si>
    <t>2026-02-08T22:17:09+05:30</t>
  </si>
  <si>
    <t>Pachampalayam</t>
  </si>
  <si>
    <t>Not answering the call / not answering the call texted in whatsapp / not answering the call /  BSC MATHS 2ND YR, LOOKING FOR FREE COURSE</t>
  </si>
  <si>
    <t>♡𝓟𝓸𝓸𝓻𝓷𝓲𝓶𝓪</t>
  </si>
  <si>
    <t>2026-02-08T22:05:27+05:30</t>
  </si>
  <si>
    <t>she said looking for job</t>
  </si>
  <si>
    <t>2026-02-08T15:09:21+05:30</t>
  </si>
  <si>
    <t xml:space="preserve">Not answering the call / BE EEE 2013, WORKING IN FED BANK AS SALES PERSON WITH 25K SALARY , HE SHARED RESUME IN WHATSAPP </t>
  </si>
  <si>
    <t>poornima</t>
  </si>
  <si>
    <t>2026-02-08T15:03:04+05:30</t>
  </si>
  <si>
    <t>Erode, Gobichettipalayam</t>
  </si>
  <si>
    <t>Not answering the call / not answering the call texted in whatsapp / not answering the call / call busy / she said looking for only job</t>
  </si>
  <si>
    <t>Gowthama</t>
  </si>
  <si>
    <t>2026-02-08T14:59:26+05:30</t>
  </si>
  <si>
    <t>Not answering the call / not answering the call texted in whatsapp / BTECH CHEMICAL ENGINEERING 2021, WORKING IN NON IT DATA OPERATOR WITH 17K , LOOKING FOR DA</t>
  </si>
  <si>
    <t>not answering the call texted in whatsapp / he said will confirm tmrw 19/02 / he need more 2 days to discuss wth parents / not answering the call texted in whatsapp / he replied in whatsapp that not interested</t>
  </si>
  <si>
    <t>Dharshu</t>
  </si>
  <si>
    <t>2026-02-08T13:34:59+05:30</t>
  </si>
  <si>
    <t xml:space="preserve">busy in another call / not answering the call texted in whatsapp /BSC CSE 2025, WORKING CURRENTLY IN OMEGA WITH 15K, LOOKING FOR DA </t>
  </si>
  <si>
    <t>cv reminder call 12/02 / not answering the call texted in whatsapp . dropping - gone cold</t>
  </si>
  <si>
    <t>Monday, 9 February 2026 14:22.</t>
  </si>
  <si>
    <t>Not answering the call  / not answering the call texted in whatsapp / BSC HM 2017, WORKING IN BPO 32K, LOOKING FOR DA</t>
  </si>
  <si>
    <t>not answering the call texted in whatsapp / call abck after 4pm / plan dropped got job</t>
  </si>
  <si>
    <t>nsares</t>
  </si>
  <si>
    <t>Monday, 9 February 2026 12:24.</t>
  </si>
  <si>
    <t xml:space="preserve">Not answering the call / not answering the call texted in whatsapp /BE CSE 2009, WORKING CURRENTLY IN NON IT WITH 400K, LOOKING FOR DA, </t>
  </si>
  <si>
    <t xml:space="preserve">he said will connet by sunday and confirm 15/02 / not answering the call / gone cold dropped </t>
  </si>
  <si>
    <t>moorthi</t>
  </si>
  <si>
    <t>Monday, 9 February 2026 16:23.</t>
  </si>
  <si>
    <t>BSC CSE 2021, WAS WORKING IN DM FIELD LEFT JOB IN DEC 2025 DUE TO COMPANY INACIVE , LAST SALARY 11K</t>
  </si>
  <si>
    <t>he said will confirm by 14/02 / not answering the call texted in whatsapp /  not answering the call texted final reminder in whatsapp / gone cold dropped</t>
  </si>
  <si>
    <t>asthetic</t>
  </si>
  <si>
    <t>Tuesday, 10 February 2026 09:04.</t>
  </si>
  <si>
    <t>BE AIDS 2ND YR IN PPG COLLEGE LOOKING FOR DA COURSE , NOT INTERESTED IN PAID COURSE</t>
  </si>
  <si>
    <t>Fathick Fathima</t>
  </si>
  <si>
    <t>Tuesday, 10 February 2026 07:11.</t>
  </si>
  <si>
    <t xml:space="preserve">BSC CSE 2021, WAS WORKING IN DM FIELD LEFT JOB IN DEC 2025 DUE TO COMPANY INACIVE , LAST SALARY 11K, </t>
  </si>
  <si>
    <t>cv reminder call 12/02 / not answering the call texted in whatsapp / gone cold dropping the lead</t>
  </si>
  <si>
    <t>logamithra</t>
  </si>
  <si>
    <t>Monday, 9 February 2026 22:46.</t>
  </si>
  <si>
    <t>Not answering the call / BCOM 2024, WORKING CURRENTLY IN TCS AS ACCOUNTS PAYABLE ROLE WITH 15K, LOOKING FOR DA</t>
  </si>
  <si>
    <t>she said will confirm by tdy evening / she can join march month and she gave referrance also / she said not interested asked to drop</t>
  </si>
  <si>
    <t>Sivani Rathinakumar</t>
  </si>
  <si>
    <t>Monday, 9 February 2026 21:58.</t>
  </si>
  <si>
    <t>pollachi</t>
  </si>
  <si>
    <t>Not answering the call / BSC CHEMISTRY 2025, NOT WORKING , LOOKING FOR DA BUT ONLY JOB BUT SHARED RESUME</t>
  </si>
  <si>
    <t>not answering the call texted in whatsapp</t>
  </si>
  <si>
    <t>pranish</t>
  </si>
  <si>
    <t>Monday, 9 February 2026 17:41.</t>
  </si>
  <si>
    <t>Coonoor</t>
  </si>
  <si>
    <t>Not answering the call  / HE REPLIED IN WHATSAPP THAT LOOKING FOR DA WILL CB TMRW SINCE HE IS IN OUTSIDE  / not answering the call / BA HISTORY 2024, WAS WORKING IN TECHNICAL AS SITE ENGINEER WITH 20K, LEFT JOB IN DEC 2025 FOR CAREER GROWTH, LOOKING FOR DA</t>
  </si>
  <si>
    <t>mubina</t>
  </si>
  <si>
    <t>Tuesday, 10 February 2026 10:16.</t>
  </si>
  <si>
    <t>not answering the call texted in whatsapp / SHE REPLIED LOOKING FOR DA CB 4PM / NOT ANSWERING THE CALL / BSC CSE 2ND YR, LOOKING FOR DA FOR UPSKILLING</t>
  </si>
  <si>
    <t>haritha</t>
  </si>
  <si>
    <t>not answering the call texted in whatsapp / BCOM CA 2023, WAS WORKING IN NON VOICE INSURANCE SECTOR WITH 200K, LEFT JOB IN JUNE 2025, LOOKING FOR DA</t>
  </si>
  <si>
    <t>not answering the call texted in whatsapp / she said will join before 16/02 / not answering the call / she said need parents approval  / she said looking for only internship</t>
  </si>
  <si>
    <t>ravanan kani</t>
  </si>
  <si>
    <t>Tuesday, 10 February 2026 23:18.</t>
  </si>
  <si>
    <t xml:space="preserve">DIPLOMA ECE 2019, WORKING CURRENTLY IN ZOMATO WITH 15K, LOOKING FOR DA FOR CAREER CHANGE </t>
  </si>
  <si>
    <t>not answering the call texted in whatsapp / he said will confirm by friday 20/02 / gone cold dropped</t>
  </si>
  <si>
    <t>Mangalesh Ganesan</t>
  </si>
  <si>
    <t>Wednesday, 11 February 2026 06:16.</t>
  </si>
  <si>
    <t xml:space="preserve"> not answering the call texted in whatsapp / ME 2013, WORKING IN ORCALE WITH 18LPA, LEFT JOB DUE TO PACKAGE  LOOKING FOR  DA , HE RESIGNED , 11.5YRS EXP</t>
  </si>
  <si>
    <t xml:space="preserve">cv reminder call 12/02 / not answering the call texted in whatsapp / no response / dropping the lead gone cold </t>
  </si>
  <si>
    <t>Maria Daniel Raj Daniel</t>
  </si>
  <si>
    <t>Wednesday, 11 February 2026 08:23.</t>
  </si>
  <si>
    <t>NAME : MARIA , DIP CSE 2024, WAS WORKING IN ROYAL ENFIELD WITH 20K, LEFT JOB IN JAN 2026 DUE TO FAMILY ISSUE</t>
  </si>
  <si>
    <t>she said need 2days time and will refer her frnd also  / not answering the call texted in whatsapp / dropped gone cold</t>
  </si>
  <si>
    <t>Manikandan A</t>
  </si>
  <si>
    <t>Wednesday, 11 February 2026 09:06.</t>
  </si>
  <si>
    <t>Gobichettipalayam</t>
  </si>
  <si>
    <t xml:space="preserve">Her friend applied the course and follow-up call 5.40 pm </t>
  </si>
  <si>
    <t>she said might be mistakenly enquired</t>
  </si>
  <si>
    <t>Afrin</t>
  </si>
  <si>
    <t>2026-02-11T09:16:10+05:30</t>
  </si>
  <si>
    <t xml:space="preserve">she said will call back / BCOM 2020, MCOM 2023, WORKING IN TRICHY AIRPORT WITH 25K, LOOKING FOR DA </t>
  </si>
  <si>
    <t>not answering the call texted in whatsapp / not answering the call texted in whatsapp / SHE CALLED ME BACK SAID WILL JOIN BY 22/02 / not answering the call texted in whatsapp / she said plan dropped due to family issues</t>
  </si>
  <si>
    <t>sangeetha</t>
  </si>
  <si>
    <t>Wednesday, 11 February 2026 09:34.</t>
  </si>
  <si>
    <t>karamadai</t>
  </si>
  <si>
    <t xml:space="preserve">BCA 2016, MSC 2018, WAS WORKING IN INSURANCE LEFT JOB 2YRS , LASY PACKAGE 12K, LOOKING FOR DA </t>
  </si>
  <si>
    <t>she said will discuss with parents and update 16/02 / she called me and she said will pay within friday / not answering the call</t>
  </si>
  <si>
    <t>sharvesh</t>
  </si>
  <si>
    <t>Wednesday, 11 February 2026 13:17.</t>
  </si>
  <si>
    <t>rajapalayam</t>
  </si>
  <si>
    <t>BSC PHY 2025, WAS WORKING AS INTERN IN HR , LOOKING FOR DA</t>
  </si>
  <si>
    <t>cv reminder call 12/02 / disconnecting the call / gone gold dropping the lead</t>
  </si>
  <si>
    <t>Gowtham</t>
  </si>
  <si>
    <t>Wednesday, 11 February 2026 13:59.</t>
  </si>
  <si>
    <t>BTECH BIO TECH 2025, LOOKING FOR DA</t>
  </si>
  <si>
    <t xml:space="preserve">not answering the call texted in whatsapp / he needs to discuss with parents / not answering the call texted in whatsapp / gone cold dropped </t>
  </si>
  <si>
    <t>MURUGAN</t>
  </si>
  <si>
    <t>BCA , MCA FINAL YR, LOOKING FOR FULLSTACK he enquired for his friend dharaneesh 93849 04938</t>
  </si>
  <si>
    <t xml:space="preserve">he said will join within 2 days 14/02 / shared price / he will share documents </t>
  </si>
  <si>
    <t>kavya</t>
  </si>
  <si>
    <t>Thursday, 12 February 2026 08:26.</t>
  </si>
  <si>
    <t>paramakudi</t>
  </si>
  <si>
    <t xml:space="preserve"> not answering the call texted in whatsapp / BE CSE 2026, FRESHER LOOKING FOR FSD NOT INTERESTED AS OF NOW </t>
  </si>
  <si>
    <t>Elango</t>
  </si>
  <si>
    <t>Thursday, 12 February 2026 08:37.</t>
  </si>
  <si>
    <t>HE SAID MISTAKNELY ENQUIRED LOOKING FOR ONLY JOB</t>
  </si>
  <si>
    <t>RASHIKA</t>
  </si>
  <si>
    <t>Thursday, 12 February 2026 13:51.</t>
  </si>
  <si>
    <t>BCOM 2020, WORKING IN MANUAL TESTING WITH 200K , LOOKING FOR AUTOMATION</t>
  </si>
  <si>
    <t>she  said need to check with family and will update by monday 16/02 / she said family denied for paid course</t>
  </si>
  <si>
    <t>Deepan Palanisamy.</t>
  </si>
  <si>
    <t>Thursday, 12 February 2026 15:09.</t>
  </si>
  <si>
    <t>periyakulam</t>
  </si>
  <si>
    <t>Not answering the call / he called me back BE MECH 2018, WORKING IN ASSEMBLY WITH 30K , LOOKING FOR AUTOCAD</t>
  </si>
  <si>
    <t>he said will join by 16/02 / forgot to share price / not answering the call texted in whatsapp / he texted me that need 10days time / need 2 months will join by april 1st week  / NOT ANSWERING THE CALL / not answering the call texted in whatsapp / he said will callback in may end 2026 / plan dropped due to fees high 21/05</t>
  </si>
  <si>
    <t>Sujeesh Suje</t>
  </si>
  <si>
    <t>Thursday, 12 February 2026 16:56.</t>
  </si>
  <si>
    <t>palghat</t>
  </si>
  <si>
    <t>BCA 1ST YR, LOOKING FOR INTERNSHIP</t>
  </si>
  <si>
    <t>Thursday, 12 February 2026 18:05.</t>
  </si>
  <si>
    <t>not answering the call texted in whatsapp / she said enrolled for offline DA in chennai</t>
  </si>
  <si>
    <t>madhavan</t>
  </si>
  <si>
    <t>Thursday, 12 February 2026 21:03.</t>
  </si>
  <si>
    <t xml:space="preserve">not answering the call texted in whatsapp / BE MECH 2024, WORKING CURRENTLY IN MECH DOMAIN WITH 345K, LOOKING FOR DA </t>
  </si>
  <si>
    <t>not answering the call texted in whatsapp / he said will update 20/02 / he will join arranging money / EMI applied in bajaj but rejected / he said joined elsewhere</t>
  </si>
  <si>
    <t>krishnaveni</t>
  </si>
  <si>
    <t>Thursday, 12 February 2026 21:51.</t>
  </si>
  <si>
    <t>ramanathapuram</t>
  </si>
  <si>
    <t>not answering the call texted in whatsapp / BBA 2009, MCOM 2017, NOT WORKING , CAREER GAP, LOOKING FOR DM</t>
  </si>
  <si>
    <t>SHE SAID WILL JOIN JUNE OR JULY</t>
  </si>
  <si>
    <t>harshad</t>
  </si>
  <si>
    <t>Friday, 13 February 2026 09:02.</t>
  </si>
  <si>
    <t>Diploma Civil, 2016, 3 yrs Site supervisor 20k, currently working 20k looking for upskilling</t>
  </si>
  <si>
    <t>he said plan dropped not interested as of now</t>
  </si>
  <si>
    <t>pathmavathi</t>
  </si>
  <si>
    <t>Friday, 13 February 2026 11:26.</t>
  </si>
  <si>
    <t>karaikudi</t>
  </si>
  <si>
    <t xml:space="preserve">not answering the call texted in whatsapp / not answering the call texted in whatsapp / not answering the call texted in whatsapp </t>
  </si>
  <si>
    <t>durga</t>
  </si>
  <si>
    <t>Friday, 13 February 2026 13:09.</t>
  </si>
  <si>
    <t>erode</t>
  </si>
  <si>
    <t xml:space="preserve">she was studying first year and mistakenly inquired. </t>
  </si>
  <si>
    <t>sanjay</t>
  </si>
  <si>
    <t>Palladam</t>
  </si>
  <si>
    <t xml:space="preserve"> BSC BIO 2025, WORKING IN MEDPLUS WITH 15K , LOOKING FOR DA</t>
  </si>
  <si>
    <t>bala</t>
  </si>
  <si>
    <t>Friday, 13 February 2026 19:11.</t>
  </si>
  <si>
    <t>kuddalore</t>
  </si>
  <si>
    <t>hindi lead lost wrong number</t>
  </si>
  <si>
    <t>gayathri</t>
  </si>
  <si>
    <t>disconnecting the call / BSC CSE 2021, NOT WORKING CURRENTLY , CAREER GAP, LOOKING FOR DA</t>
  </si>
  <si>
    <t>not answering the call texted in whatsapp / she said will confirm 24/02 / she replied in whatsapp that will viist 26/02 / not answering the call texted in whatsapp / she said plan dropped so dropping the leads</t>
  </si>
  <si>
    <t>naveen</t>
  </si>
  <si>
    <t>Friday, 13 February 2026 22:53.</t>
  </si>
  <si>
    <t>udumalpet</t>
  </si>
  <si>
    <t>BSC PHY 2024, MCA FINAL YR,  LOOKING FOR DA HE DINT MIGHT BE MISTAKENLY ENQUIRED , NOT LOOKING FOR COURSE</t>
  </si>
  <si>
    <t xml:space="preserve">ranjith </t>
  </si>
  <si>
    <t>Friday, 13 February 2026 23:49.</t>
  </si>
  <si>
    <t>not answering the call / not answering the call texted in whatsapp / disconnecting the call texted in whatsapp</t>
  </si>
  <si>
    <t>poobalan</t>
  </si>
  <si>
    <t>Saturday, 14 February 2026 10:06.</t>
  </si>
  <si>
    <t>trichendur</t>
  </si>
  <si>
    <t>not answering the call / not answering the call texted in whatsapp / not answering the call texted in whatsapp</t>
  </si>
  <si>
    <t>Saturday, 14 February 2026 19:16.</t>
  </si>
  <si>
    <t>not answering the call / he called me back he said mistakenly enquired not looking for any course</t>
  </si>
  <si>
    <t>sivaraj</t>
  </si>
  <si>
    <t>Saturday, 14 February 2026 22:37.</t>
  </si>
  <si>
    <t xml:space="preserve">not answering the call / BE MECH 2013, WORKING IN SERVICE SECTOR IN RAILWAYS WITH 50K, LOOKING FOR MECH COMBO </t>
  </si>
  <si>
    <t>reminder cv call 19/02 / gone cold dropped</t>
  </si>
  <si>
    <t>mani vikram</t>
  </si>
  <si>
    <t>Sunday, 15 February 2026 15:06.</t>
  </si>
  <si>
    <t>viruthachalam</t>
  </si>
  <si>
    <t>number switchedoff /not answering the call texted in whatsapp / not answering the call texted in whatsapp</t>
  </si>
  <si>
    <t>santhosh</t>
  </si>
  <si>
    <t>Sunday, 15 February 2026 17:44.</t>
  </si>
  <si>
    <t>Not answering the call / not answering the call texted in whatsapp / not reachable</t>
  </si>
  <si>
    <t>pondicherry</t>
  </si>
  <si>
    <t>Not answering the call / disconnecting the call texted in whatsapp / he said not enquired for course looking for job</t>
  </si>
  <si>
    <t xml:space="preserve">jagan </t>
  </si>
  <si>
    <t>Sunday, 15 February 2026 21:15.</t>
  </si>
  <si>
    <t>Not answering the call / not answering the call texted in whatsapp / call busy texted in whatsapp / BE MARINE 2016, WAS WORKING IN SHIP WITH 300K PER MONTH , LOOKING FOR MECH NO RESUME</t>
  </si>
  <si>
    <t xml:space="preserve">not answering the call texted in whatsapp / gone cold dropped </t>
  </si>
  <si>
    <t>sankar</t>
  </si>
  <si>
    <t>Sunday, 15 February 2026 22:51.</t>
  </si>
  <si>
    <t>DME 2017, WORKING CURRENTLY IN GARMENTS WITH 22K, LOOKING FOR DA OR MECH COMBO</t>
  </si>
  <si>
    <t>ragavan</t>
  </si>
  <si>
    <t>Sunday, 15 February 2026 23:27.</t>
  </si>
  <si>
    <t>EMI Process</t>
  </si>
  <si>
    <t>BE MECH 2022, MBA FINNACIAL 2025, WORKING IN HDB FINANCIAL &amp; SERVICERS WITH 19500, LOOKING FOR DA &amp; FSD</t>
  </si>
  <si>
    <t>EMI Applied</t>
  </si>
  <si>
    <t>he said will confirm by 19/02 / not answering the call texted in whatsapp / he said will join tmrw 24/02 / he said will share documents tdy 25/02</t>
  </si>
  <si>
    <t>william</t>
  </si>
  <si>
    <t>Monday, 16 February 2026 07:55.</t>
  </si>
  <si>
    <t>Not answering the call /  not answering the call texted in whatsapp / not answering the call texted in whatsapp</t>
  </si>
  <si>
    <t>saravanan</t>
  </si>
  <si>
    <t>Monday, 16 February 2026 09:11.</t>
  </si>
  <si>
    <t>Not answering the call / not answering the call texted in whatsapp / not answering the call texted in whatsapp / Diploma Automobile, 2022, techician 3 years, 1 service advisor- 17k, 4 pm.</t>
  </si>
  <si>
    <t>gone cold dropped</t>
  </si>
  <si>
    <t>sundar</t>
  </si>
  <si>
    <t>DME 2019, WAS WORKING CURRENTLY AS PRODUCTION ENGINEER WITH  28K ,LEFT JOB BEFORE 2MONTHS,</t>
  </si>
  <si>
    <t xml:space="preserve">cv reminder call 17/02 / not answering the call texted in whatsapp / gone cold dropped / fees details shared will confirm tdy </t>
  </si>
  <si>
    <t>jabaraj</t>
  </si>
  <si>
    <t>puthukottai</t>
  </si>
  <si>
    <t>busy in another call / BSC IT 2025, NOT WORKING &amp; FRESHER, LOOKING FOR DA  BUT HE DONT HAVE RESUME</t>
  </si>
  <si>
    <t xml:space="preserve">cv reminder call 17/02 / death in family so will back back when needed  / family denied so plan dropped </t>
  </si>
  <si>
    <t>nithish</t>
  </si>
  <si>
    <t>Not answering the call  / number switchedoff / not answering the call texted in whatsapp / gone cold dropped</t>
  </si>
  <si>
    <t>sam</t>
  </si>
  <si>
    <t>Monday, 16 February 2026 16:06.</t>
  </si>
  <si>
    <t>conoor</t>
  </si>
  <si>
    <t>Not answering the call  / not answering the call texted in whatsapp / not answering the call texted in whatsapp</t>
  </si>
  <si>
    <t>babu</t>
  </si>
  <si>
    <t>Monday, 16 February 2026 20:36.</t>
  </si>
  <si>
    <t>kovai</t>
  </si>
  <si>
    <t>Not answering the call / not answering the call texted in whatsapp / not answering the call texted in whatsapp</t>
  </si>
  <si>
    <t>anish</t>
  </si>
  <si>
    <t>Monday, 16 February 2026 20:57.</t>
  </si>
  <si>
    <t>marthandam</t>
  </si>
  <si>
    <t>disconnecting the call / BE MECH 2018, WORKING CURRENTLY IN OIL &amp; GAS HEAD IN BANGALORE WITH 30K, LOOKING FOR DA</t>
  </si>
  <si>
    <t>not answering the call texted in whatsapp / he replied me that not interested</t>
  </si>
  <si>
    <t>lovely</t>
  </si>
  <si>
    <t>Monday, 16 February 2026 21:47.</t>
  </si>
  <si>
    <t>somanur</t>
  </si>
  <si>
    <t>jeeva venkatraman</t>
  </si>
  <si>
    <t>Monday, 16 February 2026 23:52.</t>
  </si>
  <si>
    <t>BE MECH 2023, WORKING CURRENTLY IN PRODUCTION 25K, LOOKING FOR MECH COMBO</t>
  </si>
  <si>
    <t>reminder cv call 19/02 / not answering the call texted in whatsapp / gone cold dropped</t>
  </si>
  <si>
    <t>saravana kumar</t>
  </si>
  <si>
    <t>Tuesday, 17 February 2026 06:16.</t>
  </si>
  <si>
    <t xml:space="preserve">BE MECH 2024, WORKING CURRENTLY IN AQUCA WITH 25K, LOOKING FOR SOLIDWORKS </t>
  </si>
  <si>
    <t>not answering the call texted in whatsapp / someone attended the call said he is busy inn some work / gone cold dropped</t>
  </si>
  <si>
    <t xml:space="preserve">Sri haritha </t>
  </si>
  <si>
    <t>Tuesday, 17 February 2026 19:15.</t>
  </si>
  <si>
    <t xml:space="preserve">She completed BSC IT 2025, looking for DA course with offline -Gandhipuram </t>
  </si>
  <si>
    <t>she will viist tmrw 19/02 / she said parents denied for paid course</t>
  </si>
  <si>
    <t>swetha</t>
  </si>
  <si>
    <t>Tuesday, 17 February 2026 20:29.</t>
  </si>
  <si>
    <t xml:space="preserve">Not answering the call / not answering the call texted in whatsapp / BE MECH 2015, DOING OWN BUISNESS WORKSHOP, LOOKING FOR UPSKILLS </t>
  </si>
  <si>
    <t>he said need more time to confirm CB 27/02 / gone cold dropped</t>
  </si>
  <si>
    <t>hari sivam</t>
  </si>
  <si>
    <t>Tuesday, 17 February 2026 20:51.</t>
  </si>
  <si>
    <t>kalvinagar</t>
  </si>
  <si>
    <t>He completed B.sc IT 2024 and have 2 years exp in Non IT feild and looking for job and Had completed Softwere testing course.</t>
  </si>
  <si>
    <t>kowshik</t>
  </si>
  <si>
    <t>Tuesday, 17 February 2026 21:17.</t>
  </si>
  <si>
    <t xml:space="preserve">he said in office will call back at lunch  / DME 2015, WORKING IN MECH LOOKING FOR MECH COMBO </t>
  </si>
  <si>
    <t xml:space="preserve">he said will join within 2 days CB 21/02 / he wil pay monday 12k 23/02 / he paid 12k </t>
  </si>
  <si>
    <t>ramar thevar</t>
  </si>
  <si>
    <t>Tuesday, 17 February 2026 23:35.</t>
  </si>
  <si>
    <t>theni</t>
  </si>
  <si>
    <t>he said mistakenly enquired not looking for course</t>
  </si>
  <si>
    <t>S Lakshumanan</t>
  </si>
  <si>
    <t>Wednesday, 18 February 2026 22:18.</t>
  </si>
  <si>
    <t>BE MECH, Currently studying final year</t>
  </si>
  <si>
    <t xml:space="preserve">He was looking job only </t>
  </si>
  <si>
    <t>praveen</t>
  </si>
  <si>
    <t>he is doing night shift so will connect only afternoon / BCOM 2023, MBA ONLINE FINAL YR, WORKING IN TCS WITH 22K AS ACCOUNTS PAYABLE LOOKING FOR DA</t>
  </si>
  <si>
    <t>HE SAID WILL CONFIRM WITHIN MONDAY , NEED TO SEND SCHOLARSHIP / he said as of now not possible due to night shift CB after 15th / he is in notice period will call back april 20th / not answering the call /not answering the call textyed in whatsapp 20/04  / dropping the lead gone cold 24/04</t>
  </si>
  <si>
    <t>prakash raj</t>
  </si>
  <si>
    <t>Thursday, 19 February 2026 12:05.</t>
  </si>
  <si>
    <t>thanjavur</t>
  </si>
  <si>
    <t xml:space="preserve">DIP CIVIL 2014, WORKING AS DRIVER WITH 30K, LOOKING FOR CIVIL </t>
  </si>
  <si>
    <t>not answering the call  /  not answering the call texted in whatsapp / actual followup 26/02 / call abck march 20th / he said not interested as of now</t>
  </si>
  <si>
    <t>syedthamjith</t>
  </si>
  <si>
    <t>Thursday, 19 February 2026 19:10.</t>
  </si>
  <si>
    <t>BTECH MECH 2024, WAS WORKING IN PRICOL AS QUALITY ENGINEER WITH 15700, LEFT JOB IN JUNE 2025, LOOKING FOR MECH COMBO</t>
  </si>
  <si>
    <t>he said will confirm within 2days  / wil pay by wed 25/02 / not answering the call texted in whatsapp / gone cold dropped</t>
  </si>
  <si>
    <t>സൂര്യ നന്ദിനി</t>
  </si>
  <si>
    <t>Thursday, 19 February 2026 20:44.</t>
  </si>
  <si>
    <t>singnallur</t>
  </si>
  <si>
    <t>Not answering the call / disconnecting the call</t>
  </si>
  <si>
    <t>Mouli_Krishnan</t>
  </si>
  <si>
    <t>Friday, 20 February 2026 00:09.</t>
  </si>
  <si>
    <t>plan dropped</t>
  </si>
  <si>
    <t>yuvaraj</t>
  </si>
  <si>
    <t>Friday, 20 February 2026 01:23.</t>
  </si>
  <si>
    <t>selva kumar</t>
  </si>
  <si>
    <t>Friday, 20 February 2026 03:15.</t>
  </si>
  <si>
    <t>satyamangalam</t>
  </si>
  <si>
    <t xml:space="preserve">not answering the call texted in whatsapp / BE AUTOMOBILE 2017, WORKING IN BMC WITH 35K, LOOKING FOR MECH COMBO </t>
  </si>
  <si>
    <t>not answering the call texted in whatsapp / gone cold no response in whatsapp also dropped</t>
  </si>
  <si>
    <t>sriram karthic</t>
  </si>
  <si>
    <t>friday 20th feb</t>
  </si>
  <si>
    <t>upskill - BCOM 2023, DOING BUSINESS, LOOKING FOR AUTOCAD &amp; SOLIDWORKS</t>
  </si>
  <si>
    <t>he said monday will join within 2day with his cousin  23/02 / he said will visit tmrw he is in out of station 24/02 /not answering the call texted in whatsapp / he replied in whatsapp that he is in  native will do payment when he is coming back to cbe / he said will join tdy without fail 02/03 / he said due to some personal issue he dint join , he will join tdy he replied in whatsapp  / Upskill - paid 8k and enrolled for autocad</t>
  </si>
  <si>
    <t>dhiya</t>
  </si>
  <si>
    <t>Friday, 20 February 2026 19:25.</t>
  </si>
  <si>
    <t xml:space="preserve">BE-Mech ongoing, </t>
  </si>
  <si>
    <t>arul</t>
  </si>
  <si>
    <t>Saturday, 21 February 2026 07:51.</t>
  </si>
  <si>
    <t>not answering the call texted in whatsapp / he said he dint enquired</t>
  </si>
  <si>
    <t>ramos</t>
  </si>
  <si>
    <t>Saturday, 21 February 2026 19:06.</t>
  </si>
  <si>
    <t>vijay chandra sekar naidu</t>
  </si>
  <si>
    <t>Sunday, 22 February 2026 07:34.</t>
  </si>
  <si>
    <t>disconnecting the call not in whatsapp also  / he said mistakenly enquired</t>
  </si>
  <si>
    <t>aswin</t>
  </si>
  <si>
    <t>Sunday, 22 February 2026 08:48.</t>
  </si>
  <si>
    <t>BME 2025, WORKING AS CNC OPERATOR WITH 19K, LOOKING FOR AUTOCAD</t>
  </si>
  <si>
    <t>since there is no proper response dropped</t>
  </si>
  <si>
    <t>senthil pandian</t>
  </si>
  <si>
    <t>Sunday, 22 February 2026 13:05.</t>
  </si>
  <si>
    <t>no incoming texted in whatsapp / he texted dont know what to tell so dropping</t>
  </si>
  <si>
    <t>pravin</t>
  </si>
  <si>
    <t>Sunday, 22 February 2026 18:13.</t>
  </si>
  <si>
    <t xml:space="preserve">BE auto 2021, Sales 1.5 years, Production Support 2 years, 23k, looking for Mechanical. </t>
  </si>
  <si>
    <t>he said will confirm by tmrw 26/02 / not answering the call texted in whatsapp / he said will finalise within evening 13/03 / HE CALLED ME YESTERDAY AND SAID NEED 3DAYS TIME TO JOIN / he texted me that will join tdy 20/03 , he called me that he said will by monday 23/03 / HE IS VERY MUCH INTERESTED BUT WILL PAY NEXT MONTH ONLY  25/03 / he said will confirm by 11am tmrw 07/04  / NOT ANSWERING THE CALL  08/04 / need to arrange laptop so will join may 1st week 13/04 / he said will join tdy 18/04</t>
  </si>
  <si>
    <t>he said mistakenly enquired looking for only job</t>
  </si>
  <si>
    <t>Sunday, 22 February 2026 19:51.</t>
  </si>
  <si>
    <t xml:space="preserve">not answering the call texted in whatsapp / he said he got job so not interested </t>
  </si>
  <si>
    <t>vinoth</t>
  </si>
  <si>
    <t>Monday, 23 February 2026 04:08.</t>
  </si>
  <si>
    <t xml:space="preserve">BE -MECH 2017, WORKING MECH 3.5 YEARS ASST MANGER QUALITY, IT SERVICE DESK 1 YEAR 33K TKH, CONTRACT BASE TCS. </t>
  </si>
  <si>
    <t>not answering the call texted in whatsapp / plan dropped 28/02</t>
  </si>
  <si>
    <t>kathik</t>
  </si>
  <si>
    <t>Monday, 23 February 2026 08:37.</t>
  </si>
  <si>
    <t>not answering the call texted in whatsapp / dipolma Mech-2016, 10 years 30k, looking for upskilling</t>
  </si>
  <si>
    <t>he said plan dropped not interested to join 31/03</t>
  </si>
  <si>
    <t>siya</t>
  </si>
  <si>
    <t>Monday, 23 February 2026 16:40.</t>
  </si>
  <si>
    <t>tirupatur</t>
  </si>
  <si>
    <t>he said his friend mistakenly enquired</t>
  </si>
  <si>
    <t>Monday, 23 February 2026 22:55.</t>
  </si>
  <si>
    <t>upskill- Diploma Mech, 2006, 17 years exp manufacuting unit, 9LPA.</t>
  </si>
  <si>
    <t>not answering the call texted in whatsapp / he said not interested as of now</t>
  </si>
  <si>
    <t>vijay jananrthan</t>
  </si>
  <si>
    <t>Tuesday, 24 February 2026 01:46.</t>
  </si>
  <si>
    <t>not answering the call texted in whatsapp / not answering the call texted in whatsapp / not answering the call texted in whatsapp  / DIP MECH 2005,  WORKING AS PACKING MANAGER WITH 35K, LOOKING FOR MECH COMBO / shared resume 10/03</t>
  </si>
  <si>
    <t xml:space="preserve">he said will confirm by 2days 15/02 / he texted me that will visit tdy 16/03 / he asked me call back 20/03 / he is in bangalore next week only he will be available to visit office / Not answering the call texted in whatsapp / not answering the call  / finbal reminder sent 01/04 / dropping seems not interested </t>
  </si>
  <si>
    <t>praveen kumar</t>
  </si>
  <si>
    <t>Tuesday, 24 February 2026 07:43.</t>
  </si>
  <si>
    <t>tiruchirapalli</t>
  </si>
  <si>
    <t>Call back requested / not interested he said</t>
  </si>
  <si>
    <t>Ram</t>
  </si>
  <si>
    <t>BE MECH 2025, WORKING IN FLUTICS AS PRODUCTION SERVICES WITH 15K , LOOKING FOR MECH COMBO</t>
  </si>
  <si>
    <t>not answering the call texted in whatsapp / he is in notuce period will call back after thursday / not answering the call texted in whatsapp / he said not interested as of now and disconnected the call</t>
  </si>
  <si>
    <t>jayaram</t>
  </si>
  <si>
    <t xml:space="preserve">ref by gopinath , DME 2000, WORKING IN VAULVES COMPANY WITH 45K, LOOKING FOR </t>
  </si>
  <si>
    <t xml:space="preserve">he is interested but will go only abroad  / looking for CAD &amp; SP3D SO HE CAN JOIN / SP3D course not avilable </t>
  </si>
  <si>
    <t>vijayendran</t>
  </si>
  <si>
    <t>BE MECH , WORKING IN WIND MILL COMPANY WITH 720K , LOOKING FOR DA</t>
  </si>
  <si>
    <t xml:space="preserve">he will join within this week 07/03 / HE VISITED OFFICE ALREADY WILL JOIN TDY MAX 09/03 or 11/03 / no response in whatsapp &amp; call also / HE PAID 10K REMAINIG ON APRIL 30TH </t>
  </si>
  <si>
    <t>sagadevan</t>
  </si>
  <si>
    <t>ref by gopinath BSC 2014, MSC 2018, WORKING IN HOSUR LOOKING FOR DA</t>
  </si>
  <si>
    <t>HE SAID NEED 2DAYS TO DECIDE / not answering the call texted in whatsapp / no response gone cold dropping the lead</t>
  </si>
  <si>
    <t>Sathya rajashree</t>
  </si>
  <si>
    <t>BE CIVIL 2017, MBA FINANCE 2021, NOT WORKING, LOOKING FOR DA</t>
  </si>
  <si>
    <t>SHE SAID NEED TO DISCUSS WITH PARENTS 03/03 / not answering the call texted in whatsapp / gone cold dropped lead</t>
  </si>
  <si>
    <t>dhanya</t>
  </si>
  <si>
    <t>Upskill - paid 8k and enrolled for autocad</t>
  </si>
  <si>
    <t>prabhakaran</t>
  </si>
  <si>
    <t>Upskill - BE MECH 3RD YR, LOOKING FOR AUTOCAD</t>
  </si>
  <si>
    <t>HE SAID IF INTERESTED WILL CALL BACK IN MONTH END OR ELSE WOULD BE DROPPED 26/03 / final revised offer sent 27/03 / gone cold dropped</t>
  </si>
  <si>
    <t>Rakshitha</t>
  </si>
  <si>
    <t>upskill - BE CSE 2025 HAD INTERNSHIP ALRDY LOOKING FOR CYBER SECURITY</t>
  </si>
  <si>
    <t>SHE SAID WILL JOIN WITHIN 2 DAYS / she said parents denied for paid course so plan dropped</t>
  </si>
  <si>
    <t>nareshkumar</t>
  </si>
  <si>
    <t xml:space="preserve">UPSKILL &amp; JOB - BSC CSE 2025, IN GRD, LOOKING FOR UIUX </t>
  </si>
  <si>
    <t xml:space="preserve">Not answering the call / Not answering the call texted in whatsapp / he is in out of station plan dropped </t>
  </si>
  <si>
    <t>ravi</t>
  </si>
  <si>
    <t>sulur</t>
  </si>
  <si>
    <t xml:space="preserve">upskill - he viisted office enquired for his son , he comleted 10th he yet to join DME looking for autocad/ After college </t>
  </si>
  <si>
    <t>he said will visit office saturday 21/03 / he said takes 3-4 days to confirm / HE WILL CONFIRM BY 8PM 26/03/ DNP-28-03/ HE SAID HIS SON JOINED BADMINTON CLASS SO DROPPING THE PLAN</t>
  </si>
  <si>
    <t>UPSKILL - DME 2017 , BE MECH 2025, WORKING AS QUALITY ENGINEER WITH 40K LOOKING FOR CFD COURSE</t>
  </si>
  <si>
    <t>HE SAID WILL UPDATE BY MOMDQAY 30/03 ,HIS ALTERNATIVE NUMBER WHATSAPP : 8428333525 / he said monday will update but yestrday he dint respond he texted in whatsapp that not yet decided 31/03 / will join within may end 07/04</t>
  </si>
  <si>
    <t>SARAVANAN J</t>
  </si>
  <si>
    <t>BE MECH 2005, WAS WORKING IN PRODUCTION 15K, LEFT JOB IN FEB 2026 DUE TO WORK LOAD OF PURCHASING , LOOKING FOR MECH COMBO</t>
  </si>
  <si>
    <t>not answering the call texted in whatsapp / he said will confirm by monday 30/03 / not answering the call texted in whatsapp / got job so plan dropped 07/04</t>
  </si>
  <si>
    <t>BOOPATHIRAJAN</t>
  </si>
  <si>
    <t>BE MECH FINAL YR IN ST JOSEPH COLLEGE, LOOKING FOR MECH COMBO</t>
  </si>
  <si>
    <t>not answering the call texted in whatsapp / not answering the call texted in whatsapp  31/03 / not answering the call texted in whatsapp 07/04 /  not answering the call texted in whatsapp 15/04 / since there is no proper response gone cold dropped 18/04</t>
  </si>
  <si>
    <t>ARAVIND</t>
  </si>
  <si>
    <t>BE MECH 2026, DOING INTERN IN CONEI IN LIFT MANUFACTURING COMPANY WITH STIPEND 20K, LOOKING FOR MECH COMBO</t>
  </si>
  <si>
    <t>final reminder call for resume / not answering the call texted in whatsapp / he said will confirm tmrw 31/03 / he discussed with his father said will join his friend company so currently not interested</t>
  </si>
  <si>
    <t xml:space="preserve">ARUN </t>
  </si>
  <si>
    <t>BE MECH FINAL YR, LOOKING FOR MECH COMBO</t>
  </si>
  <si>
    <t>final reminder call for resume / he will share resume 27/03 / not answering the call texted in whatsapp /  not answering the call texted in whatsapp 07/04 final reminder sent  / gone cold dropped 15/04</t>
  </si>
  <si>
    <t>KANNAN</t>
  </si>
  <si>
    <t>BE EEE 2024, WORKING AS PRODUCTION ENGINEER WITH 15K , LOOKING FOR MECH COMBO</t>
  </si>
  <si>
    <t>he said will confirm by monday 30/03 / he said will confirm by monday 30/03 / he said not interested as of now 07/04</t>
  </si>
  <si>
    <t>KISHORE</t>
  </si>
  <si>
    <t>BE MECH 2025, NOT WORKING , COMPLETED AUTOCAD &amp; CREO , LOOKING FOR MECH COMBO</t>
  </si>
  <si>
    <t>he said will confirm by monday 30/03 / HE SAID COMPLETED COURSE LOOKING FOR ONLY JOB</t>
  </si>
  <si>
    <t xml:space="preserve">VIGNESH </t>
  </si>
  <si>
    <t>dharumapuri</t>
  </si>
  <si>
    <t xml:space="preserve">BE MECH 2024, WAS WORKING IN SIPCOT AS MAINTANANCE WITH 18K LEFT JOB IN FEB 2026 DUE TO HEALTH ISSUE , LOOKING FOR MECH COMBO </t>
  </si>
  <si>
    <t>final reminder call for resume / not answering the call texted in whatsapp /  not answering the call texted in whatsapp 31/03 / he said will join within week end 07/04 / he said missed fees details shared agn 20/04 / not answering the call sent final reminder for joining 24/04</t>
  </si>
  <si>
    <t>SURESHKUMAR</t>
  </si>
  <si>
    <t>BE EEE 2024, WORKING IN CHENNAI NEWTECH WITH 15K AS PRODUCTION , LOOKING FOR MECH COMBO</t>
  </si>
  <si>
    <t>final reminder call for resume / not answering the call texted in whatsapp 31/03 / not answering the call texted in whatsapp 07/04 / not answering the call texted in whatsapp 15/04</t>
  </si>
  <si>
    <t xml:space="preserve">DINESH K </t>
  </si>
  <si>
    <t>ulunthurpettai</t>
  </si>
  <si>
    <t xml:space="preserve">BE MECH 2023, WORKING IN FASHION WITH 25K, LOOKING FOR MECH COMBO </t>
  </si>
  <si>
    <t xml:space="preserve"> not answering the call texted in whatsapp / he called back said will confirm by monday 30/03 / NOT ANSWERING THE CALL TEXTED IN WHATSAPP / HE SAID WILL JOIN NEED TO SHARE SCHOLARSHIP  / he said not interested as of now plan dropped 07/04</t>
  </si>
  <si>
    <t>VIGNESH</t>
  </si>
  <si>
    <t>DME 2025, WORKING CURRENTLY IN CHENNAI AS SOLID EDGE WITH 20K, LOOKING FOR MECH COMBO</t>
  </si>
  <si>
    <t xml:space="preserve"> not answering the call texted in whatsapp / replied in whatsapp that he is bit occupied will connect later 31/03 / not answering the call texted in whatsapp  07/04 / gone cold dropped 15/04</t>
  </si>
  <si>
    <t>DANIEL</t>
  </si>
  <si>
    <t>BE MECH 2023, NOT WORKING , WAS WORKING IN SHOWROOM WITH 13K, LEFT JOB IN 2024 JULY , COMPLETE COURSE ALRDY , LOOKING FOR MECH COMBO</t>
  </si>
  <si>
    <t>he said will confirm by monday 30/03 / not answering the call texted in whatsapp / HE CALLED ME BACK SAID NOT INTERESTED GOT JOB</t>
  </si>
  <si>
    <t>KARTHIKEYAN</t>
  </si>
  <si>
    <t>BE MECH 2025, NOT WORKING , LOOKING FOR MECH COMBO</t>
  </si>
  <si>
    <t xml:space="preserve"> not answering the call texted in whatsapp /  not answering the call texted in whatsapp 31/03 /  not answering the call texted in whatsapp 07/04 final reminder sent / not answering the call texted in whatsapp 15/04 gone cold </t>
  </si>
  <si>
    <t>HARISH</t>
  </si>
  <si>
    <t>BE MECH FINAL YR IN MAHALINGAM COLLEGE POLLACHI, LOOKING FOR MECH COMBO</t>
  </si>
  <si>
    <t xml:space="preserve"> not answering the call texted in whatsapp /  not answering the call texted in whatsapp 31/03 / due to college exams not interested to join 07/04</t>
  </si>
  <si>
    <t>VASAN</t>
  </si>
  <si>
    <t>BE MECH FINAL YR IN KNOWLEDGE COLLEGE SALEM , LOOKING FOR MECH COMBO, ASKING FOR FEES</t>
  </si>
  <si>
    <t>he said need to discuss with parents since he is doing final yr / not answering the call texted in whatsapp 07/04 / not answering the call texted in whatsapp 15/04 / he called me back said not inetersted as of now</t>
  </si>
  <si>
    <t>VISHAL</t>
  </si>
  <si>
    <t>BE MECHTRONICS FINAL YR IN SATYABAMA,  LOOKING FOR MECH COMBO</t>
  </si>
  <si>
    <t>he said not interested bcz he is having final exam 31/03</t>
  </si>
  <si>
    <t>SHALINI</t>
  </si>
  <si>
    <t>BE AURO 2025, WORKING PART TIME , LOOKING FOR MECH COMBO VERY MUCH INTERESTED LOOKING COURSE WITH JOB</t>
  </si>
  <si>
    <t>she said will confirm within 2days / SHE TEXTED IN WHATSAPP THAT WILL JOIN TDY BUT NOT ANSWERING THE CALL 01/04 / EMI Documents requested -02-04 / not reachable 07/04 / not answering the call texted in whatsapp 08/04 / she said will join 138/04 only waiting for documents from partents / she said plan dropped due to job issues 16/04</t>
  </si>
  <si>
    <t>BALA CHAITANYA</t>
  </si>
  <si>
    <t>Andra</t>
  </si>
  <si>
    <t>BTECH MECH 2025, NOT WORKING , COMPLETED INTERNSHIP IN LUGAST WITH 21K STIPEND, LOOKING FOR MECH COMBO, COMPLETED CREO &amp; CATIA COURSE</t>
  </si>
  <si>
    <t xml:space="preserve"> not answering the call texted in whatsapp / he said planing to prepare for govt exam so plan dropped</t>
  </si>
  <si>
    <t>SUNDRAVALLI</t>
  </si>
  <si>
    <t>BE MECH FINAL YR IN SAIRAM COLLEGE TAMBARAM, LOOKING FOR MECH COMBO</t>
  </si>
  <si>
    <t xml:space="preserve"> not answering the call texted in whatsapp / she said fees high not interested as of now </t>
  </si>
  <si>
    <t>ROHINI</t>
  </si>
  <si>
    <t>BE MECH 2025, WORKING IN GHANA OUTSOURCING AS STEEL DETAILING IN CHENNAI WITH 22K, COMPLETED AUTOCAD , SOLIDWORKS COURSE, LOOKING FOR MECH COMBO</t>
  </si>
  <si>
    <t>she said will confirm by 3 days 31/03 / SHE SAID WILL CONFIRM BY 07/03/ DNP-07-04/ / not answering the call 07/04 / not answering the call texted in whatsapp 15/04 / not answering the call texted in whatsapp 16/04 /she saidalrdy completed course looking for only job 20/04</t>
  </si>
  <si>
    <t>PRADEEP SHANKAR</t>
  </si>
  <si>
    <t>SALEM</t>
  </si>
  <si>
    <t>OLX INCOMING CALL : BTECH MECH 2025, HAVE COMPLETED CERTIFICATION , LOOKING FOR DATA ANALYTICS COURSE</t>
  </si>
  <si>
    <t>HE SAID WILL CONFIRM WITH PROFESSOR AND CONFIRM BY TMRW / he said will all back when needed he is waiting for interview result  / Got job in IT sector 16/04</t>
  </si>
  <si>
    <t xml:space="preserve">OLX : MSC CHE 2012, WORKING IN NON WORKING WITH 600K, HE WAS A TRINER, </t>
  </si>
  <si>
    <t xml:space="preserve">HE IS VIISTING OFFICE SATURDAY 04/04 / he paid 7k remaining will by joining </t>
  </si>
  <si>
    <t>altaf</t>
  </si>
  <si>
    <t>BTECH CSE 2025, COMPLETED CDA COURSE ALRDY , LOOKING FOR DA TRAINING WITH JOB</t>
  </si>
  <si>
    <t>he said will confirm by tmrw 03/04 / he said not interested looking for only job</t>
  </si>
  <si>
    <t>dineshkumar</t>
  </si>
  <si>
    <t xml:space="preserve">BE ECE 2018, WORKING IN B2B SALES WITH 25K, DOING DM COURSE , </t>
  </si>
  <si>
    <t>anand</t>
  </si>
  <si>
    <t>he said not interested due to financial issue 17/04 / he called me said will join</t>
  </si>
  <si>
    <t>azhapuzha</t>
  </si>
  <si>
    <t>OLX: BA ENG DISTANCE 2ND YR, LOOKING FOR DA</t>
  </si>
  <si>
    <t>he attended the call said will call back  / he said will join within week end 15/04 / he said not interested and disconnected the call 18/04</t>
  </si>
  <si>
    <t>SAHID</t>
  </si>
  <si>
    <t>BA ECO 2025, COMPLETED DA IBM COURSE, LOOKING FOR JOB</t>
  </si>
  <si>
    <t>fareed</t>
  </si>
  <si>
    <t>hyderabad</t>
  </si>
  <si>
    <t>BTECH MECH 2022, NOT WORKING , COMPLETED SOLIDWORKS CERTIFICATE., LOOKING FOR MECH COMBO</t>
  </si>
  <si>
    <t>he called me said that will join witrhin tmrw 07/04 / not answering the call  / he called back said will complete process tdy 13/04 / not answering the call  16/04 / he said plan dropped and disconnected the call 20/04</t>
  </si>
  <si>
    <t>vasim</t>
  </si>
  <si>
    <t>BE ECE 2013, HAD 11YRS EXP IN MARKETING WITH 40K, LOKING FOR IT &amp; FINANCE COURSE</t>
  </si>
  <si>
    <t>Schlorship details shared his whatsapp and will call back by evng 07-04/ he said will join within week end / HE SAID WILL CHECK AND UPDATE WITHIN EVENING 08/04 / HE SAID TRAVELLING WILL CALL BACK / not answering the call texted in whatsapp 15/04 / seems not interested looking for only job 16/04</t>
  </si>
  <si>
    <t>AKSHAY</t>
  </si>
  <si>
    <t>MSC 2025, COMPLETED DA COURSE IN PUMO , ALREADY GOT OFFER FOR DA LOOKING FOR ONLY JOB IN DS</t>
  </si>
  <si>
    <t>ragavendra</t>
  </si>
  <si>
    <t>BE-AERO 2025, one year prepared GATE exam, Now looking for job due to family financial issues</t>
  </si>
  <si>
    <t>he said will update by tmrw after discussing with parents 16/04 / not answering the call texted in whatsapp 20/04 / he said will confirm by evening 24/04</t>
  </si>
  <si>
    <t>Manodeepan</t>
  </si>
  <si>
    <t>she enquired for her son , completed 12th looking for DM</t>
  </si>
  <si>
    <t>connected by nithish : he will update by 12pm after discussing with parents 16/04 / she said his son not interested due to financial issue  18/04</t>
  </si>
  <si>
    <t>KAVIN</t>
  </si>
  <si>
    <t>BE CSE 2025, DONT INTERNSHIP IN DA , LOOKING FOR DA</t>
  </si>
  <si>
    <t>Not answering the call 16/04 / Not answering the call texted in whatsapp 20/04 / gone cold dropped 24/04</t>
  </si>
  <si>
    <t>vijaykumar</t>
  </si>
  <si>
    <t>BTECH -7YEARS EXP 5 YEARS GAP LST CTC 30K</t>
  </si>
  <si>
    <t>parents denied for paid course 16/04</t>
  </si>
  <si>
    <t>he said driving will call back 16/04 / ME CSE 2014, WORKING IN TVS AS FINANCE WITH 600K, LOOKING FOR DA</t>
  </si>
  <si>
    <t>he said not interested due to financial issue 17/04 / he called back said will viist office after election 18/04</t>
  </si>
  <si>
    <t>MSC STS, HAD 6YRS EXP , WORKING AS DATA ANALYST WITH 20K IN CHENNAI, LOOKING FOR  DA . HE HAD 4YRS AS FRIEGHT FORWARD AND 2YRS IN BPO</t>
  </si>
  <si>
    <t xml:space="preserve">need placed students details 18/04 / Not answering the call texted in whatsapp 24/04 </t>
  </si>
  <si>
    <t>Rukshana begam</t>
  </si>
  <si>
    <t xml:space="preserve">BTECH CSE FINAL YR, LOOKING FOR DA , SHE WILL SHARE CERTIFICATE DETAILS </t>
  </si>
  <si>
    <t>she said will confirm after discussing with parents 13/04 / Pitched for pay after placement for 69,999 fee and she said she will confirm before 03:30pm 16/04/ she said parents denied for high paid course 20/04</t>
  </si>
  <si>
    <t>B.sc Computer Science 2022, Currently working in Food domain as a Supervisor with salary 22k, he from Erode Looking for DA.</t>
  </si>
  <si>
    <t>Not answering the call texted in whatsapp 13/04 / Not answering the call texted in whatsapp 16/04 / gone cold dropped 20/04</t>
  </si>
  <si>
    <t>B.sc CS 2024, M.sc IT 2026, Fresher from Tirupur &amp; Having 3 offer BPO and core with 30k salary</t>
  </si>
  <si>
    <t>he said will confirm by evening 15/04 / fees details shared 16/04 / parents denied for paid course 17/04</t>
  </si>
  <si>
    <t>kasi</t>
  </si>
  <si>
    <t>Coimbatore, Nanjjappa nagar</t>
  </si>
  <si>
    <t xml:space="preserve">Not answering the call texted in whatsapp / BE MECH 2019, WORKING IN DESIGNING WITH 20K, LOOKING FOR MECH COMBO </t>
  </si>
  <si>
    <t>he said will confirm by evening 13/04 / looking for only CATIA,CREO price details sent for 20k 16/04 / he said busy will call later 18/04 / not answering the call texted in whatsapp 20/04 / gone cold dropped 24/04</t>
  </si>
  <si>
    <t>Anitha</t>
  </si>
  <si>
    <t>She completd B.tech IT 2012, Having 9 years of experince in DATA mining process, Salary 4.2 LPA working in remote. From Coimbatore.</t>
  </si>
  <si>
    <t>Not answering the call texted in whatsapp / she said will join within week end 13/04 / paid 5k remainiang within 2days 15/04</t>
  </si>
  <si>
    <t>yesu raj</t>
  </si>
  <si>
    <t>B.sc Computer Science 2024-Having 2 years of experience as a Printer Service with salary of 25k Cbe. His shift timings 9.30to 6 pm * Looking for DA .</t>
  </si>
  <si>
    <t>he said not interested as of now 13/04</t>
  </si>
  <si>
    <t>Harini</t>
  </si>
  <si>
    <t>BBA-2025, Currently working as a Administer in PSG Polytechnic college &amp; getting salary 20k, Notice period  90 days &amp; She wanna discuss with her parents also and Willing DA</t>
  </si>
  <si>
    <t>Not answering the call texted in whatsapp 13/04/ DNP-16-04 / gone gold dropped 20/04</t>
  </si>
  <si>
    <t>BSC 2009, NOT WORKING, WAS WORKING IN SHARDAMMA AUTOMOBILE WITH 22K, LOOKING FOR DA</t>
  </si>
  <si>
    <t>Not answering the call texted in whatsapp 13/04/ DNP-16-04  resume shared 16/04 / gone cold 24/04</t>
  </si>
  <si>
    <t>harshini</t>
  </si>
  <si>
    <t>NAMAKKAL</t>
  </si>
  <si>
    <t>BE 3RD YR , LOOKING FOR DA -25K SENT</t>
  </si>
  <si>
    <t>fees details sent, not answering the call texted in whatsapp 15/04 / not answering the call 16/04 / she said plan dropped 16/04</t>
  </si>
  <si>
    <t xml:space="preserve">Vishnushankari </t>
  </si>
  <si>
    <t>BE-CSE-2026 &amp; Gov College from Dharmapuri &amp; currently in Chennai doing free course &amp; DA _and she referred her friemds also -Jeyashree,Ramya</t>
  </si>
  <si>
    <t>Not answering the call texted in whatsapp 15/04 / Not answering the call texted in whatsapp 16/04 / she said will join within 2days alone with frnds 17/04 / she said not interested in paid course 18/04</t>
  </si>
  <si>
    <t>Jeyashree</t>
  </si>
  <si>
    <t>BE-CSE-2026 &amp; Gov College from Dharmapuri &amp; currently in Chennai doing free course &amp; DA</t>
  </si>
  <si>
    <t>Not answering the call texted in whatsapp 15/04 / she said will join within 2days alone with frnds 17/04 / she said not interested in paid course 18/04</t>
  </si>
  <si>
    <t>Ramya</t>
  </si>
  <si>
    <t>Not answering the call texted in whatsapp 15/04 / Not answering the call texted in whatsapp 16/04 / she said will join within 2days alone with frnds 17/04</t>
  </si>
  <si>
    <t>Krishna</t>
  </si>
  <si>
    <t>Dot Net / Kerala</t>
  </si>
  <si>
    <t>B.sc It-2020 and working in Manapuram finance as a Dot.net Developer 4.5 years with salary 35k &amp; wants to move same position</t>
  </si>
  <si>
    <t>Not answering the call texted in whatsapp 15/05/ DNP-16-04 /  gone cold dropped 20/04</t>
  </si>
  <si>
    <t>Vinothini</t>
  </si>
  <si>
    <t>M.com CA-2025, Currently working in Auditor office with salary 10k, Othukuli, Tirupur, She wanna discuss with her parents also</t>
  </si>
  <si>
    <t>she said will confimr within evening 15/04 / not answering the call texted in whatsapp 16/04  / not answering the call 18/04 / she called me agn asaid will confirm she dint check price 18/04 / not answering the call texted in whatsaapp 20/04 / she said will join tdy 24/04 / not answering the call texted in whatsaapp 28/04</t>
  </si>
  <si>
    <t>Pradheeb</t>
  </si>
  <si>
    <t>Coimabtore</t>
  </si>
  <si>
    <t>BBA-CA-2026, Sri Krishna college, Coimbatore, looking for DA</t>
  </si>
  <si>
    <t>Not answering the call texted in whatsapp 15/04 / Not answering the call texted in whatsapp 16/04 / gone cold 20/04</t>
  </si>
  <si>
    <t>NAVEEN KUMAR . A</t>
  </si>
  <si>
    <t>b.sc it-2022, Merchandising 22k, having 3 years, Tirupur, looking for DA</t>
  </si>
  <si>
    <t>/ DNP-16-04 / gone cold dropped 20/04</t>
  </si>
  <si>
    <t>Vishali</t>
  </si>
  <si>
    <t>Completed B.com 2024, M.com 2026 and looking for Non it job &amp; i suggested her DM</t>
  </si>
  <si>
    <t>/ DNP-16-04 / she said not interested as of now 20/04</t>
  </si>
  <si>
    <t>SANJAY PRAKASH S</t>
  </si>
  <si>
    <t>B.com professional account- 24, already done course PHY-FSD in people click, BPO-21,500, 6 months bangalore,</t>
  </si>
  <si>
    <t>JAYARAMAN R</t>
  </si>
  <si>
    <t xml:space="preserve">Sivanandha colony </t>
  </si>
  <si>
    <t>b.sc cs &amp; m.sc cs- 2025, PHY-FSD people click learning 25k,  sivanandha colony - coimbatore</t>
  </si>
  <si>
    <t>he said will confirm by tmrw 18/04 / not answering the call texted in whatsapp 20/04 / not answering the call texted in whatsapp 24/04 / gone cold dropped 27/04</t>
  </si>
  <si>
    <t xml:space="preserve">SANTHOSH </t>
  </si>
  <si>
    <t>BE-mech 2020- 2 years experience - quality engineer-28k,</t>
  </si>
  <si>
    <t>/ DNP-16-04 / gone cold dropped 21/04</t>
  </si>
  <si>
    <t>jeevitha</t>
  </si>
  <si>
    <t xml:space="preserve">Poo-market, cbe </t>
  </si>
  <si>
    <t>BE-cse-2024, PHY-FSD-people click-40k-2025-august, poo-market coimbatore.,</t>
  </si>
  <si>
    <t>Not answering the call texted in whatsapp 18/04 / she called me said will join within 2 days but not that much interested in paid course 18/04  / she said fees high so dropping the plan 24/04</t>
  </si>
  <si>
    <t>VICKRAM.S</t>
  </si>
  <si>
    <t xml:space="preserve">coimbatore </t>
  </si>
  <si>
    <t>B.tech AIDS- 2025, DATA entry 5 months 18k,  looking for FSD</t>
  </si>
  <si>
    <t>/ DNP-16-04 / final call for CV reminder20/04 / gone cold dropped 21/04</t>
  </si>
  <si>
    <t>SOWNDHARYA</t>
  </si>
  <si>
    <t xml:space="preserve">Kuniyamuthur, Coimbatore </t>
  </si>
  <si>
    <t>B.com Professional Accounting 2020, one year Auditing with salary 14k, after got job in Gov as a Typist with 17.5k salary &amp; she is from Kuniyamuthur and i suggested her DA</t>
  </si>
  <si>
    <t>Sabari Balaji</t>
  </si>
  <si>
    <t>B.tech IT-2024, 6 months only having experience as a graphic designer 18k due to project end, Interested in UI/UX, GRAPHIC DESIGNER/ Erode..,</t>
  </si>
  <si>
    <t>Not answering the call texted in whatsapp 24/04 / gone cold dropped 27/04</t>
  </si>
  <si>
    <t>abi jai</t>
  </si>
  <si>
    <t>upskill : abijai number 8248758141 compelted 12th looking for DM pitched for 18k/ paid 5k remanning will pay monday- 20-04</t>
  </si>
  <si>
    <t>Pradeep Kumar</t>
  </si>
  <si>
    <t xml:space="preserve">Refferd by Yuvanesan </t>
  </si>
  <si>
    <t>He did Diploma CSE-2020 and currently doing BBA in distance looking for DA &amp; currently working Scriptyum Solutions/Xentrix Hi-Tech (P) Ltd ( March 2022 - Present)  salary getting 16,500 &amp; referred by Yuvanesan</t>
  </si>
  <si>
    <t>Not answering the call texted in whatsapp 24/05 / he called me back said will join if parents okay with fees 24/04</t>
  </si>
  <si>
    <t>Sameem Ali</t>
  </si>
  <si>
    <t>b.tech mechanical engineer- 2023, 2 years exercise line supervisor 18.5k, chennai,  looking for mech combo</t>
  </si>
  <si>
    <t>he said will confirm but need fees details 24/04 / he said need to discuss with brother once 06/05</t>
  </si>
  <si>
    <t>Olx-Completed BE-ECE-2026 from namakkal &amp; fresher, looking for DA.</t>
  </si>
  <si>
    <t>he said need to discuss with parents for paid course 24/04</t>
  </si>
  <si>
    <t xml:space="preserve">Sulur, coimbatore </t>
  </si>
  <si>
    <t xml:space="preserve">BE-ece-2021, supporting 14k 1.5 years, calling executive 7k, quit and now looking for job &amp; Phy-FSD &amp; he wanna discuss the payment regarding </t>
  </si>
  <si>
    <t xml:space="preserve">Yugandhar </t>
  </si>
  <si>
    <t xml:space="preserve">Andra </t>
  </si>
  <si>
    <t>diploma eee 2022 &amp; b.tech -eee 2025,  already done done course P-FSD in besant technologies, having one offer BDE 20k and looking for P-FSD</t>
  </si>
  <si>
    <t xml:space="preserve"> he said will cofnirm by tdy evening 24/04</t>
  </si>
  <si>
    <r>
      <rPr>
        <rFont val="Comic Sans MS"/>
        <b/>
        <color theme="1"/>
        <sz val="9.0"/>
      </rPr>
      <t xml:space="preserve">PAP </t>
    </r>
    <r>
      <rPr>
        <rFont val="Comic Sans MS"/>
        <color theme="1"/>
        <sz val="9.0"/>
      </rPr>
      <t xml:space="preserve">/Tirupur </t>
    </r>
  </si>
  <si>
    <t>PAP -Diploma cse 2020  &amp; b.tech AI &amp; DS -2024, 1.5 years data annotation quit due to project limited- 14k, worked as freelancer and earned 30k,  looking DA..,</t>
  </si>
  <si>
    <t>he said will confirm by evening 24/04</t>
  </si>
  <si>
    <t xml:space="preserve">Jeevitha </t>
  </si>
  <si>
    <t>b.tech bio tech 25, one year working in her core domain 18k, notice 15 days, looking DA for online evng</t>
  </si>
  <si>
    <t>Not answering the call texted in whatsapp 24/04 / she said fees missed will check and update 27/04</t>
  </si>
  <si>
    <t>PRADEEP KUMAR N</t>
  </si>
  <si>
    <t xml:space="preserve">bangalore </t>
  </si>
  <si>
    <t>BE-mech-2022, after 3.6 year ex working as a designer  engineer, creo &amp; NX 5.42 LPA</t>
  </si>
  <si>
    <t>he said plan dropped as of now 24/04</t>
  </si>
  <si>
    <t xml:space="preserve">NAGARAJ </t>
  </si>
  <si>
    <t>diploma - mech 2011, 10 years mech ex, 9 LPA, soild works, creo little bit, team center, autocad, bangalore.</t>
  </si>
  <si>
    <t xml:space="preserve">he said not interested with paid course 24/04 and looking for more than 90k salary </t>
  </si>
  <si>
    <t>Abinaya</t>
  </si>
  <si>
    <t>ERODE</t>
  </si>
  <si>
    <t>BE-ECE-2017, 7 YEARS WORKING AS AN ADMIN-20K,</t>
  </si>
  <si>
    <t>Not answering the call texted in whatsapp 24/04</t>
  </si>
  <si>
    <t>Murugan</t>
  </si>
  <si>
    <t>BCA-2019, Kottak bank-chennai- operations-35k take home, looking for operations i suggested to DA</t>
  </si>
  <si>
    <t>Not answering the call texted in whatsapp 24/04 / disconnecting the call texted in whatsapp 27/04</t>
  </si>
  <si>
    <t>Basker</t>
  </si>
  <si>
    <t>M.SC BIO CHEMISTRY, 2020- 6 MONTHS- PROCESS TECHNICON - MUMBAI, SUGAM HOSPITAL WORKED 2 YEARS CHENNAI- 19K, DUE TO FAMILY ISSUES HE QUIT, VENKATESH HOSPITAL-LAB TECH-23K-2.6 YEARS,  I SUGGESTED TO HIM DA</t>
  </si>
  <si>
    <t>Not answering the call texted in whatsapp 24/04 / not answering the call texted in whatsapp 27/04</t>
  </si>
  <si>
    <t xml:space="preserve">VINOTH </t>
  </si>
  <si>
    <t>TRICHY</t>
  </si>
  <si>
    <t>M.SC MATHS &amp; COMPUTER 2025, HAVING INTERNSHIP EXPERIENCE -JAVA-FSD, FRESHER , TRICHY,</t>
  </si>
  <si>
    <t xml:space="preserve">ANUSYA </t>
  </si>
  <si>
    <t>b.com ca-2025, working as CRE 17k, looking for DA, notice period 15,</t>
  </si>
  <si>
    <t>Not answering the call texted in whatsapp 24/04 / gone cold dropped, disconnecting the call whenever try to call 27/04</t>
  </si>
  <si>
    <t>Charudesna</t>
  </si>
  <si>
    <t>be-ece-2023, no experience, got married looking for DA &amp; she wanna discuss with her husband also</t>
  </si>
  <si>
    <t>Not answering the call texted in whatsapp 24/04 / Not answering the call texted in whatsapp 27/04</t>
  </si>
  <si>
    <t xml:space="preserve">Abhiram </t>
  </si>
  <si>
    <t>KERALA</t>
  </si>
  <si>
    <t>KERALA-B.TECH-MECH-2025, 6 TO 7 MONTH EX-DUE TO CAREER,15K,LOOKING FOR MECH</t>
  </si>
  <si>
    <t xml:space="preserve">Raj </t>
  </si>
  <si>
    <t>BE-Mech 2023, 2 years working in Designing field at thanjavur salary of 25k &amp; he knows AUTOCAD, CREO.</t>
  </si>
  <si>
    <t>he said will confirm by 2 days need to share fees details 06/05 / he said not interested as of now 06/05</t>
  </si>
  <si>
    <t>SATHYA</t>
  </si>
  <si>
    <t>BSC CSE 2024, MSC 1ST YR, WORKING AS DOCUMENTATION IN RANDING INDUSTRY WITH 18K, LOOKING FOR DA</t>
  </si>
  <si>
    <t>Not answering the call texted in whatsapp 06/05</t>
  </si>
  <si>
    <t>Arokkia julie</t>
  </si>
  <si>
    <t>be-ece-2018, 3 years quality head, 2 manager- same company,24k, marriage 2 years career gap, looking for DA</t>
  </si>
  <si>
    <t>MOOTHISHA</t>
  </si>
  <si>
    <t xml:space="preserve">BSC IT 2024, WAS WORKING IN SUPPORT ROLE IN SAP TOOL WITH 20K LEFT JOB DUE TO SHIFT TIMING, LOOKING FOR DA , SHARED DETAILS IN WHATSAPP </t>
  </si>
  <si>
    <t>she said will share resume tdy 06/05</t>
  </si>
  <si>
    <t xml:space="preserve">YASWANTH </t>
  </si>
  <si>
    <t>B.SC IT-2025, HAVING 6 MONTHS EXPERIENCE DA 2 MONTHS &amp; DM 4 MONTHS DUE TO NIGHT SHIFTS HE QUIT THE JOB &amp; SALARY 18K &amp; 12hr SHIFTS &amp; NOW LOOKING FOR DA</t>
  </si>
  <si>
    <t xml:space="preserve">Matheskumar </t>
  </si>
  <si>
    <t>DIPLOMA -EEE-2022, 3 YEARS MACHINE SERVICE-23K, OSHUR, LOOKING MECH COMBO</t>
  </si>
  <si>
    <t>KALPANA</t>
  </si>
  <si>
    <t>MPHIL 2017, WAS WORKING AS PROFESSOR NOW WORKING AS HR WITH 20K, LOOKING FOR DA</t>
  </si>
  <si>
    <t>Arivazhagan</t>
  </si>
  <si>
    <t>b.tech fashion -2021, 3 years ex garments quality engineer-17k, looking for UI &amp; UX desginer</t>
  </si>
  <si>
    <t>Guna shree</t>
  </si>
  <si>
    <t>BE-ECE -25 &amp; done certification course at people click learning with 35k, looking for JAVA FSD &amp; she wanna discuss with her parents also</t>
  </si>
  <si>
    <t>Jothi Lathaa</t>
  </si>
  <si>
    <t>Guna sree referred : BE-ECE 2025, done certification at people click learning &amp; she wanna discuss with her parents</t>
  </si>
  <si>
    <t>nithyashree</t>
  </si>
  <si>
    <t>MBA HR MARKETING 2026, LOOKING FOR DM ALRDY COMPLETED  DM COURSE</t>
  </si>
  <si>
    <t>she said not interested as of now  she got job in marketing 06/05</t>
  </si>
  <si>
    <t>SHAHINA</t>
  </si>
  <si>
    <t>CHENNAI</t>
  </si>
  <si>
    <t>BE CSE  2025, WORKING IN TECH MAHINDRA AS SUPPORT ENGINEER WITH 14K, LOOKING FOR DA</t>
  </si>
  <si>
    <t>abinaya</t>
  </si>
  <si>
    <t>ABINAYA</t>
  </si>
  <si>
    <t>BSC CSE 2025, NOT WORKING, SHE IS FROM ERODE, SHE ALRDY COMPLETED FRONT END COURSE LOOKING FOR FSD</t>
  </si>
  <si>
    <t>BHUVANESHWARI</t>
  </si>
  <si>
    <t>BCOM 2020, WORKING CURRENTLY IN CTS WITH 18K, SHE IS FROM COIMBATORE LOOKING FOR DA</t>
  </si>
  <si>
    <t>mohitha</t>
  </si>
  <si>
    <t>MCA 2025, WORKING CURRENTLY  AS SOFTWARE ELECTRONIC WITH 22K SALARY, LOOKING FOR DA</t>
  </si>
  <si>
    <t xml:space="preserve">Gowtham </t>
  </si>
  <si>
    <t xml:space="preserve">b.tech aids 2025 and he was done paid internship also related AI and looking for DA and fees related he wanna discuss with his parents </t>
  </si>
  <si>
    <t xml:space="preserve">Jothi </t>
  </si>
  <si>
    <t xml:space="preserve">b.com and currently working BPO related company with salary 13k and wanna change her domain and bond 3 months i suggested her Capgemini process </t>
  </si>
  <si>
    <t>Menaka</t>
  </si>
  <si>
    <t xml:space="preserve">b.com 2024 and currently working in HDB as a sales with 18k salary looking for IT job and she wanna discuss regarding fees thing to her parents </t>
  </si>
  <si>
    <t xml:space="preserve">Balaji </t>
  </si>
  <si>
    <t xml:space="preserve">b.sc computer science 2025 and recently completed basic computer operating course and he is from thirunelveli looking for it job </t>
  </si>
  <si>
    <t xml:space="preserve">Sudalaieswaran </t>
  </si>
  <si>
    <t xml:space="preserve">b.sc maths 2025 and currently working as driver looking for it jobs </t>
  </si>
  <si>
    <t>Sukirdha</t>
  </si>
  <si>
    <t>BE-EEE 2018 HAVING 8 MONTHS EXPERIENCE IN MANUFACTURING COMPANY AND DUE TO COVIT SHE QUIT THE JOB AND CURRENTLY LOOKING FOR JOB IT</t>
  </si>
  <si>
    <t>balachandar</t>
  </si>
  <si>
    <t>BE CSE 2026, GOT OFFER CORIZO BANGALORE , LOOKING FOR DA WITH PLACEMENTS</t>
  </si>
  <si>
    <t>he said interested but fees high will discuss and confrim within 2days 11/05 / he said not interested as of now he got job 18/05</t>
  </si>
  <si>
    <t>BE MECH 2019, WORKING IN DESIGNING WITH 20K, LOOKING FOR MECH COMBO</t>
  </si>
  <si>
    <t>Kokilavani</t>
  </si>
  <si>
    <t>Not answering the call  05/05 / Not answering the call  06/05 / Not answering the call  09/05 / Not answering the call texted in whatsapp  11/05 / attended the call and said not interested as of now 12/05</t>
  </si>
  <si>
    <t>nisha</t>
  </si>
  <si>
    <t>BE CSE 3RD YR, LOOKING FOR DA</t>
  </si>
  <si>
    <t>Not answering the call  texted in whatsapp 08/05 / she called me back said will update by 10/05 / she texted me that will connect after 1 month 19/05</t>
  </si>
  <si>
    <t>vijay</t>
  </si>
  <si>
    <t xml:space="preserve">Not answering the call  05/05 / BE MECH 2025, NOT WORKING , LOOKING FOR DA WITH PLACEMENTS </t>
  </si>
  <si>
    <t>Not answering the call  texted in whatsapp 08/05 / he said will confirm by 6pm 09/05 / he said busy will confirm tmrw 19/05 / Not answering the call texted in whatsapp 21/05 / gone cold dropped 27/05</t>
  </si>
  <si>
    <t>priyanka</t>
  </si>
  <si>
    <t>Not answering the call  05/05 / Not reachable 06/05 /  Not answering the call  09/05 / Not answering the call texted in whatsapp  11/05 / Not answering the call texted in whatsapp  12/05 / Not answering the call texted in whatsapp  14/05</t>
  </si>
  <si>
    <t>srimathi sivagami</t>
  </si>
  <si>
    <t>AIML</t>
  </si>
  <si>
    <t>Not answering the call  05/05 / BSC AI 2026, NOT WORKING, LOOKING FOR AIML WITH PLACEMENTS</t>
  </si>
  <si>
    <t>she said will confirm by tmrw need to discuss with parents 08/05 / she said need to discuss with parents 19/05 / she said will confirm tdy evening 21/05 / she said plan dropped as of now 27/05</t>
  </si>
  <si>
    <t>Call forwarded 05/05 / Call forwarded 06/05 not in whatsapp /  Call forwarded 06/05 not in whatsapp 09/05 / Not answering the call texted in whatsapp  11/05 / dropping  lead wrong number not in whatsapp also 12/05</t>
  </si>
  <si>
    <t>jothikala</t>
  </si>
  <si>
    <t>BCA 2023, MSC CSE 2025, WORKING CURRENTLY IN SRI SOFTWARE IN COIMBATORE ERP SOFTWARE WITH 200K, LOOKING FOR FSD</t>
  </si>
  <si>
    <t>she said will confirm by tmrw  08/05 / he family said fees high looking for 10k course 09/05</t>
  </si>
  <si>
    <t>keerthi</t>
  </si>
  <si>
    <t xml:space="preserve">BSC MATHS 2026, LOOKING FOR DA WITH PLACEMENTS </t>
  </si>
  <si>
    <t>she said will confirm by tmrw  08/05 / she said looking for only job not interested in paid course 19/05</t>
  </si>
  <si>
    <t>kaleeswaran</t>
  </si>
  <si>
    <t>Not answering the call  05/05 / BCOM CA 2021, WORKING IN ACCOUNTS WITH 22K, LOOKING FOR DA</t>
  </si>
  <si>
    <t>Not reachable texted in whatsapp 08/05 / Not answering the call texted in whatsapp  09/05 / he called me back said will confirm by tmrw 09/05 /  Not answering the call texted in whatsapp 19/05 / he said not interested and disconnected the call 21/05</t>
  </si>
  <si>
    <t xml:space="preserve">aravind </t>
  </si>
  <si>
    <t>Not answering the call  05/05 / Not answering the call  06/05 /  Not answering the call  09/05 / Not answering the call texted in whatsapp  11/05 / Not answering the call texted in whatsapp  12/05 / Not answering the call texted in whatsapp  14/05</t>
  </si>
  <si>
    <t>vijayesh</t>
  </si>
  <si>
    <t>He said not interested and disconnected the call rude behaviour</t>
  </si>
  <si>
    <t xml:space="preserve">siva prasanth </t>
  </si>
  <si>
    <t>BE EEE 2026, WORKING CURRENTLY IN INFOSYS IN SOFTWARE DOMAIN HE GOT JOB RECENTLY SO DROPPING PLAN LOOKING FOR VLSI</t>
  </si>
  <si>
    <t>kaviarasan</t>
  </si>
  <si>
    <t>Not answering the call  05/05 / he said mistakenly enquired and disconnected the call 06/05</t>
  </si>
  <si>
    <t>naresh</t>
  </si>
  <si>
    <t>Pondy</t>
  </si>
  <si>
    <t>Switchedoff 05/05 / number switchedoff 09/05 / Not answering the call texted in whatsapp  12/05 / he said mistaknely enquired 14/05</t>
  </si>
  <si>
    <t>kumaran</t>
  </si>
  <si>
    <t xml:space="preserve">busy in another call 05/05 / BSC IT 2019, WORKING IN NON IT WITH 30K, COMPLETED ALREADY DATA ANALYTICS WITH POWER BI, LOOKING FOR DA WITH PLACEMENTS  </t>
  </si>
  <si>
    <t>disconnecting the call texted in whatsapp 08/05 / he said will confirm by tmrw 09/05 / not answering the call texted in whatsapp 19/05 / he said parents denied for paid course 21/05</t>
  </si>
  <si>
    <t xml:space="preserve">gowthami </t>
  </si>
  <si>
    <t xml:space="preserve">busy in another call 05/05 / Not answering the call  06/05 / BTECH BIO 2026, LOOKING FOR DA WITH PLACEMENTS NOT INTERESTED IN PAID COURSE </t>
  </si>
  <si>
    <t>vanmathi</t>
  </si>
  <si>
    <t>not reachable 05/05 / Not answering the call  06/05 / BCOM 2024, MCOM 2026, WORKING IN SHARE AMRKET DOMAIN WITH 14K, LOOKING FOR DA WITH PLACEMENTS 09/05</t>
  </si>
  <si>
    <t>Not answering the call texted in whatsapp  18/05 / she called me she said plan dropped as of now 18/05</t>
  </si>
  <si>
    <t>pavithra</t>
  </si>
  <si>
    <t>Nilgiris</t>
  </si>
  <si>
    <t>she said looking for only job not interested in course 05/05</t>
  </si>
  <si>
    <t>smitha shaji</t>
  </si>
  <si>
    <t xml:space="preserve">Thrissur </t>
  </si>
  <si>
    <t>she said mistakenly enquired 05/05</t>
  </si>
  <si>
    <t>Ragavendran</t>
  </si>
  <si>
    <t xml:space="preserve">BE MECH 2018, WAS WORKING IN TVS TYERS IN CHENNAI WITH 15K, LEFT JOB IN 2026 DUE TO SALARY ISSUE , LOOKING FOR DA WITH PLACEMENTS </t>
  </si>
  <si>
    <t>he said will confirm by tmrw he needs to discuss with parents 08/05 / not answering the call texted in whatsapp 19/05 / he said  fees issue so couldnt join 21/05</t>
  </si>
  <si>
    <t>mani</t>
  </si>
  <si>
    <t>Thiruvarur</t>
  </si>
  <si>
    <t>BCOM 2ND YR, LOOKING FOR SHAREMARKET COURSE BUT NOT AVAILABLE</t>
  </si>
  <si>
    <t>alagai prabhakar</t>
  </si>
  <si>
    <t>Not answering the call  05/05 / Not answering the call  06/05 / BE CSE 2024, WORKING IN FINANCE WITH 10K, LOOKING FOR DA WITH PLACEMENTS 09/05</t>
  </si>
  <si>
    <t>busy in another call texted in whatsapp 18/05 / he called me he said will confirm by tmrw 18/05 / Not answering the call texted in whatsapp 21/05</t>
  </si>
  <si>
    <t>harshitha</t>
  </si>
  <si>
    <t>Not answering the call  05/05 / Not answering the call  06/05 / disconnecting the call texted in whatsapp 09/05 / Not answering the call texted in whatsapp  11/05 / Not answering the call texted in whatsapp  12/05 / SHE REPLIED IN WHATSAPP THAT NOT INTERESTED 12/05</t>
  </si>
  <si>
    <t>Mohamed</t>
  </si>
  <si>
    <t>busy in another call 05/05 / she said looking for only job not interested in course 05/05</t>
  </si>
  <si>
    <t>mohana priya</t>
  </si>
  <si>
    <t>Not answering the call  06/05 / Not answering the call  09/05 / Not answering the call texted in whatsapp  11/05 / busy in another call texted in whatsapp 12/05 / Not answering the call texted in whatsapp  14/05</t>
  </si>
  <si>
    <t>vasanthan</t>
  </si>
  <si>
    <t xml:space="preserve">Not answering the call  06/05 / BCOM 2026, COMPLETED DA COURSE IN FEB 2026, LOOKING FOR DA WITH PLACEMENTS </t>
  </si>
  <si>
    <t>he said need to discuss with parents will confirm by 08/05 / he said fees high looking for 10k course 19/05</t>
  </si>
  <si>
    <t>subasri</t>
  </si>
  <si>
    <t xml:space="preserve">Not answering the call  06/05 / BSC IT 2025, WORKING IN TEXTILE AS TALLY MANAGEMENT WITH 12K, SHE COMPLETE ACCOUNTS INTERN AND WORKED IN ICICI BANK FOR 3MONTHS AS RM , LOOKING FOR DA WITH PLACEMENTS </t>
  </si>
  <si>
    <t>she said will confirm within 24hours 09/05 /  Not answering the call texted in whatsapp 19/05 / Not answering the call texted in whatsapp 21/05</t>
  </si>
  <si>
    <t>sadik</t>
  </si>
  <si>
    <t xml:space="preserve">UPSKILL : BCOM WORKING AS CHIEF ACCOUNTANT , LOOKING FOR AIML </t>
  </si>
  <si>
    <t xml:space="preserve">he said will take some time to confirm 09/05 / Not answering the call texted in whatsapp 19/05 </t>
  </si>
  <si>
    <t xml:space="preserve">BCOM 2019, MCOM 2024, DOING EVENT MANAGEMENT BUSINESS , LOOKING FOR DA WITH PLACEMENTS  </t>
  </si>
  <si>
    <t>Not answering the call texted in whatsapp for resume 09/05 / gone cold dropped 12/05</t>
  </si>
  <si>
    <t>rudra</t>
  </si>
  <si>
    <t>Sulur</t>
  </si>
  <si>
    <t>Not answering the call  06/05 / Not answering the call  09/05 / BCOM 2024, WORKING CURRENTLY IN LMW WITH 18K, LOOKING FOR DA WITH PLACEMENTS 11/05</t>
  </si>
  <si>
    <t>final reminder for cv done 18/05 / he shared resume 20/05, not answering the call texted in whatsapp 21/05 / he said plan dropped and disconnected the call 23/05</t>
  </si>
  <si>
    <t>maha jayaram</t>
  </si>
  <si>
    <t xml:space="preserve">Not answering the call  06/05 / no incoming call 09/05 / Not answering the call texted in whatsapp  11/05 / no incoming no response in whatsapp 12/05 / she called me said BCOM CA 2015, WAS DOING BUSINESS THEN JOINED JOB IN CHENNAI MEDICAL CODING SINCE 6MONTHS WITH 12K, LOOKING FOR DA WITH PLACEMENTS </t>
  </si>
  <si>
    <t>Not answering the call texted in whatsapp  18/05 / She called me she said will join within 1week 18/05 / she said plan dropped husband denied 21/05</t>
  </si>
  <si>
    <t>krish prasath</t>
  </si>
  <si>
    <t>Namakal</t>
  </si>
  <si>
    <t xml:space="preserve">Not answering the call  06/05 / BE MECH 2018, MBA FINANCE 2024, NOT WORKING CURRENTLY , WAS WORKING IN HR DOMAIN FOR 3YRS , LAST SALARY 25K, LOOKING FOR DA WITH PLACEMENTS , COMPLETED TALLY COURSE </t>
  </si>
  <si>
    <t>he said will confirm by 24hours 09/05 / Not answering the call texted in whatsapp 19/05 / gone cold dropped 21/05</t>
  </si>
  <si>
    <t xml:space="preserve">akshya </t>
  </si>
  <si>
    <t>Not answering the call  06/05 / she called me back said mistakenly enquired not interested in course 09/05</t>
  </si>
  <si>
    <t>jubilant vicky</t>
  </si>
  <si>
    <t>Thuraiyur</t>
  </si>
  <si>
    <t xml:space="preserve">DIP 2015, NOT WORKING, WAS WORKING IN DUBAI AS  MAINATANCE STAFF WITH 70K, LEFT JOB DUE TO FATHER ISSUE, LOOKING FOR DATA ANALYTICS WITH PLACEMENTS </t>
  </si>
  <si>
    <t>Not answering the call texted in whatsapp  09/05 / Not answering the call texted in whatsapp  18/05 / he said need one day time to check and update 21/05</t>
  </si>
  <si>
    <t xml:space="preserve">moni benny </t>
  </si>
  <si>
    <t xml:space="preserve">Not answering the call  07/05 / SHE IS LOOKING FOR HER BROTHER : BBA 2020, WORKING AS HR REC WITH 20K, LOOKING FOR DA WITH PLACEMENTS </t>
  </si>
  <si>
    <t>Not answering the call texted in whatsapp  09/05 / gone cold 18/05</t>
  </si>
  <si>
    <t xml:space="preserve">athi boobalan </t>
  </si>
  <si>
    <t xml:space="preserve">SOMEONE ATTENDED THE CALL SAID HE IS NOT AVAILABLE WILL CALL BACK / call busy 09/05 / SOMEONE ATTENED THE CALL SAID MISTAKNELY ENQUIRED </t>
  </si>
  <si>
    <t>ayup khan</t>
  </si>
  <si>
    <t>BSC 2021, WORKING IN ELECTRICAL COMPANY 17500, LOOKING FOR DA WITH PLACEMENTS</t>
  </si>
  <si>
    <t>he said will confrim by tmrw 09/05 / Not answering the call texted in whatsapp 19/05 / Not answering the call texted in whatsapp 21/05</t>
  </si>
  <si>
    <t>Not answering the call  07/05 / BSC 2013, WAS WORKING IN FINANCE DOMAIN WITH 29K LEFT JOB IN APRIL DUE TO CAREER UPGRADE, LOOKING FOR DA WITH PLACEMENTS  09/05</t>
  </si>
  <si>
    <t>she said will confirm by tmrw 18/05 / Not answering the call texted in whatsapp 21/05</t>
  </si>
  <si>
    <t>nowsath</t>
  </si>
  <si>
    <t>BSC PHY 2012, WORKING IN STORE KEEPER WITH 30K, LOOKING FOR DA WITH PLACEMENTS</t>
  </si>
  <si>
    <t>Not answering the call texted in whatsapp  09/05 / he said will confirm tmrw 18/05 / Not answering the call texted in whatsapp 21/05</t>
  </si>
  <si>
    <t>agustin</t>
  </si>
  <si>
    <t>Not answering the call  07/05 / Not answering the call  09/05 / HE SAID NOT INTESTED IN PAID COURSE AND DISCONNECTED THE CALL 11/05</t>
  </si>
  <si>
    <t>ishwarya</t>
  </si>
  <si>
    <t>Not answering the call  07/05 / BSC DA 2026, NOT WORKING , NO JOB OFFER, LOOKING FOR DA WITH PLACEMENTS 08/05</t>
  </si>
  <si>
    <t>Not answering the call texted in whatsapp  09/05 / she called me said will confirm by tmrw 09/05 / she said will confirm by 3 days 19/05 / Not answering the call texted in whatsapp 21/05/ she said plan dropped gonna do higher studies 21/05</t>
  </si>
  <si>
    <t>raji</t>
  </si>
  <si>
    <t>BCA 2019, MCA 2024, NOT WORKING , HAD 3YRS EXP IN TEACHING IN PRIMARY SCHOOL AND ONLINE TUTORING, LEFT JOB IN 2024 BCZ SHE GOT MARRIED , LOOKING FOR DA</t>
  </si>
  <si>
    <t>she said need to discuss with parents 09/05 / she said husband denied for paid course 19/05</t>
  </si>
  <si>
    <t>nandhini</t>
  </si>
  <si>
    <t>Not answering the call  08/05 / Busy in another call 09/05 / Not answering the call texted in whatsapp  11/05  / Not answering the call texted in whatsapp  12/05 / Not answering the call texted in whatsapp  14/05</t>
  </si>
  <si>
    <t>sreenithi</t>
  </si>
  <si>
    <t>Not answering the call  08/05 / Not answering the call texted in whatsapp  09/05 / Not answering the call texted in whatsapp  11/05 / Not answering the call texted in whatsapp  12/05 / she said in class and cannot speak and not interested in course 14/05</t>
  </si>
  <si>
    <t>shanthiya</t>
  </si>
  <si>
    <t>she said mistakenly enquired , digital agency 08/05</t>
  </si>
  <si>
    <t>vishva</t>
  </si>
  <si>
    <t>DIP MECH 2019, BA ENG 2026, WORKING IN RELIANCE TRENDS WITH 17K, LOOKING FOR DA &amp; MECH WITH PLACEMENTS</t>
  </si>
  <si>
    <t>Not answering the call texted in whatsapp  18/05 / he said will join within 2days 21/05</t>
  </si>
  <si>
    <t>shanmugapriya</t>
  </si>
  <si>
    <t xml:space="preserve">busy in another call 09/05 / BTECH IT 2007, HAD 7YRS EXP 2007-2012 IN WIPRO, HAD CAREER BREAK 9YRS, AGN 2023-2025 WAS WORKING IN CHENNAI BASED STARTUP WITH 550K, LEFT  JOB 2025 DUE TO RELOCATION , LOOKING FOR DA WITH PLACEMENTS </t>
  </si>
  <si>
    <t>she said will confirm by tmrw after discussing with husband 18/05 / she said husband okay will join tmrw 21/05 / she texted me in whatsapp that not interested as of now 28/05</t>
  </si>
  <si>
    <t>Nirmal</t>
  </si>
  <si>
    <t>Melmaruvathur</t>
  </si>
  <si>
    <t xml:space="preserve">BA ENG 2021, MBA 2025, NOT WORKING , HAD 1YR EXP IN FINANCE , LEFT JOB IN 2025 OCT WITH  16K, LOOKING DA WITH PLACEMENTS </t>
  </si>
  <si>
    <t>final reminder for cv 18/05 / he said will confirm by tmrw 21/05</t>
  </si>
  <si>
    <t>raja sekar</t>
  </si>
  <si>
    <t>idappadi</t>
  </si>
  <si>
    <t>BE EEE 2018, NOT WORKING , WAS WORKING IN TEXTILE FIELD WITH 21, LEFT JOB TO UPGRADE , LOOKING FOR DA WITH PLACEMENTS 8940113441</t>
  </si>
  <si>
    <t>he said will confirm by tmrw 18/05 / he said will join by next week 21/05</t>
  </si>
  <si>
    <t>nivi</t>
  </si>
  <si>
    <t>Not answering the call texted in whatsapp  11/05 / DIP 2017, WORKING IN ACCOUNTS WITH 12K , LOOKING FOR DA , DOING UIUX COURSE  6382826818 11/05</t>
  </si>
  <si>
    <t>Not answering the call texted in whatsapp  18/05 / she said not interested as of now 18/05</t>
  </si>
  <si>
    <t>Not answering the call texted in whatsapp  11/05 / Not answering the call texted in whatsapp  12/05 / Not answering the call texted in whatsapp  14/05</t>
  </si>
  <si>
    <t>saibarani</t>
  </si>
  <si>
    <t>Not answering the call texted in whatsapp  11/05 / SHE DISCONNECTED THE CALL NOT INTERESTED ITSEEMS 12/05</t>
  </si>
  <si>
    <t>aishwarya</t>
  </si>
  <si>
    <t>Gudiyatham</t>
  </si>
  <si>
    <t>Not answering the call texted in whatsapp  11/05 / Not reachable texted in whatsapp  12/05 / CALLED BY LAKSHMAN : SHE SAID NOT INTERESTED FOR PAID COURSE 12/05</t>
  </si>
  <si>
    <t>Sivaganga</t>
  </si>
  <si>
    <t>Not answering the call texted in whatsapp  11/05 / Not answering the call texted in whatsapp  12/05 / disconnecting the call texted in whatsapp  14/05</t>
  </si>
  <si>
    <t>prakash</t>
  </si>
  <si>
    <t>he said mistaknely enquired and disconnected the call 11/05</t>
  </si>
  <si>
    <t>guru</t>
  </si>
  <si>
    <t>BCOM CA 2026, NOT WORKING , LOOKING FOR DA WITH PLACMENTS 11/05</t>
  </si>
  <si>
    <t>Not answering the call texted in whatsapp  18/05  / Not answering the call texted in whatsapp  21/05  / Not answering the call texted in whatsapp 23/05</t>
  </si>
  <si>
    <t xml:space="preserve">SAKTHIVEL </t>
  </si>
  <si>
    <t xml:space="preserve">BSC ELCTRONICS 2025, NOT WORKING , LOOKING FOR DA WITH PLACEMENTS </t>
  </si>
  <si>
    <t>he said need to discuss with parents and confirm by 2 days 18/05 / Not answering the call texted in whatsapp  21/05  / Not answering the call texted in whatsapp  27/05</t>
  </si>
  <si>
    <t>subradha</t>
  </si>
  <si>
    <t>Disconnecting the call texted in whatsapp  11/05 / Not answering the call texted in whatsapp  12/05  / Not answering the call texted in whatsapp  13/05 / out of service 14/05</t>
  </si>
  <si>
    <t>BBA 2021, MBA 2023, WAS WORKING IN 2YRS IN MUTHOOT FINANCE IN 2023-2025 WITH 30K SALARY, LEFT JOB TO UPGRADE , LOOKING FOR  DA WITH PLACEMENTS, ALREADY DOING DA COURSE IN CHENNAI</t>
  </si>
  <si>
    <t>he said looking for only job not intereste in course 18/05</t>
  </si>
  <si>
    <t>manoharan</t>
  </si>
  <si>
    <t>Not answering the call 12/05 / Not answering the call texted in whatsapp  12/05 / Not answering the call texted in whatsapp  13/05 / Not answering the call texted in whatsapp  14/05</t>
  </si>
  <si>
    <t>jafar</t>
  </si>
  <si>
    <t>BSC CSE 2024, WORKING IN NON IT BPO 12K, LOOKING FOR DA WITH PLACEMENTS BUT COURSE COMPLETED DA</t>
  </si>
  <si>
    <t>he said will confirm by wednesday 18/05 / he said plan dropped as of now 21/05</t>
  </si>
  <si>
    <t>kalaiselvi suresh</t>
  </si>
  <si>
    <t>Call Busy</t>
  </si>
  <si>
    <t>SHE SAID SHE IS IN COLLEGE WILL CONNECT LATER AFTER 5PM / Not answering the call texted in whatsapp  13/05 / call busy 14/05</t>
  </si>
  <si>
    <t>ravikumar</t>
  </si>
  <si>
    <t>Velachery</t>
  </si>
  <si>
    <t>Not answering the call texted in whatsapp  12/05 / Not answering the call texted in whatsapp  12/05 / MSC 2013, WORKING CURRENTLY IN NON IT WITH 950K, LOOKING FOR DA WITH PLACEMENTS 13/05</t>
  </si>
  <si>
    <t>call busy texted in whatsapp 18/05 / he said need some time to confirm 18/05 / he said salary issue so dropping the plan 21/05</t>
  </si>
  <si>
    <t>bhavani</t>
  </si>
  <si>
    <t xml:space="preserve">BSC 2023,MSC 2026, NOT WORKING , LOOKING FOR DA WITH PLACEMENTS </t>
  </si>
  <si>
    <t>GONE COLD DROPPED 18/05</t>
  </si>
  <si>
    <t xml:space="preserve">Vanathi </t>
  </si>
  <si>
    <t>Not answering the call texted in whatsapp  12/05 / Not answering the call texted in whatsapp  13/05 / Not answering the call texted in whatsapp  14/05</t>
  </si>
  <si>
    <t>sowmya</t>
  </si>
  <si>
    <t xml:space="preserve"> MOTHER ENRQUIRED FOR HER DAUGHTER : BSC IT 2023, MCA FINAL YR, LOOKING FOR DA </t>
  </si>
  <si>
    <t>her mother said will connect after june if she is not gets job will do course 18/05</t>
  </si>
  <si>
    <t>parthipan</t>
  </si>
  <si>
    <t>Disconnecting the call texted in whatsapp 13/05 / busy in another  call texted in whatsapp  14/05</t>
  </si>
  <si>
    <t>gokul</t>
  </si>
  <si>
    <t>he said driving will call back after 30min / BE MECH 2017, WORKING IN LOGESTIC WITH 35K, LOOKING FOR DA WITH PLACEMENTS BUT HE COMPLETED COURSE BEFORE 2YEARS , HE IS PLANNINH TO QUIT JOB TO UPSKILL 14/05</t>
  </si>
  <si>
    <t>he said will confirm by tmrw 18/05 / he said as of now not interested 21/05</t>
  </si>
  <si>
    <t>she said 2months notice peirod so will confirm by tmrw 18/05 / she said not interested as of now 20/05</t>
  </si>
  <si>
    <t>Referral : BBA 2021, WORKING IN APEX AS VIDEO LABLING WITH 15K, LOOKING FOR DA WITH PLACEMENTS</t>
  </si>
  <si>
    <t>she said 2months notice peirod so will confirm by tmrw 18/05</t>
  </si>
  <si>
    <t>gowrishankar</t>
  </si>
  <si>
    <t>Not answering the call texted in whatsapp  13/05 / BTECH IT FINAL YR IN ADITYA COLLEGE, BDE OFFER HE IS HAVING OFFER, LOOKING FOR DA WITH PLACEMENTS 13/05</t>
  </si>
  <si>
    <t>he said he will confirm tmrw 18/05 / not answering the call texted in whatsapp 21/05</t>
  </si>
  <si>
    <t>Dindugal</t>
  </si>
  <si>
    <t xml:space="preserve">BSC 2021, MSC CHE 2023, NOT WORKING , HAD 1YR EXP WITH 15K, LEFT JOB IN 2024 SEP DUE TO SALARY ISSUE, WAS PREPARING FOR PC EXAMS,  LOOKING FOR DA WITH PLACEMENTS , </t>
  </si>
  <si>
    <t>Not answering the call texted in whatsapp  18/05 / he said plan dropped due to health issue 21/05</t>
  </si>
  <si>
    <t>surya</t>
  </si>
  <si>
    <t>BE MECH 2026, NOT WORKING , LOOKING FOR UIUX WITH PLACEMENTS</t>
  </si>
  <si>
    <t>he said will confirm by tmrw 18/05 / he said will confirm by next week 21/05</t>
  </si>
  <si>
    <t>srinivasan</t>
  </si>
  <si>
    <t xml:space="preserve">BCOM 2020, MBA 2022, WAS WORKING IN HDFC BANK WITH 26K, LEFT JOB IN 2024 DEC DUE TO FATHER HEALTH REASON, LOOKING FOR DA WITH PLACEMENTS </t>
  </si>
  <si>
    <t>he said will cofnirm by tmrw 18/05 / HE SAID PARENTS DENIED FOR PAID COURSE 19/05</t>
  </si>
  <si>
    <t>jai</t>
  </si>
  <si>
    <t xml:space="preserve">BE MECH 2018, HAD 5YRS EXP , WORKING AS DATA ANALYST WITH 350K IN GOVT PROJECT , LOOKING FOR DA WITH PLACEMENTS </t>
  </si>
  <si>
    <t>Not answering the call texted in whatsapp  18/05 / he said will join by 2days 21/05</t>
  </si>
  <si>
    <t>karthi gopinath</t>
  </si>
  <si>
    <t xml:space="preserve">BSC CSE 2026, NO JOB OFFER, NOTW WORKING , LOOKING FOR DA WITH PLACEMENTS </t>
  </si>
  <si>
    <t>Not answering the call texted in whatsapp  18/05 / he said will confirm by 18/05 / he said got job not interested as of now 21/05</t>
  </si>
  <si>
    <t>mohan</t>
  </si>
  <si>
    <t>Tirupathur</t>
  </si>
  <si>
    <t>he said mistakenly enquired and disconnected the call 14/05</t>
  </si>
  <si>
    <t>josephine</t>
  </si>
  <si>
    <t>Mysore</t>
  </si>
  <si>
    <t>BE ECE 2017, WAS WORKING IN LIGHT AND WONDER BANGALORE WITH 14LPA, LEFT JOB DUE TO METERNITY , 2YRS CAREER GAP, LOOKING FOR DA WITH PLACEMENTS , HAD DA EXPERIENCE FOR 4YRS</t>
  </si>
  <si>
    <t>she said will confirm by 2days 21/05 / she said not interested as of now 30/05</t>
  </si>
  <si>
    <t>karthik</t>
  </si>
  <si>
    <t>Kumaravayalur</t>
  </si>
  <si>
    <t xml:space="preserve">BCOM 2015, WAS WORKING IN NON IT FOR 5YRS AS DATA ENTRY OPERATOR WITH 20K, LEFT JOB 2019 TO WORK IN CINEMA, DUE TO COVID ISSUE HE LEFT CINEMA , HE WORKED FOR 2MOVIES, LOOKING FOR DA WITH PLACEMENTS </t>
  </si>
  <si>
    <t>final reminder for cv 18/05 / gone cold 21/05</t>
  </si>
  <si>
    <t>santhiya</t>
  </si>
  <si>
    <t>Chidambaram</t>
  </si>
  <si>
    <t>Not answering the call texted in whatsapp 14/05 / BSC 2016, MSC CSE 2018, WORKING IN NON IT AS SALES PERSON WITH 18K, LOOKING FOR DA WITH PLACEMENTS , COMPLETED DA ONE MONTHE COURSE 19/05</t>
  </si>
  <si>
    <t>Not answering the call texted in whatsapp 21/05 / Not answering the call texted in whatsapp 23/05 / she said will confim by 2days need to discuss with husband she will refer her friends 25/05</t>
  </si>
  <si>
    <t>kaviyarasan</t>
  </si>
  <si>
    <t>BTECH BIO 2019, WAS WORKING IN INVESTMENT BANKING WITH 625K LEFT JOB JAN 2026, LOOKING FOR DA WITH PLACEMENTS</t>
  </si>
  <si>
    <t>he said will cofnirm by tmrw or 2days 18/05 / he said will confirm by 2 days 21/05 / EMI rejected in bajaj paid 5k remaining installments 24/05</t>
  </si>
  <si>
    <t>gowsalya</t>
  </si>
  <si>
    <t xml:space="preserve">MSC CSE 2026, FRESHER, LOOKING FOR FSD OR DA WITH PLACEMENTS </t>
  </si>
  <si>
    <t>she said in bus will connect later within7pm 18/05 /  not answering the call texted in whatsapp 21/05 / she said parents denied for paid course but shared documents 23/05</t>
  </si>
  <si>
    <t>anandhakannan</t>
  </si>
  <si>
    <t>chengalpattu</t>
  </si>
  <si>
    <t>Not answering the call texted in whatsapp 18/05 / BCOM 2026, NOT WORKING , NO JOB OFFER, LOOKING FOR DA WITH PLACEMENTS</t>
  </si>
  <si>
    <t>Not answering the call texted in whatsapp 21/05 / Not answering the call texted in whatsapp 23/05</t>
  </si>
  <si>
    <t>santhakumar</t>
  </si>
  <si>
    <t xml:space="preserve">Not answering the call texted in whatsapp 18/05 / BE MECH 2020, WORKING AS DATA ENGINEER WITH 550K, GEN AI COURSE COMPLETED IN CRIO.DO, LOOKING FOR DA WITH PLACEMENTS </t>
  </si>
  <si>
    <t>he said will confirm by next month 21/05</t>
  </si>
  <si>
    <t xml:space="preserve">thiyagaran </t>
  </si>
  <si>
    <t xml:space="preserve">BE MECH 2014, ME 2017, WORKING IN SALES IN MOBILE SHOWROOM WITH 600K, LOOKING FOR DA WITH PLACEMENTS </t>
  </si>
  <si>
    <t>Not answering the call texted in whatsapp 27/05</t>
  </si>
  <si>
    <t>baskar</t>
  </si>
  <si>
    <t xml:space="preserve">BSC MATHS 2013, WORKING IN GARMENTS WITH 25, LOOKING FOR DA WITH PLACEMENTS </t>
  </si>
  <si>
    <t>he said need to check fees 1st then will decide 22/05</t>
  </si>
  <si>
    <t>Dhanasri</t>
  </si>
  <si>
    <t>Not answering the call texted in whatsapp 18/05 / BSC IT 2026, NOT WORKING , HAVE NON TECHNICAL JOB OFFER, 19/05</t>
  </si>
  <si>
    <t>Not answering the call texted in whatsapp  22/05 / she said confirm after checking price and needs to discuss with parents 22/02 / emi rejected so no soruce of money her father said not interested due to finnacial issue 27/05</t>
  </si>
  <si>
    <t>jabasingh inbamani</t>
  </si>
  <si>
    <t>Not answering the call texted in whatsapp 18/05 / he said driving will conenct later 19/05- dnp-20</t>
  </si>
  <si>
    <t>dharanya</t>
  </si>
  <si>
    <t>Tiruchangodu</t>
  </si>
  <si>
    <t>no incoming 18/05 / she said looking for only job 19/05</t>
  </si>
  <si>
    <t xml:space="preserve">Not answering the call texted in whatsapp 18/05 / BA 2020, BP.ED 2022, DOING DM FREELANCING , WAS PREPARING FOR GOVT EXAMS , LOOKING FOR FULLSTACK WITH PLACEMENTS </t>
  </si>
  <si>
    <t>he said very much interested but need to discuss with parents for fees 22/05</t>
  </si>
  <si>
    <t>alagu durai</t>
  </si>
  <si>
    <t>Not answering the call texted in whatsapp 19/05 / Disconnecting the call 19/05/20-05 dnp-dnp</t>
  </si>
  <si>
    <t>ramkumar</t>
  </si>
  <si>
    <t xml:space="preserve">Not answering the call texted in whatsapp 19/05 / DIP MECH 2022, WORKING CURRENTLY IN EMERALAD WITH 18500, LOOKING FOR DA WITH PLACEMENTS </t>
  </si>
  <si>
    <t>final reminder call for cv &amp; shared 21/05</t>
  </si>
  <si>
    <t>ranjith</t>
  </si>
  <si>
    <t xml:space="preserve">Not answering the call texted in whatsapp 19/05 / BE EEE 2018, WORKING CURRENTLY IN MARKETING WITH 21K, LOOKING FOR DA WITH PLACEMENTS </t>
  </si>
  <si>
    <t>Not answering the call texted in whatsapp  22/05 / he called me and asked me to share price 22/05 / he said will do process 25/05 / he said feesh high looking for 10k course 27/05</t>
  </si>
  <si>
    <t>yeswanth</t>
  </si>
  <si>
    <t>BSC CSE 2021, WAS WORKING AS SOFTWARE ENGINEER WITH 530K LEFT JOB IN MARCH DUE TO CAREER ISSUE, LOOKING FOR DA WITH PLACEMENTS</t>
  </si>
  <si>
    <t>he said will update by 3days 22/05</t>
  </si>
  <si>
    <t>alina</t>
  </si>
  <si>
    <t>Thirunelveli</t>
  </si>
  <si>
    <t>BE EEE 2026, NOT WORKING , COMPLETE DA INTERN, LOOKING FOR DA WITH PLACEMENTS,NOT THAT MUCH INTERESTED 20/05</t>
  </si>
  <si>
    <t>she said fees high not interested 21/05</t>
  </si>
  <si>
    <t>she said not interested in paid course 20/05</t>
  </si>
  <si>
    <t>kowsika</t>
  </si>
  <si>
    <t>Not answering the call texted in whatsapp 20/05 / she said mistakenly enquired 20/05</t>
  </si>
  <si>
    <t>solomon</t>
  </si>
  <si>
    <t>sivakasi</t>
  </si>
  <si>
    <t>Not answering the call texted in whatsapp 20/05-21/05 dnp</t>
  </si>
  <si>
    <t>shiva sandy</t>
  </si>
  <si>
    <t>Disconencting the call texted in whatsapp 20/05 / no response even in whatsapp 22/05</t>
  </si>
  <si>
    <t>darsh</t>
  </si>
  <si>
    <t>Not answering the call texted in whatsapp 20/05-dnp 21-05</t>
  </si>
  <si>
    <t>kavisri</t>
  </si>
  <si>
    <t>Oddanchathiram</t>
  </si>
  <si>
    <t>Not answering the call texted in whatsapp 20/05-dnp-21/05</t>
  </si>
  <si>
    <t>tamil</t>
  </si>
  <si>
    <t>BSC IT 2021, WORKING CURRENTLY IN SHOP WITH  25K, DOING DM COURSE, LOOKING FOR DA WITH PLACEMENTS 20/05</t>
  </si>
  <si>
    <t>gone cold dropped 21/05</t>
  </si>
  <si>
    <t>AZUL</t>
  </si>
  <si>
    <t>ragavi</t>
  </si>
  <si>
    <t xml:space="preserve">BCA 2026, FRESHER, LOOKING FOR DA WITH PLACEMENTS </t>
  </si>
  <si>
    <t>she said will join by tmrw 21/05</t>
  </si>
  <si>
    <t>Not answering the call texted in whatsapp 20/05 / Not answering the call texted in whatsapp 22/05 / gone cold dropped 23/05</t>
  </si>
  <si>
    <t>robinson</t>
  </si>
  <si>
    <t xml:space="preserve">BCA 2025, NOT WORKING , LOOKING FOR DA WITH PLACEMENTS </t>
  </si>
  <si>
    <t>he said will confirm by tmrw 22/05</t>
  </si>
  <si>
    <t>Gopika</t>
  </si>
  <si>
    <t>BSC CSE 2026, FRESHER, LOOKING FOR DA WITH PLACEMENTS 21/05</t>
  </si>
  <si>
    <t>Not answering the call texted in whatsapp 23/05 / she called me back said will updat eby 2 days 23/05/ SHE SAID WILL JOIN NEXT MONTH ONLY DUE TO TIME ISSUE 25/05 / she said parents denied 27/05</t>
  </si>
  <si>
    <t>jayaseelan</t>
  </si>
  <si>
    <t>Not answering the call texted in whatsapp 21/05 / HE SAID LOOKING FOR CHENNAI OFFLINE CENTRE 22/05</t>
  </si>
  <si>
    <t>angel</t>
  </si>
  <si>
    <t>Nilgris</t>
  </si>
  <si>
    <t xml:space="preserve">BSC BOT 2019, NOT WORKING , WAS WORKING IN GARMENTS AS HR WITH 20K LEFT JOB IN 2021 GOT MARRIED , LOOKING FOR DA WITH PLACEMENTS </t>
  </si>
  <si>
    <t>Busy in another call 23/05 /she said busy in travelling will connect later 23/05 / she said will join within 2days 23/05 / she said parents denied due to bajaj emi rejected no financial source 27/05</t>
  </si>
  <si>
    <t>Tanjavur</t>
  </si>
  <si>
    <t xml:space="preserve">BTECH MECH 2017, WORKING IN MARKETING WITH 32K, WAS WORKING IN CNC WITH 25K SALARY IN 2018, LOOKING FOR MECH COMBO </t>
  </si>
  <si>
    <t>Final reminder call for cv done no response in call &amp; whatsapp 22/05 / gone cold dropped 23/05</t>
  </si>
  <si>
    <t>arun</t>
  </si>
  <si>
    <t xml:space="preserve">Upskill : Not answering the call texted in whatsapp 21/05 / BE CSE FINAL YR, LOOKING FOR DA WITH PLACEMENTS </t>
  </si>
  <si>
    <t>venkatesh</t>
  </si>
  <si>
    <t xml:space="preserve">BE MECH 2020, PGDCA 2021, WAS WORKING AS DEVELOPER WITH 300K, LEFT JOB DUE TO COMPANY LOSS IN DEC 2025, LOOKING FOR DA WITH PLACEMENTS </t>
  </si>
  <si>
    <t>Not reachable texted in whatsapp 23/05</t>
  </si>
  <si>
    <t>nandhu</t>
  </si>
  <si>
    <t>Not answering the call texted in whatsapp 21/05 / Not answering the call texted in whatsapp 22/05 / BCOM FINAL YR, LOOKING FOR DA WITH PLACEMENTS NOT INTERESTED IN PAID COURSE 23/05</t>
  </si>
  <si>
    <t>Not answering the call texted in whatsapp 27/05 / he called me back he said need more time to discuss with parents 27/07</t>
  </si>
  <si>
    <t>abhinaya</t>
  </si>
  <si>
    <t>BSC CSE 2026, FRESHER LOOKING FOR DA WITH PLACEMENTS 21/05</t>
  </si>
  <si>
    <t>she said will confirm by tmrw need to send fees details 23/05 / she said not joining 25/05</t>
  </si>
  <si>
    <t>he said busy now will call later / MBA 2015 HAD 15YRS EXP WITH 1L SALARY MONTHLY, LOOKING FOR DA WITH PLACEMENTS 21/05</t>
  </si>
  <si>
    <t>Not answering the call texted in whatsapp 23/05</t>
  </si>
  <si>
    <t>chandu</t>
  </si>
  <si>
    <t xml:space="preserve">BTECH 2022, WORKING AS SQL DEVELOPER LOOKING FOR AWS WITH PLACEMENTS </t>
  </si>
  <si>
    <t>vickysuji</t>
  </si>
  <si>
    <t xml:space="preserve">Not answering the call texted in whatsapp 22/05 / Not answering the call texted in whatsapp 23/05 / Not answering the call texted in whatsapp 27/05 /Not answering the call texted in whatsapp 30/05 dropped </t>
  </si>
  <si>
    <t>he said mistakenly enquired 22/05</t>
  </si>
  <si>
    <t>busy in anothe rcall 22/05 / busy in another call 23/05 / she said enquired but dropped the plan 27/05</t>
  </si>
  <si>
    <t xml:space="preserve">kalai </t>
  </si>
  <si>
    <t xml:space="preserve">BE CSE 2026, NO JOB OFFER, LOOKING FOR DA WITH PLACEMENTS </t>
  </si>
  <si>
    <t>he said will confirm by 3days 27/05</t>
  </si>
  <si>
    <t>rajesh</t>
  </si>
  <si>
    <t>Not answering the call texted in whatsapp 22/05 / Not answering the call texted in whatsapp 23/05 / he said enquired but joine delsewhre for job 27/05</t>
  </si>
  <si>
    <t>abrar</t>
  </si>
  <si>
    <t>Not answering the call texted in whatsapp 22/05 / he said looking for intern 22/05</t>
  </si>
  <si>
    <t>pavulraj</t>
  </si>
  <si>
    <t>Kamuthi</t>
  </si>
  <si>
    <t>disconnecting the call texted in whatsapp 22/05 / Not answering the call texted in whatsapp 22/05 / Disconnecting the call texted in whatsapp 23/05 / Not answering the call texted in whatsapp 27/05 / gone cold dropped 30/05</t>
  </si>
  <si>
    <t>naseem</t>
  </si>
  <si>
    <t xml:space="preserve">BCOM 2023, MBA 2026, FRESHER, LOOKING FOR DA WITH PLACEMENTS </t>
  </si>
  <si>
    <t>he said plan dropped looking for only job 22/05</t>
  </si>
  <si>
    <t xml:space="preserve">BCA 2025, NOT WORKING , FRESHER, LOOKING FOR DA WITH PLACEMENTS </t>
  </si>
  <si>
    <t>jayaprakash</t>
  </si>
  <si>
    <t>Bhavani</t>
  </si>
  <si>
    <t>Not answering the call texted in whatsapp 22/05 / HE ENQUIRED FOR HIS SON BTECH 2026, NOT WORKING, LOOKING FOR DA WITH PLACEMENTS , GOWRI MANO : 8072854541</t>
  </si>
  <si>
    <t>his son said will join need to share fees details 29/05</t>
  </si>
  <si>
    <t>yasmin banu</t>
  </si>
  <si>
    <t>she said looking for only job  23/05</t>
  </si>
  <si>
    <t>manjuthangadurai</t>
  </si>
  <si>
    <t>Nagarkovil</t>
  </si>
  <si>
    <t>Not answering the call texted in whatsapp 23/05 / DIP 2011, BE CSE 2026, WORKING AS ADMIN WITH 18K, LOOKING FOR DA WITH PLACEMENTS 23/05</t>
  </si>
  <si>
    <t>No incoming texted in whatsapp 29/05 / she called me back said will join by 2days 29/05</t>
  </si>
  <si>
    <t>soudar</t>
  </si>
  <si>
    <t xml:space="preserve">DIP CSE 2016, WORKING CURRENTLY AIRTEL NETWORKING AS FIELD ENGINEER WITH 24K , LOOKING FOR CYBER SECURITY WITH PLACEMENTS </t>
  </si>
  <si>
    <t>Not answering the call texted in whatsapp 29/05</t>
  </si>
  <si>
    <t>Chandru</t>
  </si>
  <si>
    <t xml:space="preserve">BSC ECS 2025, WORKING AS ELECTRICAL MAINTANANCE ASSISTANCE WITH 20K, LOOKING FOR DA WITH PLACEMENTS </t>
  </si>
  <si>
    <t>he said will confirm by 2days  29/05</t>
  </si>
  <si>
    <t>eswari</t>
  </si>
  <si>
    <t>Not answering the call texted in whatsapp 23/05 / Not answering the call texted inw hatsapp 23/05 / Not answering the call texted inw hatsapp 27/05 / gone dropped 30/05</t>
  </si>
  <si>
    <t>Deepan</t>
  </si>
  <si>
    <t>Not answering the call texted in whatsapp 23/05 / BE EEE 2015, WORKING AS QUALITY ENGINEER IN WAREHOUSE IN 25K, LOOKING FOR DA WITH PLACEMENTS 23/05</t>
  </si>
  <si>
    <t>Not answering the call texted in whatsapp 29/05 / he said will confirm by tmrw 30/05</t>
  </si>
  <si>
    <t>esravel</t>
  </si>
  <si>
    <t>Not answering the call texted in whatsapp 23/05 / Not answering the call texted in whatsapp 23/05 / Not answering the call texted in whatsapp 27/05 / gone cold dropped 30/05</t>
  </si>
  <si>
    <t>Divya</t>
  </si>
  <si>
    <t xml:space="preserve">BCOM 2018, MCOM 2020, NOT WORKING, DOING PART TIME, HAD 2YRS EXP AS ACCOUNDANT FROM 2022-2024, LOOKING FOR DA WITH PLACEMENTS </t>
  </si>
  <si>
    <t>Dharmapuri</t>
  </si>
  <si>
    <t>busy in another call texted in whatsapp 23/05 / Not answering the call texted in whatsapp 23/05 / Not answering the call texted in whatsapp 27/05 / gone cold dropped 30/05</t>
  </si>
  <si>
    <t>manisha</t>
  </si>
  <si>
    <t>BCA 2025, FRESHER, LOOKING FOR DA WITH PLACEMENTS 25/05</t>
  </si>
  <si>
    <t>she said will confirm by 3days 29/05 / Not answering the call texted in whatsapp 01/06</t>
  </si>
  <si>
    <t>mohanapriya</t>
  </si>
  <si>
    <t>BCA 2024, MCA 2024, FRESHER, LOOKING FOR DA WITH PLACEMENTS 25/05</t>
  </si>
  <si>
    <t>she said need to discuss with parents 29/05</t>
  </si>
  <si>
    <t>Keerthana</t>
  </si>
  <si>
    <t xml:space="preserve">BCOM CS 2018, NOT WORKING ,  HAD 4YRS EXP AS ACCOUNTANT WITH 18K, LEFT JOB IN 2026 GOT MARRIED, LOOKING FOR DA WITH PLACEMENTS </t>
  </si>
  <si>
    <t>she said will join 2 days 29/05  / she said will process tdy shared emi details 01/06</t>
  </si>
  <si>
    <t>Prakash</t>
  </si>
  <si>
    <t>Guduvanchery</t>
  </si>
  <si>
    <t>DIP MECH 2005, WORKING IN MAINTANANCE DEPARTMENT AS DEPUTY MANAGER, LOOKING FOR SOLIDWORKS &amp; AUTOCAD FOR UPSKILLING  / he said fees high so dropped plan 27/05</t>
  </si>
  <si>
    <t>Goudham</t>
  </si>
  <si>
    <t>Pondicherry</t>
  </si>
  <si>
    <t xml:space="preserve">Disconnecting the call texted in whatsapp  25/05 / BSC 2022, MSC 2024, NOT WORKING, CAREER GAP, LOOKING FOR DA WITH PLACEMENTS </t>
  </si>
  <si>
    <t>gone  cold 29/05</t>
  </si>
  <si>
    <t>Harish</t>
  </si>
  <si>
    <t>HE SAID MISTAKENLY ENQUIRED 25/05</t>
  </si>
  <si>
    <t>Thirupathi</t>
  </si>
  <si>
    <t>BE ROBOTICS 2026, NOT WORKING , LOOKING FOR DA WITH PLACEMENTSPAID COURSE 25/05 NOT INTERESTED IN</t>
  </si>
  <si>
    <t>BSC MATHS 2025, NOT WORKING , WAS WORKING IN UNCLE FAMILY BUSINESS, LOOKING FOR DA WITH PLACEMENTS 25/05</t>
  </si>
  <si>
    <t>he said will join within 3days 29/05</t>
  </si>
  <si>
    <t>Ramesh</t>
  </si>
  <si>
    <t>busy in another call 25/05 / Disconnecting the call texted in whatsapp  27/05 / BSC IT 2020, WORKING IN CORPORATION OFFICE LOOKING FOR DA WITH PLACEMENST HE TEXTED IN WHATSAPP NOT IN CALL 28/05</t>
  </si>
  <si>
    <t>not interested itseems 29/05</t>
  </si>
  <si>
    <t>Sathya</t>
  </si>
  <si>
    <t xml:space="preserve">BCOM 2022, WAS WORKING IN CHENNAI MOBILES AS CUSTOMER CARE EXECUTIVE WITH 15K, LEFT JOB  IN FEB 2026 DUE TO SALARY ISSUE, LOOKING FOR DA WITH PLACEMENTS </t>
  </si>
  <si>
    <t>deepika</t>
  </si>
  <si>
    <t xml:space="preserve"> Not answering the call texted in whatsapp 27/05 / BBA 2016, MBA 2019, WORKING AS ADMIN WITH 33K, COMPLETED DA COURSE FITA ACADEMY , LOOKING FOR DA WITH PLACEMENTS 28/05</t>
  </si>
  <si>
    <t>she said will discuss with parents and confirm 29/05 / processed in bajaj 30k dp she will pay by next week 03/06</t>
  </si>
  <si>
    <t>kumaresan</t>
  </si>
  <si>
    <t>BE 2026, WORKING AS ASSEMBLE TOOLER WITH 20K, LOOKING FOR AUTOCAD WITH PLACEMENTS</t>
  </si>
  <si>
    <t>final reminder call for cv done he said will share 29/05 / gone cold dropped 30/05</t>
  </si>
  <si>
    <t>sabari</t>
  </si>
  <si>
    <t>Not answering the call texted in whatsapp 27/05 /  Disconnecting the call texted in whatsapp 28/05 / Disconnecting the call blocked no response in whatsapp also 30/05</t>
  </si>
  <si>
    <t>karthikeyan</t>
  </si>
  <si>
    <t>Kamudi</t>
  </si>
  <si>
    <t>Disconnecting the call texted in whatsapp  27/05 / Disconnecting the call texted in whatsapp  28/05 / gone cold dropped 30/05</t>
  </si>
  <si>
    <t>kavimani</t>
  </si>
  <si>
    <t>BE CSE 2023, WORKING IN MANUFACETURING SERVING NOTICE PERIOD WITH 25K, LOOKING FOR DA OR MECH WITH PLACEMENTS</t>
  </si>
  <si>
    <t>he said will confirm by 2days 29/05</t>
  </si>
  <si>
    <t>Madasamy</t>
  </si>
  <si>
    <t xml:space="preserve">BE ECE 2010, ME 2014, WORKING AS QUALITY ENGINEER WITH 35K, LOOKING FOR DA OR MECH WITH PLACEMENTS </t>
  </si>
  <si>
    <t>he said need to discuss with family 29/05</t>
  </si>
  <si>
    <t>sahana</t>
  </si>
  <si>
    <t>Disconnecting the call texted in whatsapp  27/05 / Not answering the call texted in whatsapp 28/05 / Not answering the call texted in whatsapp 30/05 / SHE REPLIED IN WHATSAPP NOT INTERESTED 30/05</t>
  </si>
  <si>
    <t>nalini</t>
  </si>
  <si>
    <t>Arakonam</t>
  </si>
  <si>
    <t>Not answering the call texted in whatsapp 27/05 / BSC CSE 2026, LKOOKING FOR DA WITH PLACEMENTS 30/05</t>
  </si>
  <si>
    <t>albina</t>
  </si>
  <si>
    <t>she said looking for internship 27/05</t>
  </si>
  <si>
    <t>pooja lakshmi</t>
  </si>
  <si>
    <t xml:space="preserve">BSC CSE 2021, HAD 4YRS EXP AS DEOCUMENTATION RELATED WITH 24K, LEFT JOB IN OCT 2025 DUE TO LONG TRAVEL JOURNEY , LOOKING FOR DA WITH PLACEMENTS </t>
  </si>
  <si>
    <t>she said need to dicuss with parents for fees 29/05</t>
  </si>
  <si>
    <t>regina</t>
  </si>
  <si>
    <t>Disconnecting the call texted in whatsapp  27/05 / BCOM 2025, NOT WORKING , HAD 6MONTHS EXP AS ADMIN WITH 17K, LOOKING FOR DA WITH PLACEMENTS 30/05</t>
  </si>
  <si>
    <t>vishalachi</t>
  </si>
  <si>
    <t xml:space="preserve">BCA FINAL YR, FRESHER, LOOKING FOR DA WITH PLACEMENTS </t>
  </si>
  <si>
    <t>Bumika</t>
  </si>
  <si>
    <t>Mayiladudurai</t>
  </si>
  <si>
    <t xml:space="preserve">BE CSE 2026, FRESHER, SHE KNOWS BASICS IN DA , LOOKING FOR DA WITH PLACEMENTS </t>
  </si>
  <si>
    <t>Padma</t>
  </si>
  <si>
    <t xml:space="preserve">BSC CYBER SECURITY 2023, MSC 2026, NOT WORKING FRESHER, LOOKING FOR DA WITH PLACEMENTS </t>
  </si>
  <si>
    <t>she said not interested as of now looking for only job 29/05</t>
  </si>
  <si>
    <t>abinisha</t>
  </si>
  <si>
    <t>BSC CSE 2024, MSC 2026, LOOKING FOR DA WITH PLACEMENTS NOT THAT MUCH INTERESTED 27/05</t>
  </si>
  <si>
    <t>she said parented denied for paid course 29/05</t>
  </si>
  <si>
    <t>muthu</t>
  </si>
  <si>
    <t>Not answering the call texted in whatsapp 27/05 / Disconnecting the call texted in whatsapp 30/05</t>
  </si>
  <si>
    <t>arjunraja</t>
  </si>
  <si>
    <t>Aruppukottai</t>
  </si>
  <si>
    <t xml:space="preserve">DIP CIVIL 2009, WORKING IN COSTRUCTIONS WITH 32K, LOOKING FOR CIVIL AUTOCAD WITH PLACEMENTS </t>
  </si>
  <si>
    <t>busy in another call 29/05</t>
  </si>
  <si>
    <t>priya</t>
  </si>
  <si>
    <t>BSC CSE WITH DA FRESHER, LOOKING FOR DA WITH PLACEMENTS 27/05</t>
  </si>
  <si>
    <t>she said will confirm by 2days 29/05</t>
  </si>
  <si>
    <t>harini</t>
  </si>
  <si>
    <t>BE ECE 2018, WORKING IN MEDICAL CODING WITH 30K, LOOKING FOR DA WITH PLACEMENTS 9095726941 28/05</t>
  </si>
  <si>
    <t>gubendiran</t>
  </si>
  <si>
    <t xml:space="preserve"> Not answering the call texted in whatsapp 28/05 / DIP 2021, BTECH ECE 2025, WORKING CURRENTLY IN PETROL BUNK WITH 20K, LOOKING FOR DA WITH PLACEMENTS 28/05</t>
  </si>
  <si>
    <t>shankar</t>
  </si>
  <si>
    <t>he said busy now will conenct later 28/05 / he is looking for offline in villupuram 30/05</t>
  </si>
  <si>
    <t>uwaraj</t>
  </si>
  <si>
    <t>Tiruchengode</t>
  </si>
  <si>
    <t>BTECH IT 2008, HAD 10YRS EXP IN BANKING &amp; INSURANCE AND 1.5YRS IN MANUAL TESTING , LAST SALARY WITH 40K, LEFT JOB 2024 DUE TO BUSINESS IDEA , LOOKING FOR TESTING WITH PLACEMENTS 28/05</t>
  </si>
  <si>
    <t>udayaraja</t>
  </si>
  <si>
    <t>Not reachable 28/05 / Not reachable 30/05</t>
  </si>
  <si>
    <t>Sivakumar</t>
  </si>
  <si>
    <t>BE CSE 2019, WORKING CURRENTLY IN BPO WITH 21K IN BGM CHENNAI, LOOKING FOR DA WITH PLACEMENTS 28/05</t>
  </si>
  <si>
    <t>santhiya sekar</t>
  </si>
  <si>
    <t>Muthupet</t>
  </si>
  <si>
    <t>she said mistakenly enquired looking for job 28/05</t>
  </si>
  <si>
    <t>madhaw</t>
  </si>
  <si>
    <t>busy in another call 29/05 / BSC 2023,  MSC 2025 LOOKING FOR DA WITH PLACEMENTS 29/05</t>
  </si>
  <si>
    <t>dinesh</t>
  </si>
  <si>
    <t>Not answering the call texted in whatsapp 29/05 / BE EEE 2012, WORKING PATTRERN ANALYST WITH 700K, LOOKING FOR DA WITH PLACEMENTS 30/05</t>
  </si>
  <si>
    <t>Srikanth</t>
  </si>
  <si>
    <t>Thiruvaru</t>
  </si>
  <si>
    <t>BA ECO 2024, NOT WORKING ,  WAS WORKING IN VASANTH &amp; CO FOR 6MONTHS WITH 15K, LOOKING FOR DA WITH PLACEMENTS 29/05</t>
  </si>
  <si>
    <t xml:space="preserve">sri </t>
  </si>
  <si>
    <t>Atur-Salem</t>
  </si>
  <si>
    <t>Not answering the call texted in whatsapp 29/05 / Not answering the call texted in whatsapp 30/05</t>
  </si>
  <si>
    <t>Sreesha</t>
  </si>
  <si>
    <t>Disconnecting the call texted in whatsapp  29/05 / Not answering the call texted in whatsapp 30/05</t>
  </si>
  <si>
    <t>Abishek</t>
  </si>
  <si>
    <t>not available 29/05 / Disconnecting the call texted in whatsapp 30/05</t>
  </si>
  <si>
    <t>Hari</t>
  </si>
  <si>
    <t>BTECH CSE 2024, NOT WORKING , COMPLETED DS INTERNSHIP &amp; COURSE , LOOKING FOR DA WITH PLACEMENTS 29/05</t>
  </si>
  <si>
    <t>Praveen</t>
  </si>
  <si>
    <t>he said looking for only job 29/05</t>
  </si>
  <si>
    <t>Mubina</t>
  </si>
  <si>
    <t>BSC CSE 2ND YR, LOOKING FOR DA FOR UPSKILLING</t>
  </si>
  <si>
    <t>Not answering the call texted in whatsapp 01/06</t>
  </si>
  <si>
    <t>jeni</t>
  </si>
  <si>
    <t>BSC 2024, MSC 2026, FRESHER, LOOKING FOR DA WITH PLACEMENTS 30/05 NOT THAT MUCH INTERESTED</t>
  </si>
  <si>
    <t>Not answering the call texted in whatsapp 30/05 / she called me said mistakenly enquired not looking for any course 30/05</t>
  </si>
  <si>
    <t>aarthi</t>
  </si>
  <si>
    <t>BSC 2010, MSC 2012, WAS WORKING AS DEVELOPER &amp; TESTING , LEFT JOB IN 2022 WITH PACKAGE WITH 14LPA ,LOOKING FOR TESTING UPSKILL AS WELL AS PLACEMENTS 30/05</t>
  </si>
  <si>
    <t>Palacode</t>
  </si>
  <si>
    <t>Not answering the call texted in whatsapp 30/05</t>
  </si>
  <si>
    <t>archana</t>
  </si>
  <si>
    <t>No incoming call texted in whatsapp 30/05 / BSC 2022, MSC 2024, WAS WORKING IN TELECALLING FIELD WITH 10K, LEFT JOB DUE TO CAREER ISSUE, LOOKING FOR DA WITH PLACEMENTS 30/05</t>
  </si>
  <si>
    <t>Not answering the call texted in whatsapp 30/05 / BBA FINNACIAL 2026, LOOKING FOR FREE COURSE 30/05</t>
  </si>
  <si>
    <t>Senthil</t>
  </si>
  <si>
    <t>Not answering the call texted in whatsapp 30/05 / DIP MECH 2009, WORKING IN STORE AS MANAGER WITH 70K, LOOKING FOR DA WITH PLACEMENTS 30/05</t>
  </si>
  <si>
    <t>BCOM 2026, FRESHER, NOT WORKING NO JOB OFFER, LOOKING FOR DA WITH PLACEMENTS 30/05</t>
  </si>
  <si>
    <t>selva</t>
  </si>
  <si>
    <t>Call Back Requested</t>
  </si>
  <si>
    <t>SHE SAID BUSY NOW WILL CONNECT AFTER 6PM 30/05</t>
  </si>
  <si>
    <t>kaviselvakumar</t>
  </si>
  <si>
    <t>BSC IT 2026, FRESHER,  SHE IS HAVING 2 JOB OFFER , LOOKING FOR DM WITH PLACEMENTS 30/05</t>
  </si>
  <si>
    <t>BE ECE 2016, WAS WORKING AS QUALITY ASSISTANCE WITH 7K AND 2022-2025 IN IT WITH 22K, LEFT JOB APRIL 2025 DUE TO FATHER HEALTH ISSUES, LOOKING FOR CLOUD OR DA WITH PLACEMENTS 30/05</t>
  </si>
  <si>
    <t>madhu</t>
  </si>
  <si>
    <t>Jaikumar</t>
  </si>
  <si>
    <t>Dharumapuri</t>
  </si>
  <si>
    <t>BCA 2012, MCA 2017, WORKING IN INSTITUTE AS TRAINER WITH 25K, LOOKING FOR DA WITH PLACEMENTS 01/06</t>
  </si>
  <si>
    <t>lokesh</t>
  </si>
  <si>
    <t>BCA 2024, NOT WORKING , CAREER GAP , LOOKING FOR DA WITH PLACEMENTS 01/06</t>
  </si>
  <si>
    <t>bhuvaneshwari</t>
  </si>
  <si>
    <t>BSC 2010, MSC 2012, WAS WORKING IN WEB DEVELOPMENT WITH 40K, LEFT JOB IN 2022 LOOKING FOR DA or WEB DEV WITH PLACEMENTS 01/06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</si>
</sst>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/dd/yyyy"/>
    <numFmt numFmtId="165" formatCode="mmm yyyy"/>
    <numFmt numFmtId="166" formatCode="mmmm yyyy"/>
    <numFmt numFmtId="167" formatCode="M/d/yyyy"/>
    <numFmt numFmtId="168" formatCode="m/d/yyyy"/>
    <numFmt numFmtId="169" formatCode="m/d/yyyy h:mm:ss"/>
    <numFmt numFmtId="170" formatCode="d-mmm-yyyy"/>
    <numFmt numFmtId="171" formatCode="dddd, d mmmm yyyy h:mm"/>
    <numFmt numFmtId="172" formatCode="dddd, d mmmm yyyy"/>
    <numFmt numFmtId="173" formatCode="dddd, d mmmm"/>
  </numFmts>
  <fonts count="30">
    <font>
      <sz val="10.0"/>
      <color rgb="FF000000"/>
      <name val="Arial"/>
      <scheme val="minor"/>
    </font>
    <font>
      <b/>
      <sz val="9.0"/>
      <color rgb="FF000000"/>
      <name val="Comic Sans MS"/>
    </font>
    <font>
      <b/>
      <sz val="9.0"/>
      <color theme="1"/>
      <name val="Comic Sans MS"/>
    </font>
    <font>
      <sz val="9.0"/>
      <color theme="1"/>
      <name val="Comic Sans MS"/>
    </font>
    <font>
      <sz val="9.0"/>
      <color rgb="FF1C2B33"/>
      <name val="Comic Sans MS"/>
    </font>
    <font>
      <sz val="9.0"/>
      <color rgb="FF000000"/>
      <name val="Comic Sans MS"/>
    </font>
    <font>
      <color theme="1"/>
      <name val="Arial"/>
    </font>
    <font>
      <color theme="1"/>
      <name val="Arial"/>
      <scheme val="minor"/>
    </font>
    <font>
      <color theme="1"/>
      <name val="Comic Sans MS"/>
    </font>
    <font>
      <b/>
      <color theme="1"/>
      <name val="Arial"/>
      <scheme val="minor"/>
    </font>
    <font>
      <sz val="9.0"/>
      <color rgb="FFCC4125"/>
      <name val="Comic Sans MS"/>
    </font>
    <font>
      <sz val="9.0"/>
      <color rgb="FF93C47D"/>
      <name val="Comic Sans MS"/>
    </font>
    <font>
      <sz val="10.0"/>
      <color rgb="FF3C4043"/>
      <name val="Comic Sans MS"/>
    </font>
    <font>
      <sz val="9.0"/>
      <color rgb="FF999999"/>
      <name val="Comic Sans MS"/>
    </font>
    <font>
      <u/>
      <sz val="9.0"/>
      <color rgb="FF0000FF"/>
      <name val="Comic Sans MS"/>
    </font>
    <font>
      <sz val="9.0"/>
      <color rgb="FF6AA84F"/>
      <name val="Comic Sans MS"/>
    </font>
    <font>
      <sz val="9.0"/>
      <color rgb="FF38761D"/>
      <name val="Comic Sans MS"/>
    </font>
    <font>
      <sz val="9.0"/>
      <color rgb="FFFF0000"/>
      <name val="Comic Sans MS"/>
    </font>
    <font>
      <sz val="9.0"/>
      <color rgb="FFE06666"/>
      <name val="Comic Sans MS"/>
    </font>
    <font>
      <sz val="9.0"/>
      <color rgb="FFFFF2CC"/>
      <name val="Comic Sans MS"/>
    </font>
    <font>
      <sz val="9.0"/>
      <color rgb="FF274E13"/>
      <name val="Comic Sans MS"/>
    </font>
    <font>
      <sz val="11.0"/>
      <color theme="1"/>
      <name val="Calibri"/>
    </font>
    <font>
      <sz val="9.0"/>
      <color theme="1"/>
      <name val="Arial"/>
      <scheme val="minor"/>
    </font>
    <font>
      <strike/>
      <sz val="9.0"/>
      <color rgb="FF38761D"/>
      <name val="Comic Sans MS"/>
    </font>
    <font>
      <sz val="9.0"/>
      <color rgb="FF434343"/>
      <name val="Comic Sans MS"/>
    </font>
    <font>
      <strike/>
      <sz val="9.0"/>
      <color rgb="FFCC4125"/>
      <name val="Comic Sans MS"/>
    </font>
    <font>
      <sz val="9.0"/>
      <color theme="1"/>
      <name val="Google Sans Mono"/>
    </font>
    <font>
      <sz val="9.0"/>
      <color rgb="FF393939"/>
      <name val="Comic Sans MS"/>
    </font>
    <font>
      <sz val="9.0"/>
      <color rgb="FFB6D7A8"/>
      <name val="Comic Sans MS"/>
    </font>
    <font>
      <strike/>
      <sz val="9.0"/>
      <color rgb="FF6AA84F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DD7E6B"/>
        <bgColor rgb="FFDD7E6B"/>
      </patternFill>
    </fill>
    <fill>
      <patternFill patternType="solid">
        <fgColor rgb="FF9900FF"/>
        <bgColor rgb="FF9900F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left" readingOrder="0" vertical="bottom"/>
    </xf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4" fontId="3" numFmtId="0" xfId="0" applyAlignment="1" applyFill="1" applyFont="1">
      <alignment horizontal="center"/>
    </xf>
    <xf borderId="0" fillId="2" fontId="2" numFmtId="165" xfId="0" applyAlignment="1" applyFont="1" applyNumberFormat="1">
      <alignment horizontal="center" readingOrder="0" vertical="bottom"/>
    </xf>
    <xf borderId="0" fillId="2" fontId="2" numFmtId="0" xfId="0" applyAlignment="1" applyFont="1">
      <alignment horizontal="center"/>
    </xf>
    <xf borderId="0" fillId="2" fontId="2" numFmtId="164" xfId="0" applyAlignment="1" applyFont="1" applyNumberFormat="1">
      <alignment horizontal="center" readingOrder="0"/>
    </xf>
    <xf borderId="0" fillId="2" fontId="2" numFmtId="4" xfId="0" applyAlignment="1" applyFont="1" applyNumberFormat="1">
      <alignment horizontal="center"/>
    </xf>
    <xf borderId="0" fillId="2" fontId="2" numFmtId="0" xfId="0" applyAlignment="1" applyFont="1">
      <alignment horizontal="left"/>
    </xf>
    <xf borderId="0" fillId="2" fontId="2" numFmtId="4" xfId="0" applyAlignment="1" applyFont="1" applyNumberFormat="1">
      <alignment horizontal="center" readingOrder="0"/>
    </xf>
    <xf borderId="0" fillId="2" fontId="2" numFmtId="0" xfId="0" applyFont="1"/>
    <xf borderId="0" fillId="0" fontId="2" numFmtId="0" xfId="0" applyFont="1"/>
    <xf borderId="0" fillId="0" fontId="3" numFmtId="164" xfId="0" applyAlignment="1" applyFont="1" applyNumberFormat="1">
      <alignment readingOrder="0"/>
    </xf>
    <xf borderId="0" fillId="2" fontId="3" numFmtId="0" xfId="0" applyAlignment="1" applyFont="1">
      <alignment horizontal="center"/>
    </xf>
    <xf borderId="0" fillId="0" fontId="3" numFmtId="4" xfId="0" applyAlignment="1" applyFont="1" applyNumberFormat="1">
      <alignment horizontal="center"/>
    </xf>
    <xf borderId="0" fillId="0" fontId="3" numFmtId="4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 shrinkToFit="0" wrapText="0"/>
    </xf>
    <xf borderId="0" fillId="3" fontId="4" numFmtId="0" xfId="0" applyAlignment="1" applyFont="1">
      <alignment horizontal="left" readingOrder="0"/>
    </xf>
    <xf borderId="0" fillId="2" fontId="3" numFmtId="4" xfId="0" applyAlignment="1" applyFont="1" applyNumberFormat="1">
      <alignment horizontal="center"/>
    </xf>
    <xf borderId="0" fillId="0" fontId="3" numFmtId="0" xfId="0" applyAlignment="1" applyFont="1">
      <alignment horizontal="center" readingOrder="0" vertical="bottom"/>
    </xf>
    <xf borderId="1" fillId="2" fontId="2" numFmtId="0" xfId="0" applyAlignment="1" applyBorder="1" applyFont="1">
      <alignment horizontal="center" readingOrder="0"/>
    </xf>
    <xf borderId="0" fillId="5" fontId="3" numFmtId="0" xfId="0" applyAlignment="1" applyFill="1" applyFont="1">
      <alignment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/>
    </xf>
    <xf borderId="1" fillId="6" fontId="3" numFmtId="0" xfId="0" applyAlignment="1" applyBorder="1" applyFill="1" applyFont="1">
      <alignment readingOrder="0"/>
    </xf>
    <xf borderId="1" fillId="4" fontId="3" numFmtId="0" xfId="0" applyAlignment="1" applyBorder="1" applyFont="1">
      <alignment readingOrder="0"/>
    </xf>
    <xf borderId="0" fillId="7" fontId="3" numFmtId="4" xfId="0" applyAlignment="1" applyFill="1" applyFont="1" applyNumberFormat="1">
      <alignment horizontal="center"/>
    </xf>
    <xf borderId="0" fillId="0" fontId="7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8" fontId="3" numFmtId="0" xfId="0" applyAlignment="1" applyFill="1" applyFont="1">
      <alignment readingOrder="0" vertical="bottom"/>
    </xf>
    <xf borderId="0" fillId="4" fontId="3" numFmtId="0" xfId="0" applyAlignment="1" applyFont="1">
      <alignment readingOrder="0" vertical="bottom"/>
    </xf>
    <xf borderId="0" fillId="0" fontId="6" numFmtId="164" xfId="0" applyAlignment="1" applyFont="1" applyNumberFormat="1">
      <alignment vertical="bottom"/>
    </xf>
    <xf borderId="0" fillId="2" fontId="2" numFmtId="166" xfId="0" applyAlignment="1" applyFont="1" applyNumberFormat="1">
      <alignment horizontal="center" readingOrder="0" vertical="bottom"/>
    </xf>
    <xf borderId="0" fillId="2" fontId="3" numFmtId="0" xfId="0" applyFont="1"/>
    <xf borderId="0" fillId="2" fontId="9" numFmtId="0" xfId="0" applyAlignment="1" applyFont="1">
      <alignment horizontal="center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vertical="bottom"/>
    </xf>
    <xf borderId="0" fillId="0" fontId="10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center" readingOrder="0"/>
    </xf>
    <xf borderId="0" fillId="0" fontId="3" numFmtId="0" xfId="0" applyAlignment="1" applyFont="1">
      <alignment shrinkToFit="0" vertical="bottom" wrapText="0"/>
    </xf>
    <xf borderId="0" fillId="0" fontId="3" numFmtId="167" xfId="0" applyAlignment="1" applyFont="1" applyNumberFormat="1">
      <alignment horizontal="center" vertical="bottom"/>
    </xf>
    <xf borderId="0" fillId="3" fontId="12" numFmtId="0" xfId="0" applyAlignment="1" applyFont="1">
      <alignment horizontal="left" readingOrder="0"/>
    </xf>
    <xf borderId="0" fillId="9" fontId="3" numFmtId="0" xfId="0" applyAlignment="1" applyFill="1" applyFont="1">
      <alignment vertical="bottom"/>
    </xf>
    <xf borderId="0" fillId="0" fontId="13" numFmtId="0" xfId="0" applyAlignment="1" applyFont="1">
      <alignment horizontal="center" readingOrder="0" vertical="bottom"/>
    </xf>
    <xf borderId="0" fillId="10" fontId="3" numFmtId="0" xfId="0" applyAlignment="1" applyFill="1" applyFont="1">
      <alignment vertical="bottom"/>
    </xf>
    <xf borderId="0" fillId="10" fontId="3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4" fontId="3" numFmtId="0" xfId="0" applyAlignment="1" applyFont="1">
      <alignment vertical="bottom"/>
    </xf>
    <xf borderId="0" fillId="0" fontId="15" numFmtId="0" xfId="0" applyAlignment="1" applyFont="1">
      <alignment horizontal="center" readingOrder="0"/>
    </xf>
    <xf borderId="0" fillId="9" fontId="3" numFmtId="0" xfId="0" applyFont="1"/>
    <xf borderId="0" fillId="10" fontId="3" numFmtId="0" xfId="0" applyFont="1"/>
    <xf borderId="0" fillId="10" fontId="11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9" fontId="3" numFmtId="0" xfId="0" applyAlignment="1" applyFont="1">
      <alignment readingOrder="0"/>
    </xf>
    <xf borderId="0" fillId="4" fontId="3" numFmtId="0" xfId="0" applyFont="1"/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9" fontId="5" numFmtId="0" xfId="0" applyFont="1"/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3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11" fontId="5" numFmtId="0" xfId="0" applyAlignment="1" applyFill="1" applyFont="1">
      <alignment horizontal="right" shrinkToFit="0" vertical="bottom" wrapText="0"/>
    </xf>
    <xf borderId="0" fillId="0" fontId="19" numFmtId="0" xfId="0" applyFont="1"/>
    <xf borderId="0" fillId="2" fontId="1" numFmtId="0" xfId="0" applyAlignment="1" applyFont="1">
      <alignment horizontal="left" vertical="bottom"/>
    </xf>
    <xf borderId="0" fillId="2" fontId="3" numFmtId="0" xfId="0" applyAlignment="1" applyFont="1">
      <alignment horizontal="center" readingOrder="0"/>
    </xf>
    <xf borderId="0" fillId="0" fontId="3" numFmtId="0" xfId="0" applyAlignment="1" applyFont="1">
      <alignment horizontal="left" vertical="bottom"/>
    </xf>
    <xf borderId="0" fillId="10" fontId="3" numFmtId="167" xfId="0" applyAlignment="1" applyFont="1" applyNumberFormat="1">
      <alignment horizontal="center" readingOrder="0" vertical="bottom"/>
    </xf>
    <xf borderId="0" fillId="10" fontId="3" numFmtId="168" xfId="0" applyAlignment="1" applyFont="1" applyNumberFormat="1">
      <alignment horizontal="center" readingOrder="0" vertical="bottom"/>
    </xf>
    <xf borderId="0" fillId="0" fontId="3" numFmtId="0" xfId="0" applyAlignment="1" applyFont="1">
      <alignment horizontal="left"/>
    </xf>
    <xf borderId="0" fillId="10" fontId="10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left" vertical="bottom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11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3" fontId="22" numFmtId="0" xfId="0" applyAlignment="1" applyFont="1">
      <alignment horizontal="left" readingOrder="0" shrinkToFit="0" wrapText="0"/>
    </xf>
    <xf borderId="0" fillId="3" fontId="3" numFmtId="0" xfId="0" applyAlignment="1" applyFont="1">
      <alignment readingOrder="0" shrinkToFit="0" wrapText="0"/>
    </xf>
    <xf borderId="0" fillId="3" fontId="11" numFmtId="0" xfId="0" applyAlignment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wrapText="0"/>
    </xf>
    <xf borderId="0" fillId="0" fontId="7" numFmtId="0" xfId="0" applyAlignment="1" applyFont="1">
      <alignment horizontal="left" readingOrder="0"/>
    </xf>
    <xf borderId="0" fillId="0" fontId="7" numFmtId="169" xfId="0" applyAlignment="1" applyFont="1" applyNumberFormat="1">
      <alignment horizontal="left" readingOrder="0"/>
    </xf>
    <xf borderId="0" fillId="10" fontId="3" numFmtId="167" xfId="0" applyAlignment="1" applyFont="1" applyNumberFormat="1">
      <alignment horizontal="left" readingOrder="0" vertical="bottom"/>
    </xf>
    <xf borderId="0" fillId="0" fontId="23" numFmtId="0" xfId="0" applyAlignment="1" applyFont="1">
      <alignment horizontal="center" readingOrder="0"/>
    </xf>
    <xf borderId="0" fillId="10" fontId="3" numFmtId="0" xfId="0" applyAlignment="1" applyFont="1">
      <alignment horizontal="center" readingOrder="0" vertical="bottom"/>
    </xf>
    <xf borderId="0" fillId="10" fontId="5" numFmtId="0" xfId="0" applyAlignment="1" applyFont="1">
      <alignment horizontal="left" readingOrder="0" shrinkToFit="0" vertical="bottom" wrapText="0"/>
    </xf>
    <xf borderId="0" fillId="10" fontId="5" numFmtId="0" xfId="0" applyAlignment="1" applyFont="1">
      <alignment horizontal="center" readingOrder="0" shrinkToFit="0" vertical="bottom" wrapText="0"/>
    </xf>
    <xf borderId="0" fillId="10" fontId="5" numFmtId="0" xfId="0" applyAlignment="1" applyFont="1">
      <alignment readingOrder="0" shrinkToFit="0" vertical="bottom" wrapText="0"/>
    </xf>
    <xf borderId="0" fillId="10" fontId="3" numFmtId="0" xfId="0" applyAlignment="1" applyFont="1">
      <alignment horizontal="left" readingOrder="0"/>
    </xf>
    <xf borderId="0" fillId="10" fontId="3" numFmtId="0" xfId="0" applyAlignment="1" applyFont="1">
      <alignment readingOrder="0"/>
    </xf>
    <xf borderId="0" fillId="10" fontId="3" numFmtId="0" xfId="0" applyAlignment="1" applyFont="1">
      <alignment horizontal="center" readingOrder="0"/>
    </xf>
    <xf borderId="0" fillId="10" fontId="15" numFmtId="0" xfId="0" applyAlignment="1" applyFont="1">
      <alignment horizontal="center" readingOrder="0"/>
    </xf>
    <xf borderId="0" fillId="10" fontId="3" numFmtId="0" xfId="0" applyAlignment="1" applyFont="1">
      <alignment readingOrder="0" shrinkToFit="0" vertical="bottom" wrapText="0"/>
    </xf>
    <xf borderId="0" fillId="10" fontId="5" numFmtId="0" xfId="0" applyAlignment="1" applyFont="1">
      <alignment readingOrder="0" shrinkToFit="0" wrapText="0"/>
    </xf>
    <xf borderId="0" fillId="10" fontId="5" numFmtId="0" xfId="0" applyAlignment="1" applyFont="1">
      <alignment horizontal="center" readingOrder="0" shrinkToFit="0" wrapText="0"/>
    </xf>
    <xf borderId="0" fillId="10" fontId="5" numFmtId="169" xfId="0" applyAlignment="1" applyFont="1" applyNumberFormat="1">
      <alignment horizontal="left" shrinkToFit="0" wrapText="0"/>
    </xf>
    <xf borderId="0" fillId="10" fontId="3" numFmtId="0" xfId="0" applyAlignment="1" applyFont="1">
      <alignment shrinkToFit="0" vertical="bottom" wrapText="0"/>
    </xf>
    <xf borderId="0" fillId="10" fontId="16" numFmtId="0" xfId="0" applyAlignment="1" applyFont="1">
      <alignment horizontal="center" readingOrder="0"/>
    </xf>
    <xf borderId="0" fillId="10" fontId="5" numFmtId="0" xfId="0" applyAlignment="1" applyFont="1">
      <alignment horizontal="center" shrinkToFit="0" wrapText="0"/>
    </xf>
    <xf borderId="0" fillId="10" fontId="4" numFmtId="0" xfId="0" applyAlignment="1" applyFont="1">
      <alignment readingOrder="0"/>
    </xf>
    <xf borderId="0" fillId="10" fontId="5" numFmtId="0" xfId="0" applyAlignment="1" applyFont="1">
      <alignment horizontal="left" readingOrder="0" shrinkToFit="0" wrapText="0"/>
    </xf>
    <xf borderId="0" fillId="10" fontId="4" numFmtId="0" xfId="0" applyAlignment="1" applyFont="1">
      <alignment horizontal="left" readingOrder="0"/>
    </xf>
    <xf borderId="0" fillId="10" fontId="4" numFmtId="0" xfId="0" applyAlignment="1" applyFont="1">
      <alignment horizontal="center" readingOrder="0"/>
    </xf>
    <xf borderId="0" fillId="10" fontId="24" numFmtId="0" xfId="0" applyAlignment="1" applyFont="1">
      <alignment shrinkToFit="0" wrapText="0"/>
    </xf>
    <xf borderId="0" fillId="10" fontId="24" numFmtId="0" xfId="0" applyAlignment="1" applyFont="1">
      <alignment horizontal="center" shrinkToFit="0" wrapText="0"/>
    </xf>
    <xf borderId="0" fillId="10" fontId="3" numFmtId="0" xfId="0" applyAlignment="1" applyFont="1">
      <alignment readingOrder="0" shrinkToFit="0" wrapText="0"/>
    </xf>
    <xf borderId="0" fillId="10" fontId="3" numFmtId="169" xfId="0" applyAlignment="1" applyFont="1" applyNumberFormat="1">
      <alignment horizontal="left" readingOrder="0" shrinkToFit="0" wrapText="0"/>
    </xf>
    <xf borderId="0" fillId="10" fontId="25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10" fontId="24" numFmtId="0" xfId="0" applyAlignment="1" applyFont="1">
      <alignment horizontal="center" shrinkToFit="0" wrapText="0"/>
    </xf>
    <xf borderId="0" fillId="10" fontId="24" numFmtId="169" xfId="0" applyAlignment="1" applyFont="1" applyNumberFormat="1">
      <alignment horizontal="left" shrinkToFit="0" wrapText="0"/>
    </xf>
    <xf borderId="0" fillId="3" fontId="24" numFmtId="0" xfId="0" applyAlignment="1" applyFont="1">
      <alignment shrinkToFit="0" wrapText="0"/>
    </xf>
    <xf borderId="0" fillId="3" fontId="24" numFmtId="0" xfId="0" applyAlignment="1" applyFont="1">
      <alignment readingOrder="0" shrinkToFit="0" wrapText="0"/>
    </xf>
    <xf borderId="0" fillId="4" fontId="24" numFmtId="0" xfId="0" applyAlignment="1" applyFont="1">
      <alignment shrinkToFit="0" wrapText="0"/>
    </xf>
    <xf borderId="0" fillId="4" fontId="24" numFmtId="0" xfId="0" applyAlignment="1" applyFont="1">
      <alignment readingOrder="0" shrinkToFit="0" wrapText="0"/>
    </xf>
    <xf borderId="0" fillId="10" fontId="3" numFmtId="0" xfId="0" applyAlignment="1" applyFont="1">
      <alignment horizontal="left"/>
    </xf>
    <xf borderId="0" fillId="2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horizontal="left" readingOrder="0" vertical="top"/>
    </xf>
    <xf borderId="0" fillId="0" fontId="25" numFmtId="0" xfId="0" applyAlignment="1" applyFont="1">
      <alignment horizontal="center" readingOrder="0"/>
    </xf>
    <xf borderId="0" fillId="10" fontId="3" numFmtId="168" xfId="0" applyAlignment="1" applyFont="1" applyNumberFormat="1">
      <alignment horizontal="left" readingOrder="0" vertical="bottom"/>
    </xf>
    <xf borderId="0" fillId="0" fontId="7" numFmtId="0" xfId="0" applyAlignment="1" applyFont="1">
      <alignment readingOrder="0"/>
    </xf>
    <xf borderId="0" fillId="10" fontId="26" numFmtId="168" xfId="0" applyAlignment="1" applyFont="1" applyNumberFormat="1">
      <alignment horizontal="left" readingOrder="0" vertical="bottom"/>
    </xf>
    <xf borderId="0" fillId="3" fontId="27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28" numFmtId="0" xfId="0" applyAlignment="1" applyFont="1">
      <alignment horizontal="center" readingOrder="0"/>
    </xf>
    <xf borderId="0" fillId="0" fontId="5" numFmtId="170" xfId="0" applyAlignment="1" applyFont="1" applyNumberFormat="1">
      <alignment horizontal="left" readingOrder="0" vertical="top"/>
    </xf>
    <xf borderId="0" fillId="3" fontId="4" numFmtId="171" xfId="0" applyAlignment="1" applyFont="1" applyNumberForma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3" numFmtId="172" xfId="0" applyAlignment="1" applyFont="1" applyNumberFormat="1">
      <alignment horizontal="left" readingOrder="0"/>
    </xf>
    <xf borderId="0" fillId="3" fontId="4" numFmtId="172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3" numFmtId="173" xfId="0" applyAlignment="1" applyFont="1" applyNumberFormat="1">
      <alignment horizontal="left" readingOrder="0"/>
    </xf>
    <xf borderId="0" fillId="0" fontId="29" numFmtId="0" xfId="0" applyAlignment="1" applyFont="1">
      <alignment horizontal="center" readingOrder="0"/>
    </xf>
    <xf borderId="0" fillId="0" fontId="3" numFmtId="0" xfId="0" applyAlignment="1" applyFont="1">
      <alignment readingOrder="0" vertical="top"/>
    </xf>
    <xf borderId="0" fillId="3" fontId="3" numFmtId="168" xfId="0" applyAlignment="1" applyFont="1" applyNumberFormat="1">
      <alignment readingOrder="0" vertical="bottom"/>
    </xf>
    <xf borderId="0" fillId="3" fontId="11" numFmtId="0" xfId="0" applyAlignment="1" applyFont="1">
      <alignment horizontal="center"/>
    </xf>
    <xf borderId="0" fillId="0" fontId="3" numFmtId="0" xfId="0" applyAlignment="1" applyFont="1">
      <alignment vertical="top"/>
    </xf>
    <xf borderId="0" fillId="3" fontId="3" numFmtId="168" xfId="0" applyAlignment="1" applyFont="1" applyNumberFormat="1">
      <alignment vertical="bottom"/>
    </xf>
    <xf borderId="0" fillId="3" fontId="3" numFmtId="168" xfId="0" applyAlignment="1" applyFont="1" applyNumberFormat="1">
      <alignment horizontal="center" readingOrder="0" vertical="bottom"/>
    </xf>
    <xf borderId="0" fillId="3" fontId="6" numFmtId="168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2" pivot="0" name="Lasak 1001 -style">
      <tableStyleElement dxfId="1" type="firstRowStripe"/>
      <tableStyleElement dxfId="2" type="secondRowStripe"/>
    </tableStyle>
    <tableStyle count="2" pivot="0" name="Lasak 1001 -style 2">
      <tableStyleElement dxfId="1" type="firstRowStripe"/>
      <tableStyleElement dxfId="2" type="secondRowStripe"/>
    </tableStyle>
    <tableStyle count="2" pivot="0" name="Lasak 1001 -style 3">
      <tableStyleElement dxfId="1" type="firstRowStripe"/>
      <tableStyleElement dxfId="2" type="secondRowStripe"/>
    </tableStyle>
    <tableStyle count="2" pivot="0" name="Lasak 1001 -style 4">
      <tableStyleElement dxfId="1" type="firstRowStripe"/>
      <tableStyleElement dxfId="2" type="secondRowStripe"/>
    </tableStyle>
    <tableStyle count="2" pivot="0" name="Lasak 1001 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E2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Lasak 1001 -style" showColumnStripes="0" showFirstColumn="1" showLastColumn="1" showRowStripes="1"/>
</table>
</file>

<file path=xl/tables/table2.xml><?xml version="1.0" encoding="utf-8"?>
<table xmlns="http://schemas.openxmlformats.org/spreadsheetml/2006/main" headerRowCount="0" ref="F5:F15" displayName="Table_2" name="Table_2" id="2">
  <tableColumns count="1">
    <tableColumn name="Column1" id="1"/>
  </tableColumns>
  <tableStyleInfo name="Lasak 1001 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:I14" displayName="Table_3" name="Table_3" id="3">
  <tableColumns count="3">
    <tableColumn name="Column1" id="1"/>
    <tableColumn name="Column2" id="2"/>
    <tableColumn name="Column3" id="3"/>
  </tableColumns>
  <tableStyleInfo name="Lasak 1001 -style 3" showColumnStripes="0" showFirstColumn="1" showLastColumn="1" showRowStripes="1"/>
</table>
</file>

<file path=xl/tables/table4.xml><?xml version="1.0" encoding="utf-8"?>
<table xmlns="http://schemas.openxmlformats.org/spreadsheetml/2006/main" headerRowCount="0" ref="F18:G20" displayName="Table_4" name="Table_4" id="4">
  <tableColumns count="2">
    <tableColumn name="Column1" id="1"/>
    <tableColumn name="Column2" id="2"/>
  </tableColumns>
  <tableStyleInfo name="Lasak 1001 -style 4" showColumnStripes="0" showFirstColumn="1" showLastColumn="1" showRowStripes="1"/>
</table>
</file>

<file path=xl/tables/table5.xml><?xml version="1.0" encoding="utf-8"?>
<table xmlns="http://schemas.openxmlformats.org/spreadsheetml/2006/main" headerRowCount="0" ref="H18:I20" displayName="Table_5" name="Table_5" id="5">
  <tableColumns count="2">
    <tableColumn name="Column1" id="1"/>
    <tableColumn name="Column2" id="2"/>
  </tableColumns>
  <tableStyleInfo name="Lasak 1001 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5.pm/" TargetMode="External"/><Relationship Id="rId2" Type="http://schemas.openxmlformats.org/officeDocument/2006/relationships/hyperlink" Target="http://b.sc/" TargetMode="External"/><Relationship Id="rId3" Type="http://schemas.openxmlformats.org/officeDocument/2006/relationships/hyperlink" Target="http://b.com/" TargetMode="External"/><Relationship Id="rId4" Type="http://schemas.openxmlformats.org/officeDocument/2006/relationships/hyperlink" Target="http://b.com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olx_b.sc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4.25"/>
    <col customWidth="1" min="2" max="2" width="39.38"/>
    <col customWidth="1" min="3" max="3" width="11.13"/>
    <col customWidth="1" min="4" max="4" width="9.13"/>
    <col customWidth="1" min="5" max="5" width="26.13"/>
    <col customWidth="1" min="6" max="6" width="14.63"/>
    <col customWidth="1" min="7" max="7" width="21.75"/>
    <col customWidth="1" min="8" max="8" width="7.63"/>
    <col customWidth="1" min="9" max="9" width="6.63"/>
    <col customWidth="1" min="10" max="10" width="10.63"/>
    <col customWidth="1" min="11" max="11" width="9.25"/>
    <col customWidth="1" min="12" max="12" width="72.25"/>
    <col customWidth="1" min="13" max="13" width="18.75"/>
    <col customWidth="1" min="14" max="14" width="14.63"/>
    <col customWidth="1" min="15" max="15" width="11.63"/>
    <col customWidth="1" min="16" max="16" width="18.75"/>
    <col customWidth="1" min="17" max="17" width="13.63"/>
    <col customWidth="1" min="18" max="18" width="22.75"/>
    <col customWidth="1" min="19" max="19" width="14.0"/>
    <col customWidth="1" min="20" max="20" width="12.38"/>
    <col customWidth="1" min="21" max="21" width="11.38"/>
    <col customWidth="1" min="22" max="22" width="18.38"/>
    <col customWidth="1" min="25" max="25" width="12.88"/>
    <col customWidth="1" min="27" max="27" width="16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>
      <c r="A2" s="5" t="s">
        <v>22</v>
      </c>
      <c r="B2" s="6" t="s">
        <v>23</v>
      </c>
      <c r="C2" s="7">
        <v>9.566433273E9</v>
      </c>
      <c r="D2" s="6" t="s">
        <v>24</v>
      </c>
      <c r="E2" s="8" t="s">
        <v>25</v>
      </c>
      <c r="F2" s="8" t="s">
        <v>26</v>
      </c>
      <c r="G2" s="9" t="s">
        <v>27</v>
      </c>
      <c r="H2" s="10">
        <v>5000.0</v>
      </c>
      <c r="I2" s="10">
        <v>5000.0</v>
      </c>
      <c r="J2" s="11">
        <v>46032.0</v>
      </c>
      <c r="K2" s="12">
        <f t="shared" ref="K2:K24" si="1">sum(H2-O2)</f>
        <v>0</v>
      </c>
      <c r="L2" s="13" t="s">
        <v>28</v>
      </c>
      <c r="M2" s="10" t="s">
        <v>29</v>
      </c>
      <c r="N2" s="10">
        <v>0.0</v>
      </c>
      <c r="O2" s="10">
        <f t="shared" ref="O2:O24" si="2">SUM(I2+N2)</f>
        <v>5000</v>
      </c>
      <c r="P2" s="10" t="s">
        <v>30</v>
      </c>
      <c r="Q2" s="10" t="s">
        <v>31</v>
      </c>
      <c r="R2" s="12"/>
      <c r="S2" s="10" t="s">
        <v>32</v>
      </c>
      <c r="T2" s="10" t="s">
        <v>33</v>
      </c>
      <c r="U2" s="4"/>
      <c r="V2" s="9" t="s">
        <v>34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>
      <c r="A3" s="5" t="s">
        <v>22</v>
      </c>
      <c r="B3" s="9" t="s">
        <v>35</v>
      </c>
      <c r="C3" s="13">
        <v>8.220994923E9</v>
      </c>
      <c r="D3" s="6" t="s">
        <v>36</v>
      </c>
      <c r="E3" s="8" t="s">
        <v>37</v>
      </c>
      <c r="F3" s="8" t="s">
        <v>38</v>
      </c>
      <c r="G3" s="9" t="s">
        <v>27</v>
      </c>
      <c r="H3" s="10">
        <v>3000.0</v>
      </c>
      <c r="I3" s="10">
        <v>3000.0</v>
      </c>
      <c r="J3" s="11">
        <v>46039.0</v>
      </c>
      <c r="K3" s="12">
        <f t="shared" si="1"/>
        <v>0</v>
      </c>
      <c r="L3" s="13" t="s">
        <v>39</v>
      </c>
      <c r="M3" s="10" t="s">
        <v>29</v>
      </c>
      <c r="N3" s="10">
        <v>0.0</v>
      </c>
      <c r="O3" s="10">
        <f t="shared" si="2"/>
        <v>3000</v>
      </c>
      <c r="P3" s="10" t="s">
        <v>30</v>
      </c>
      <c r="Q3" s="10" t="s">
        <v>31</v>
      </c>
      <c r="R3" s="12"/>
      <c r="S3" s="10" t="s">
        <v>40</v>
      </c>
      <c r="T3" s="10" t="s">
        <v>41</v>
      </c>
      <c r="U3" s="4"/>
      <c r="V3" s="9" t="s">
        <v>34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>
      <c r="A4" s="5" t="s">
        <v>22</v>
      </c>
      <c r="B4" s="9" t="s">
        <v>42</v>
      </c>
      <c r="C4" s="13">
        <v>9.790695762E9</v>
      </c>
      <c r="D4" s="6" t="s">
        <v>43</v>
      </c>
      <c r="E4" s="8" t="s">
        <v>44</v>
      </c>
      <c r="F4" s="8" t="s">
        <v>45</v>
      </c>
      <c r="G4" s="9" t="s">
        <v>46</v>
      </c>
      <c r="H4" s="10">
        <v>30368.0</v>
      </c>
      <c r="I4" s="10">
        <v>5000.0</v>
      </c>
      <c r="J4" s="11">
        <v>46041.0</v>
      </c>
      <c r="K4" s="12">
        <f t="shared" si="1"/>
        <v>2000</v>
      </c>
      <c r="L4" s="13" t="s">
        <v>47</v>
      </c>
      <c r="M4" s="10" t="s">
        <v>29</v>
      </c>
      <c r="N4" s="10">
        <v>23368.0</v>
      </c>
      <c r="O4" s="10">
        <f t="shared" si="2"/>
        <v>28368</v>
      </c>
      <c r="P4" s="10" t="s">
        <v>30</v>
      </c>
      <c r="Q4" s="10" t="s">
        <v>31</v>
      </c>
      <c r="R4" s="12"/>
      <c r="S4" s="10" t="s">
        <v>48</v>
      </c>
      <c r="T4" s="10" t="s">
        <v>41</v>
      </c>
      <c r="U4" s="4"/>
      <c r="V4" s="9" t="s">
        <v>49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>
      <c r="A5" s="5" t="s">
        <v>22</v>
      </c>
      <c r="B5" s="9" t="s">
        <v>50</v>
      </c>
      <c r="C5" s="13">
        <v>7.010436975E9</v>
      </c>
      <c r="D5" s="6" t="s">
        <v>51</v>
      </c>
      <c r="E5" s="8" t="s">
        <v>52</v>
      </c>
      <c r="F5" s="8" t="s">
        <v>53</v>
      </c>
      <c r="G5" s="9" t="s">
        <v>54</v>
      </c>
      <c r="H5" s="10">
        <v>22000.0</v>
      </c>
      <c r="I5" s="10">
        <v>22000.0</v>
      </c>
      <c r="J5" s="11">
        <v>46051.0</v>
      </c>
      <c r="K5" s="12">
        <f t="shared" si="1"/>
        <v>0</v>
      </c>
      <c r="L5" s="13" t="s">
        <v>55</v>
      </c>
      <c r="M5" s="10" t="s">
        <v>56</v>
      </c>
      <c r="N5" s="10">
        <v>0.0</v>
      </c>
      <c r="O5" s="10">
        <f t="shared" si="2"/>
        <v>22000</v>
      </c>
      <c r="P5" s="10" t="s">
        <v>30</v>
      </c>
      <c r="Q5" s="10" t="s">
        <v>57</v>
      </c>
      <c r="R5" s="10" t="s">
        <v>58</v>
      </c>
      <c r="S5" s="10" t="s">
        <v>59</v>
      </c>
      <c r="T5" s="11">
        <v>46056.0</v>
      </c>
      <c r="U5" s="4"/>
      <c r="V5" s="9" t="s">
        <v>60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>
      <c r="A6" s="5" t="s">
        <v>22</v>
      </c>
      <c r="B6" s="13" t="s">
        <v>61</v>
      </c>
      <c r="C6" s="13">
        <v>8.667025873E9</v>
      </c>
      <c r="D6" s="6" t="s">
        <v>62</v>
      </c>
      <c r="E6" s="8" t="s">
        <v>63</v>
      </c>
      <c r="F6" s="8" t="s">
        <v>26</v>
      </c>
      <c r="G6" s="9" t="s">
        <v>46</v>
      </c>
      <c r="H6" s="10">
        <v>23367.0</v>
      </c>
      <c r="I6" s="10">
        <v>0.0</v>
      </c>
      <c r="J6" s="11">
        <v>46052.0</v>
      </c>
      <c r="K6" s="14">
        <f t="shared" si="1"/>
        <v>0</v>
      </c>
      <c r="L6" s="13" t="s">
        <v>64</v>
      </c>
      <c r="M6" s="10" t="s">
        <v>29</v>
      </c>
      <c r="N6" s="10">
        <v>23367.0</v>
      </c>
      <c r="O6" s="10">
        <f t="shared" si="2"/>
        <v>23367</v>
      </c>
      <c r="P6" s="10" t="s">
        <v>30</v>
      </c>
      <c r="Q6" s="10" t="s">
        <v>57</v>
      </c>
      <c r="R6" s="12"/>
      <c r="S6" s="10" t="s">
        <v>32</v>
      </c>
      <c r="T6" s="11">
        <v>46055.0</v>
      </c>
      <c r="U6" s="9" t="s">
        <v>65</v>
      </c>
      <c r="V6" s="9" t="s">
        <v>34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>
      <c r="A7" s="5" t="s">
        <v>22</v>
      </c>
      <c r="B7" s="9" t="s">
        <v>66</v>
      </c>
      <c r="C7" s="13">
        <v>6.381965589E9</v>
      </c>
      <c r="D7" s="6" t="s">
        <v>67</v>
      </c>
      <c r="E7" s="8" t="s">
        <v>68</v>
      </c>
      <c r="F7" s="8" t="s">
        <v>69</v>
      </c>
      <c r="G7" s="9" t="s">
        <v>54</v>
      </c>
      <c r="H7" s="10">
        <v>26000.0</v>
      </c>
      <c r="I7" s="10">
        <v>5000.0</v>
      </c>
      <c r="J7" s="11">
        <v>46053.0</v>
      </c>
      <c r="K7" s="12">
        <f t="shared" si="1"/>
        <v>0</v>
      </c>
      <c r="L7" s="13" t="s">
        <v>70</v>
      </c>
      <c r="M7" s="10" t="s">
        <v>71</v>
      </c>
      <c r="N7" s="10">
        <v>21000.0</v>
      </c>
      <c r="O7" s="10">
        <f t="shared" si="2"/>
        <v>26000</v>
      </c>
      <c r="P7" s="10" t="s">
        <v>72</v>
      </c>
      <c r="Q7" s="10" t="s">
        <v>57</v>
      </c>
      <c r="R7" s="10" t="s">
        <v>73</v>
      </c>
      <c r="S7" s="10" t="s">
        <v>74</v>
      </c>
      <c r="T7" s="11">
        <v>46069.0</v>
      </c>
      <c r="U7" s="4"/>
      <c r="V7" s="9" t="s">
        <v>49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>
      <c r="A8" s="5" t="s">
        <v>22</v>
      </c>
      <c r="B8" s="9" t="s">
        <v>75</v>
      </c>
      <c r="C8" s="13">
        <v>6.382589028E9</v>
      </c>
      <c r="D8" s="6" t="s">
        <v>76</v>
      </c>
      <c r="E8" s="8" t="s">
        <v>77</v>
      </c>
      <c r="F8" s="8" t="s">
        <v>69</v>
      </c>
      <c r="G8" s="9" t="s">
        <v>46</v>
      </c>
      <c r="H8" s="10">
        <v>25999.0</v>
      </c>
      <c r="I8" s="10">
        <v>5000.0</v>
      </c>
      <c r="J8" s="11">
        <v>46053.0</v>
      </c>
      <c r="K8" s="12">
        <f t="shared" si="1"/>
        <v>0</v>
      </c>
      <c r="L8" s="13" t="s">
        <v>78</v>
      </c>
      <c r="M8" s="10" t="s">
        <v>29</v>
      </c>
      <c r="N8" s="10">
        <v>20999.0</v>
      </c>
      <c r="O8" s="10">
        <f t="shared" si="2"/>
        <v>25999</v>
      </c>
      <c r="P8" s="10" t="s">
        <v>72</v>
      </c>
      <c r="Q8" s="10" t="s">
        <v>57</v>
      </c>
      <c r="R8" s="10" t="s">
        <v>73</v>
      </c>
      <c r="S8" s="10" t="s">
        <v>74</v>
      </c>
      <c r="T8" s="11">
        <v>46063.0</v>
      </c>
      <c r="U8" s="4"/>
      <c r="V8" s="9" t="s">
        <v>49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>
      <c r="A9" s="15">
        <v>46054.0</v>
      </c>
      <c r="D9" s="15"/>
      <c r="E9" s="15"/>
      <c r="F9" s="15"/>
      <c r="G9" s="15"/>
      <c r="H9" s="16">
        <f t="shared" ref="H9:I9" si="3">SUM(H2:H8)</f>
        <v>135734</v>
      </c>
      <c r="I9" s="16">
        <f t="shared" si="3"/>
        <v>45000</v>
      </c>
      <c r="J9" s="17"/>
      <c r="K9" s="18">
        <f t="shared" si="1"/>
        <v>2000</v>
      </c>
      <c r="L9" s="19"/>
      <c r="M9" s="17"/>
      <c r="N9" s="20">
        <f>SUM(N2:N8)</f>
        <v>88734</v>
      </c>
      <c r="O9" s="20">
        <f t="shared" si="2"/>
        <v>133734</v>
      </c>
      <c r="P9" s="17"/>
      <c r="Q9" s="17"/>
      <c r="R9" s="16"/>
      <c r="S9" s="3"/>
      <c r="T9" s="16"/>
      <c r="U9" s="21"/>
      <c r="V9" s="21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>
      <c r="A10" s="5" t="s">
        <v>22</v>
      </c>
      <c r="B10" s="9" t="s">
        <v>79</v>
      </c>
      <c r="C10" s="13">
        <v>9.566433661E9</v>
      </c>
      <c r="D10" s="6" t="s">
        <v>80</v>
      </c>
      <c r="E10" s="8" t="s">
        <v>81</v>
      </c>
      <c r="F10" s="8" t="s">
        <v>69</v>
      </c>
      <c r="G10" s="9" t="s">
        <v>46</v>
      </c>
      <c r="H10" s="10">
        <v>15373.0</v>
      </c>
      <c r="I10" s="10">
        <v>2000.0</v>
      </c>
      <c r="J10" s="11">
        <v>46054.0</v>
      </c>
      <c r="K10" s="12">
        <f t="shared" si="1"/>
        <v>0</v>
      </c>
      <c r="L10" s="13" t="s">
        <v>82</v>
      </c>
      <c r="M10" s="10" t="s">
        <v>29</v>
      </c>
      <c r="N10" s="10">
        <v>13373.0</v>
      </c>
      <c r="O10" s="10">
        <f t="shared" si="2"/>
        <v>15373</v>
      </c>
      <c r="P10" s="10" t="s">
        <v>72</v>
      </c>
      <c r="Q10" s="10" t="s">
        <v>57</v>
      </c>
      <c r="R10" s="10" t="s">
        <v>73</v>
      </c>
      <c r="S10" s="10" t="s">
        <v>74</v>
      </c>
      <c r="T10" s="11">
        <v>46063.0</v>
      </c>
      <c r="U10" s="4"/>
      <c r="V10" s="9" t="s">
        <v>49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>
      <c r="A11" s="5" t="s">
        <v>22</v>
      </c>
      <c r="B11" s="9" t="s">
        <v>83</v>
      </c>
      <c r="C11" s="13">
        <v>9.345610083E9</v>
      </c>
      <c r="D11" s="6" t="s">
        <v>84</v>
      </c>
      <c r="E11" s="8" t="s">
        <v>85</v>
      </c>
      <c r="F11" s="8" t="s">
        <v>69</v>
      </c>
      <c r="G11" s="9" t="s">
        <v>54</v>
      </c>
      <c r="H11" s="10">
        <v>20000.0</v>
      </c>
      <c r="I11" s="10">
        <v>5000.0</v>
      </c>
      <c r="J11" s="11">
        <v>46055.0</v>
      </c>
      <c r="K11" s="12">
        <f t="shared" si="1"/>
        <v>0</v>
      </c>
      <c r="L11" s="13" t="s">
        <v>86</v>
      </c>
      <c r="M11" s="10" t="s">
        <v>71</v>
      </c>
      <c r="N11" s="10">
        <v>15000.0</v>
      </c>
      <c r="O11" s="10">
        <f t="shared" si="2"/>
        <v>20000</v>
      </c>
      <c r="P11" s="10" t="s">
        <v>30</v>
      </c>
      <c r="Q11" s="10" t="s">
        <v>57</v>
      </c>
      <c r="R11" s="10" t="s">
        <v>87</v>
      </c>
      <c r="S11" s="10" t="s">
        <v>59</v>
      </c>
      <c r="T11" s="11">
        <v>46063.0</v>
      </c>
      <c r="U11" s="4"/>
      <c r="V11" s="9" t="s">
        <v>49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>
      <c r="A12" s="5" t="s">
        <v>22</v>
      </c>
      <c r="B12" s="9" t="s">
        <v>88</v>
      </c>
      <c r="C12" s="13">
        <v>9.566858543E9</v>
      </c>
      <c r="D12" s="6" t="s">
        <v>89</v>
      </c>
      <c r="E12" s="8" t="s">
        <v>90</v>
      </c>
      <c r="F12" s="8" t="s">
        <v>38</v>
      </c>
      <c r="G12" s="9" t="s">
        <v>54</v>
      </c>
      <c r="H12" s="10">
        <v>32000.0</v>
      </c>
      <c r="I12" s="10">
        <v>15000.0</v>
      </c>
      <c r="J12" s="11">
        <v>46055.0</v>
      </c>
      <c r="K12" s="12">
        <f t="shared" si="1"/>
        <v>0</v>
      </c>
      <c r="L12" s="13" t="s">
        <v>91</v>
      </c>
      <c r="M12" s="10" t="s">
        <v>71</v>
      </c>
      <c r="N12" s="10">
        <v>17000.0</v>
      </c>
      <c r="O12" s="10">
        <f t="shared" si="2"/>
        <v>32000</v>
      </c>
      <c r="P12" s="10" t="s">
        <v>30</v>
      </c>
      <c r="Q12" s="10" t="s">
        <v>57</v>
      </c>
      <c r="R12" s="10" t="s">
        <v>92</v>
      </c>
      <c r="S12" s="10" t="s">
        <v>40</v>
      </c>
      <c r="T12" s="11">
        <v>46061.0</v>
      </c>
      <c r="U12" s="23">
        <v>46149.0</v>
      </c>
      <c r="V12" s="9" t="s">
        <v>60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>
      <c r="A13" s="5" t="s">
        <v>22</v>
      </c>
      <c r="B13" s="9" t="s">
        <v>93</v>
      </c>
      <c r="C13" s="13">
        <v>8.015706382E9</v>
      </c>
      <c r="D13" s="6" t="s">
        <v>94</v>
      </c>
      <c r="E13" s="8" t="s">
        <v>95</v>
      </c>
      <c r="F13" s="8" t="s">
        <v>69</v>
      </c>
      <c r="G13" s="9" t="s">
        <v>46</v>
      </c>
      <c r="H13" s="10">
        <v>25999.0</v>
      </c>
      <c r="I13" s="10">
        <v>5000.0</v>
      </c>
      <c r="J13" s="11">
        <v>46055.0</v>
      </c>
      <c r="K13" s="24">
        <f t="shared" si="1"/>
        <v>20999</v>
      </c>
      <c r="L13" s="13" t="s">
        <v>96</v>
      </c>
      <c r="M13" s="10" t="s">
        <v>97</v>
      </c>
      <c r="N13" s="10">
        <v>0.0</v>
      </c>
      <c r="O13" s="10">
        <f t="shared" si="2"/>
        <v>5000</v>
      </c>
      <c r="P13" s="10" t="s">
        <v>30</v>
      </c>
      <c r="Q13" s="10" t="s">
        <v>31</v>
      </c>
      <c r="R13" s="12"/>
      <c r="S13" s="10" t="s">
        <v>59</v>
      </c>
      <c r="T13" s="11">
        <v>46063.0</v>
      </c>
      <c r="U13" s="4"/>
      <c r="V13" s="9" t="s">
        <v>98</v>
      </c>
      <c r="W13" s="9" t="s">
        <v>99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>
      <c r="A14" s="5" t="s">
        <v>22</v>
      </c>
      <c r="B14" s="9" t="s">
        <v>100</v>
      </c>
      <c r="C14" s="13">
        <v>8.248434627E9</v>
      </c>
      <c r="D14" s="6" t="s">
        <v>101</v>
      </c>
      <c r="E14" s="8" t="s">
        <v>102</v>
      </c>
      <c r="F14" s="8" t="s">
        <v>103</v>
      </c>
      <c r="G14" s="9" t="s">
        <v>46</v>
      </c>
      <c r="H14" s="10">
        <v>24799.0</v>
      </c>
      <c r="I14" s="10">
        <v>5000.0</v>
      </c>
      <c r="J14" s="11">
        <v>46056.0</v>
      </c>
      <c r="K14" s="12">
        <f t="shared" si="1"/>
        <v>0</v>
      </c>
      <c r="L14" s="13" t="s">
        <v>104</v>
      </c>
      <c r="M14" s="10" t="s">
        <v>29</v>
      </c>
      <c r="N14" s="10">
        <v>19799.0</v>
      </c>
      <c r="O14" s="10">
        <f t="shared" si="2"/>
        <v>24799</v>
      </c>
      <c r="P14" s="10" t="s">
        <v>30</v>
      </c>
      <c r="Q14" s="10" t="s">
        <v>57</v>
      </c>
      <c r="R14" s="10" t="s">
        <v>105</v>
      </c>
      <c r="S14" s="10" t="s">
        <v>59</v>
      </c>
      <c r="T14" s="11">
        <v>46063.0</v>
      </c>
      <c r="U14" s="11">
        <v>46107.0</v>
      </c>
      <c r="V14" s="9" t="s">
        <v>60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>
      <c r="A15" s="5" t="s">
        <v>22</v>
      </c>
      <c r="B15" s="9" t="s">
        <v>106</v>
      </c>
      <c r="C15" s="13">
        <v>8.825931737E9</v>
      </c>
      <c r="D15" s="6" t="s">
        <v>107</v>
      </c>
      <c r="E15" s="4"/>
      <c r="F15" s="8" t="s">
        <v>108</v>
      </c>
      <c r="G15" s="9" t="s">
        <v>54</v>
      </c>
      <c r="H15" s="10">
        <v>21240.0</v>
      </c>
      <c r="I15" s="10">
        <v>21240.0</v>
      </c>
      <c r="J15" s="11">
        <v>46060.0</v>
      </c>
      <c r="K15" s="25">
        <f t="shared" si="1"/>
        <v>0</v>
      </c>
      <c r="L15" s="13" t="s">
        <v>55</v>
      </c>
      <c r="M15" s="10" t="s">
        <v>56</v>
      </c>
      <c r="N15" s="10">
        <v>0.0</v>
      </c>
      <c r="O15" s="26">
        <f t="shared" si="2"/>
        <v>21240</v>
      </c>
      <c r="P15" s="10" t="s">
        <v>30</v>
      </c>
      <c r="Q15" s="10" t="s">
        <v>57</v>
      </c>
      <c r="R15" s="10" t="s">
        <v>109</v>
      </c>
      <c r="S15" s="10" t="s">
        <v>59</v>
      </c>
      <c r="T15" s="11">
        <v>46062.0</v>
      </c>
      <c r="U15" s="4"/>
      <c r="V15" s="9" t="s">
        <v>49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>
      <c r="A16" s="5" t="s">
        <v>22</v>
      </c>
      <c r="B16" s="9" t="s">
        <v>110</v>
      </c>
      <c r="C16" s="27">
        <v>9.59750257E9</v>
      </c>
      <c r="D16" s="6" t="s">
        <v>111</v>
      </c>
      <c r="E16" s="8" t="s">
        <v>112</v>
      </c>
      <c r="F16" s="8" t="s">
        <v>38</v>
      </c>
      <c r="G16" s="9" t="s">
        <v>113</v>
      </c>
      <c r="H16" s="10">
        <v>42000.0</v>
      </c>
      <c r="I16" s="10">
        <v>15000.0</v>
      </c>
      <c r="J16" s="11">
        <v>46065.0</v>
      </c>
      <c r="K16" s="25">
        <f t="shared" si="1"/>
        <v>0</v>
      </c>
      <c r="L16" s="13" t="s">
        <v>114</v>
      </c>
      <c r="M16" s="10" t="s">
        <v>71</v>
      </c>
      <c r="N16" s="10">
        <v>27000.0</v>
      </c>
      <c r="O16" s="26">
        <f t="shared" si="2"/>
        <v>42000</v>
      </c>
      <c r="P16" s="10" t="s">
        <v>30</v>
      </c>
      <c r="Q16" s="10" t="s">
        <v>57</v>
      </c>
      <c r="R16" s="10" t="s">
        <v>115</v>
      </c>
      <c r="S16" s="10" t="s">
        <v>40</v>
      </c>
      <c r="T16" s="11">
        <v>46073.0</v>
      </c>
      <c r="U16" s="23">
        <v>46149.0</v>
      </c>
      <c r="V16" s="9" t="s">
        <v>60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ht="16.5" customHeight="1">
      <c r="A17" s="5" t="s">
        <v>22</v>
      </c>
      <c r="B17" s="9" t="s">
        <v>116</v>
      </c>
      <c r="C17" s="13">
        <v>9.384904938E9</v>
      </c>
      <c r="D17" s="6" t="s">
        <v>117</v>
      </c>
      <c r="E17" s="9" t="s">
        <v>118</v>
      </c>
      <c r="F17" s="8" t="s">
        <v>38</v>
      </c>
      <c r="G17" s="9" t="s">
        <v>113</v>
      </c>
      <c r="H17" s="10">
        <v>40000.0</v>
      </c>
      <c r="I17" s="10">
        <v>15000.0</v>
      </c>
      <c r="J17" s="11">
        <v>46072.0</v>
      </c>
      <c r="K17" s="25">
        <f t="shared" si="1"/>
        <v>0</v>
      </c>
      <c r="L17" s="13" t="s">
        <v>119</v>
      </c>
      <c r="M17" s="10" t="s">
        <v>71</v>
      </c>
      <c r="N17" s="10">
        <v>25000.0</v>
      </c>
      <c r="O17" s="26">
        <f t="shared" si="2"/>
        <v>40000</v>
      </c>
      <c r="P17" s="10" t="s">
        <v>30</v>
      </c>
      <c r="Q17" s="10" t="s">
        <v>57</v>
      </c>
      <c r="R17" s="10" t="s">
        <v>120</v>
      </c>
      <c r="S17" s="10" t="s">
        <v>40</v>
      </c>
      <c r="T17" s="11">
        <v>46078.0</v>
      </c>
      <c r="U17" s="23">
        <v>46149.0</v>
      </c>
      <c r="V17" s="9" t="s">
        <v>60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>
      <c r="A18" s="5" t="s">
        <v>22</v>
      </c>
      <c r="B18" s="9" t="s">
        <v>121</v>
      </c>
      <c r="C18" s="13">
        <v>8.61049887E9</v>
      </c>
      <c r="D18" s="6" t="s">
        <v>122</v>
      </c>
      <c r="E18" s="9" t="s">
        <v>123</v>
      </c>
      <c r="F18" s="8" t="s">
        <v>69</v>
      </c>
      <c r="G18" s="9" t="s">
        <v>54</v>
      </c>
      <c r="H18" s="10">
        <v>40000.0</v>
      </c>
      <c r="I18" s="10">
        <v>35000.0</v>
      </c>
      <c r="J18" s="11">
        <v>46075.0</v>
      </c>
      <c r="K18" s="25">
        <f t="shared" si="1"/>
        <v>0</v>
      </c>
      <c r="L18" s="13" t="s">
        <v>124</v>
      </c>
      <c r="M18" s="10" t="s">
        <v>71</v>
      </c>
      <c r="N18" s="10">
        <v>5000.0</v>
      </c>
      <c r="O18" s="26">
        <f t="shared" si="2"/>
        <v>40000</v>
      </c>
      <c r="P18" s="10" t="s">
        <v>30</v>
      </c>
      <c r="Q18" s="10" t="s">
        <v>57</v>
      </c>
      <c r="R18" s="10" t="s">
        <v>125</v>
      </c>
      <c r="S18" s="10" t="s">
        <v>59</v>
      </c>
      <c r="T18" s="11">
        <v>46079.0</v>
      </c>
      <c r="U18" s="4"/>
      <c r="V18" s="9" t="s">
        <v>49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>
      <c r="A19" s="5" t="s">
        <v>22</v>
      </c>
      <c r="B19" s="9" t="s">
        <v>126</v>
      </c>
      <c r="C19" s="13">
        <v>7.41882488E9</v>
      </c>
      <c r="D19" s="6" t="s">
        <v>127</v>
      </c>
      <c r="E19" s="9" t="s">
        <v>128</v>
      </c>
      <c r="F19" s="8" t="s">
        <v>69</v>
      </c>
      <c r="G19" s="9" t="s">
        <v>113</v>
      </c>
      <c r="H19" s="10">
        <v>32000.0</v>
      </c>
      <c r="I19" s="10">
        <v>12000.0</v>
      </c>
      <c r="J19" s="11">
        <v>46076.0</v>
      </c>
      <c r="K19" s="25">
        <f t="shared" si="1"/>
        <v>0</v>
      </c>
      <c r="L19" s="13" t="s">
        <v>129</v>
      </c>
      <c r="M19" s="10" t="s">
        <v>71</v>
      </c>
      <c r="N19" s="10">
        <v>20000.0</v>
      </c>
      <c r="O19" s="26">
        <f t="shared" si="2"/>
        <v>32000</v>
      </c>
      <c r="P19" s="10" t="s">
        <v>30</v>
      </c>
      <c r="Q19" s="10" t="s">
        <v>57</v>
      </c>
      <c r="R19" s="10" t="s">
        <v>130</v>
      </c>
      <c r="S19" s="10" t="s">
        <v>59</v>
      </c>
      <c r="T19" s="11">
        <v>46079.0</v>
      </c>
      <c r="U19" s="4"/>
      <c r="V19" s="9" t="s">
        <v>49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>
      <c r="A20" s="5" t="s">
        <v>22</v>
      </c>
      <c r="B20" s="9" t="s">
        <v>131</v>
      </c>
      <c r="C20" s="13">
        <v>9.597483831E9</v>
      </c>
      <c r="D20" s="6" t="s">
        <v>132</v>
      </c>
      <c r="E20" s="9" t="s">
        <v>133</v>
      </c>
      <c r="F20" s="8" t="s">
        <v>38</v>
      </c>
      <c r="G20" s="9" t="s">
        <v>113</v>
      </c>
      <c r="H20" s="10">
        <v>30000.0</v>
      </c>
      <c r="I20" s="10">
        <v>15000.0</v>
      </c>
      <c r="J20" s="11">
        <v>46076.0</v>
      </c>
      <c r="K20" s="25">
        <f t="shared" si="1"/>
        <v>15000</v>
      </c>
      <c r="L20" s="13" t="s">
        <v>134</v>
      </c>
      <c r="M20" s="10" t="s">
        <v>71</v>
      </c>
      <c r="N20" s="10">
        <v>0.0</v>
      </c>
      <c r="O20" s="26">
        <f t="shared" si="2"/>
        <v>15000</v>
      </c>
      <c r="P20" s="10" t="s">
        <v>30</v>
      </c>
      <c r="Q20" s="10" t="s">
        <v>57</v>
      </c>
      <c r="R20" s="10" t="s">
        <v>135</v>
      </c>
      <c r="S20" s="10" t="s">
        <v>40</v>
      </c>
      <c r="T20" s="11">
        <v>46078.0</v>
      </c>
      <c r="U20" s="23">
        <v>46149.0</v>
      </c>
      <c r="V20" s="9" t="s">
        <v>60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>
      <c r="A21" s="5" t="s">
        <v>22</v>
      </c>
      <c r="B21" s="9" t="s">
        <v>136</v>
      </c>
      <c r="C21" s="28">
        <v>9.894845433E9</v>
      </c>
      <c r="D21" s="6" t="s">
        <v>137</v>
      </c>
      <c r="E21" s="9" t="s">
        <v>138</v>
      </c>
      <c r="F21" s="8" t="s">
        <v>38</v>
      </c>
      <c r="G21" s="9" t="s">
        <v>113</v>
      </c>
      <c r="H21" s="10">
        <v>40000.0</v>
      </c>
      <c r="I21" s="10">
        <v>5000.0</v>
      </c>
      <c r="J21" s="11">
        <v>46076.0</v>
      </c>
      <c r="K21" s="29">
        <f t="shared" si="1"/>
        <v>30625</v>
      </c>
      <c r="L21" s="13" t="s">
        <v>139</v>
      </c>
      <c r="M21" s="10" t="s">
        <v>97</v>
      </c>
      <c r="N21" s="10">
        <v>4375.0</v>
      </c>
      <c r="O21" s="26">
        <f t="shared" si="2"/>
        <v>9375</v>
      </c>
      <c r="P21" s="10" t="s">
        <v>30</v>
      </c>
      <c r="Q21" s="10" t="s">
        <v>31</v>
      </c>
      <c r="R21" s="10" t="s">
        <v>140</v>
      </c>
      <c r="S21" s="10" t="s">
        <v>40</v>
      </c>
      <c r="T21" s="11">
        <v>46085.0</v>
      </c>
      <c r="U21" s="4"/>
      <c r="V21" s="9" t="s">
        <v>49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>
      <c r="A22" s="5" t="s">
        <v>22</v>
      </c>
      <c r="B22" s="9" t="s">
        <v>141</v>
      </c>
      <c r="C22" s="13">
        <v>9.698023399E9</v>
      </c>
      <c r="D22" s="6" t="s">
        <v>142</v>
      </c>
      <c r="E22" s="9" t="s">
        <v>143</v>
      </c>
      <c r="F22" s="8" t="s">
        <v>38</v>
      </c>
      <c r="G22" s="9" t="s">
        <v>46</v>
      </c>
      <c r="H22" s="10">
        <v>28868.0</v>
      </c>
      <c r="I22" s="10">
        <v>5500.0</v>
      </c>
      <c r="J22" s="11">
        <v>46078.0</v>
      </c>
      <c r="K22" s="25">
        <f t="shared" si="1"/>
        <v>0</v>
      </c>
      <c r="L22" s="13" t="s">
        <v>144</v>
      </c>
      <c r="M22" s="10" t="s">
        <v>29</v>
      </c>
      <c r="N22" s="10">
        <v>23368.0</v>
      </c>
      <c r="O22" s="26">
        <f t="shared" si="2"/>
        <v>28868</v>
      </c>
      <c r="P22" s="10" t="s">
        <v>30</v>
      </c>
      <c r="Q22" s="10" t="s">
        <v>31</v>
      </c>
      <c r="R22" s="10" t="s">
        <v>145</v>
      </c>
      <c r="S22" s="10" t="s">
        <v>40</v>
      </c>
      <c r="T22" s="11">
        <v>46102.0</v>
      </c>
      <c r="U22" s="4"/>
      <c r="V22" s="9" t="s">
        <v>49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>
      <c r="A23" s="30" t="s">
        <v>146</v>
      </c>
      <c r="B23" s="9" t="s">
        <v>147</v>
      </c>
      <c r="C23" s="13">
        <v>8.940722088E9</v>
      </c>
      <c r="D23" s="6" t="s">
        <v>148</v>
      </c>
      <c r="E23" s="9" t="s">
        <v>149</v>
      </c>
      <c r="F23" s="8" t="s">
        <v>69</v>
      </c>
      <c r="G23" s="9" t="s">
        <v>46</v>
      </c>
      <c r="H23" s="10">
        <v>30368.0</v>
      </c>
      <c r="I23" s="10">
        <v>7000.0</v>
      </c>
      <c r="J23" s="11">
        <v>46078.0</v>
      </c>
      <c r="K23" s="25">
        <f t="shared" si="1"/>
        <v>0</v>
      </c>
      <c r="L23" s="13" t="s">
        <v>150</v>
      </c>
      <c r="M23" s="10" t="s">
        <v>29</v>
      </c>
      <c r="N23" s="10">
        <v>23368.0</v>
      </c>
      <c r="O23" s="26">
        <f t="shared" si="2"/>
        <v>30368</v>
      </c>
      <c r="P23" s="10" t="s">
        <v>30</v>
      </c>
      <c r="Q23" s="10" t="s">
        <v>31</v>
      </c>
      <c r="R23" s="10" t="s">
        <v>151</v>
      </c>
      <c r="S23" s="10" t="s">
        <v>59</v>
      </c>
      <c r="T23" s="11">
        <v>46111.0</v>
      </c>
      <c r="U23" s="4"/>
      <c r="V23" s="9" t="s">
        <v>49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>
      <c r="A24" s="30" t="s">
        <v>146</v>
      </c>
      <c r="B24" s="9" t="s">
        <v>152</v>
      </c>
      <c r="C24" s="7">
        <v>9.943236074E9</v>
      </c>
      <c r="D24" s="6" t="s">
        <v>153</v>
      </c>
      <c r="E24" s="9" t="s">
        <v>154</v>
      </c>
      <c r="F24" s="8" t="s">
        <v>69</v>
      </c>
      <c r="G24" s="9" t="s">
        <v>54</v>
      </c>
      <c r="H24" s="10">
        <v>21000.0</v>
      </c>
      <c r="I24" s="10">
        <v>18000.0</v>
      </c>
      <c r="J24" s="11">
        <v>46080.0</v>
      </c>
      <c r="K24" s="25">
        <f t="shared" si="1"/>
        <v>0</v>
      </c>
      <c r="L24" s="13" t="s">
        <v>155</v>
      </c>
      <c r="M24" s="10" t="s">
        <v>56</v>
      </c>
      <c r="N24" s="10">
        <v>3000.0</v>
      </c>
      <c r="O24" s="26">
        <f t="shared" si="2"/>
        <v>21000</v>
      </c>
      <c r="P24" s="10" t="s">
        <v>30</v>
      </c>
      <c r="Q24" s="10" t="s">
        <v>57</v>
      </c>
      <c r="R24" s="10" t="s">
        <v>156</v>
      </c>
      <c r="S24" s="10" t="s">
        <v>59</v>
      </c>
      <c r="T24" s="11">
        <v>46084.0</v>
      </c>
      <c r="U24" s="4"/>
      <c r="V24" s="9" t="s">
        <v>49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>
      <c r="A25" s="15">
        <v>46082.0</v>
      </c>
      <c r="D25" s="15"/>
      <c r="E25" s="15"/>
      <c r="F25" s="15"/>
      <c r="G25" s="15"/>
      <c r="H25" s="16">
        <f t="shared" ref="H25:I25" si="4">SUM(H10:H24)</f>
        <v>443647</v>
      </c>
      <c r="I25" s="16">
        <f t="shared" si="4"/>
        <v>180740</v>
      </c>
      <c r="J25" s="17"/>
      <c r="K25" s="3">
        <f>sum(K10:K24)</f>
        <v>66624</v>
      </c>
      <c r="L25" s="19"/>
      <c r="M25" s="17"/>
      <c r="N25" s="3">
        <f t="shared" ref="N25:O25" si="5">sum(N10:N24)</f>
        <v>196283</v>
      </c>
      <c r="O25" s="20">
        <f t="shared" si="5"/>
        <v>377023</v>
      </c>
      <c r="P25" s="17"/>
      <c r="Q25" s="17"/>
      <c r="R25" s="16"/>
      <c r="S25" s="3"/>
      <c r="T25" s="16"/>
      <c r="U25" s="21"/>
      <c r="V25" s="21"/>
      <c r="W25" s="22"/>
      <c r="X25" s="31" t="s">
        <v>157</v>
      </c>
      <c r="Y25" s="31" t="s">
        <v>158</v>
      </c>
      <c r="Z25" s="31" t="s">
        <v>159</v>
      </c>
      <c r="AA25" s="31" t="s">
        <v>160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>
      <c r="A26" s="30" t="s">
        <v>146</v>
      </c>
      <c r="B26" s="32" t="s">
        <v>161</v>
      </c>
      <c r="C26" s="7">
        <v>6.381045278E9</v>
      </c>
      <c r="D26" s="6" t="s">
        <v>162</v>
      </c>
      <c r="E26" s="6" t="s">
        <v>163</v>
      </c>
      <c r="F26" s="6" t="s">
        <v>45</v>
      </c>
      <c r="G26" s="6" t="s">
        <v>27</v>
      </c>
      <c r="H26" s="30">
        <v>40000.0</v>
      </c>
      <c r="I26" s="30">
        <v>3000.0</v>
      </c>
      <c r="J26" s="33">
        <v>46084.0</v>
      </c>
      <c r="K26" s="25">
        <f t="shared" ref="K26:K33" si="6">sum(H26-O26)</f>
        <v>37000</v>
      </c>
      <c r="L26" s="6" t="s">
        <v>164</v>
      </c>
      <c r="M26" s="30" t="s">
        <v>71</v>
      </c>
      <c r="N26" s="10">
        <v>0.0</v>
      </c>
      <c r="O26" s="26">
        <f t="shared" ref="O26:O33" si="7">SUM(I26+N26)</f>
        <v>3000</v>
      </c>
      <c r="P26" s="34" t="s">
        <v>72</v>
      </c>
      <c r="Q26" s="34" t="s">
        <v>57</v>
      </c>
      <c r="R26" s="35"/>
      <c r="S26" s="10"/>
      <c r="T26" s="12"/>
      <c r="U26" s="4"/>
      <c r="V26" s="9" t="s">
        <v>49</v>
      </c>
      <c r="W26" s="4"/>
      <c r="X26" s="36" t="s">
        <v>147</v>
      </c>
      <c r="Y26" s="37" t="s">
        <v>165</v>
      </c>
      <c r="Z26" s="37">
        <v>7000.0</v>
      </c>
      <c r="AA26" s="37">
        <v>0.0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>
      <c r="A27" s="5" t="s">
        <v>22</v>
      </c>
      <c r="B27" s="6" t="s">
        <v>166</v>
      </c>
      <c r="C27" s="7">
        <v>8.940897825E9</v>
      </c>
      <c r="D27" s="6" t="s">
        <v>167</v>
      </c>
      <c r="E27" s="6" t="s">
        <v>168</v>
      </c>
      <c r="F27" s="6" t="s">
        <v>169</v>
      </c>
      <c r="G27" s="6" t="s">
        <v>54</v>
      </c>
      <c r="H27" s="30">
        <v>8000.0</v>
      </c>
      <c r="I27" s="30">
        <v>8000.0</v>
      </c>
      <c r="J27" s="33">
        <v>46091.0</v>
      </c>
      <c r="K27" s="25">
        <f t="shared" si="6"/>
        <v>0</v>
      </c>
      <c r="L27" s="6" t="s">
        <v>170</v>
      </c>
      <c r="M27" s="30" t="s">
        <v>56</v>
      </c>
      <c r="N27" s="10">
        <v>0.0</v>
      </c>
      <c r="O27" s="26">
        <f t="shared" si="7"/>
        <v>8000</v>
      </c>
      <c r="P27" s="34" t="s">
        <v>30</v>
      </c>
      <c r="Q27" s="34" t="s">
        <v>57</v>
      </c>
      <c r="R27" s="35"/>
      <c r="S27" s="10" t="s">
        <v>59</v>
      </c>
      <c r="T27" s="12"/>
      <c r="U27" s="4"/>
      <c r="V27" s="9" t="s">
        <v>98</v>
      </c>
      <c r="W27" s="9" t="s">
        <v>171</v>
      </c>
      <c r="X27" s="36" t="s">
        <v>152</v>
      </c>
      <c r="Y27" s="37" t="s">
        <v>172</v>
      </c>
      <c r="Z27" s="37">
        <v>3000.0</v>
      </c>
      <c r="AA27" s="37">
        <v>0.0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>
      <c r="A28" s="30" t="s">
        <v>146</v>
      </c>
      <c r="B28" s="6" t="s">
        <v>173</v>
      </c>
      <c r="C28" s="7">
        <v>8.015353241E9</v>
      </c>
      <c r="D28" s="6" t="s">
        <v>174</v>
      </c>
      <c r="E28" s="6" t="s">
        <v>175</v>
      </c>
      <c r="F28" s="6" t="s">
        <v>169</v>
      </c>
      <c r="G28" s="6" t="s">
        <v>54</v>
      </c>
      <c r="H28" s="30">
        <v>8000.0</v>
      </c>
      <c r="I28" s="30">
        <v>8000.0</v>
      </c>
      <c r="J28" s="33">
        <v>46091.0</v>
      </c>
      <c r="K28" s="25">
        <f t="shared" si="6"/>
        <v>0</v>
      </c>
      <c r="L28" s="6" t="s">
        <v>170</v>
      </c>
      <c r="M28" s="30" t="s">
        <v>56</v>
      </c>
      <c r="N28" s="10">
        <v>0.0</v>
      </c>
      <c r="O28" s="26">
        <f t="shared" si="7"/>
        <v>8000</v>
      </c>
      <c r="P28" s="34" t="s">
        <v>30</v>
      </c>
      <c r="Q28" s="34" t="s">
        <v>57</v>
      </c>
      <c r="R28" s="35"/>
      <c r="S28" s="10" t="s">
        <v>59</v>
      </c>
      <c r="T28" s="12"/>
      <c r="U28" s="4"/>
      <c r="V28" s="9" t="s">
        <v>98</v>
      </c>
      <c r="W28" s="9" t="s">
        <v>171</v>
      </c>
      <c r="X28" s="36" t="s">
        <v>176</v>
      </c>
      <c r="Y28" s="37" t="s">
        <v>71</v>
      </c>
      <c r="Z28" s="37">
        <v>10000.0</v>
      </c>
      <c r="AA28" s="37">
        <v>17000.0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>
      <c r="A29" s="5" t="s">
        <v>22</v>
      </c>
      <c r="B29" s="6" t="s">
        <v>177</v>
      </c>
      <c r="C29" s="7">
        <v>8.122504513E9</v>
      </c>
      <c r="D29" s="6" t="s">
        <v>178</v>
      </c>
      <c r="E29" s="6" t="s">
        <v>179</v>
      </c>
      <c r="F29" s="6" t="s">
        <v>180</v>
      </c>
      <c r="G29" s="6" t="s">
        <v>27</v>
      </c>
      <c r="H29" s="30">
        <v>25000.0</v>
      </c>
      <c r="I29" s="30">
        <v>3000.0</v>
      </c>
      <c r="J29" s="33">
        <v>46091.0</v>
      </c>
      <c r="K29" s="38">
        <f t="shared" si="6"/>
        <v>22000</v>
      </c>
      <c r="L29" s="6" t="s">
        <v>181</v>
      </c>
      <c r="M29" s="30" t="s">
        <v>71</v>
      </c>
      <c r="N29" s="10">
        <v>0.0</v>
      </c>
      <c r="O29" s="26">
        <f t="shared" si="7"/>
        <v>3000</v>
      </c>
      <c r="P29" s="34" t="s">
        <v>30</v>
      </c>
      <c r="Q29" s="34" t="s">
        <v>57</v>
      </c>
      <c r="R29" s="35"/>
      <c r="S29" s="10"/>
      <c r="T29" s="12"/>
      <c r="U29" s="4"/>
      <c r="V29" s="9" t="s">
        <v>34</v>
      </c>
      <c r="W29" s="4"/>
      <c r="X29" s="36" t="s">
        <v>121</v>
      </c>
      <c r="Y29" s="37" t="s">
        <v>71</v>
      </c>
      <c r="Z29" s="37">
        <v>5000.0</v>
      </c>
      <c r="AA29" s="37">
        <v>0.0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>
      <c r="A30" s="30" t="s">
        <v>146</v>
      </c>
      <c r="B30" s="6" t="s">
        <v>182</v>
      </c>
      <c r="C30" s="13">
        <v>9.003920156E9</v>
      </c>
      <c r="D30" s="6" t="s">
        <v>183</v>
      </c>
      <c r="E30" s="9" t="s">
        <v>184</v>
      </c>
      <c r="F30" s="6" t="s">
        <v>185</v>
      </c>
      <c r="G30" s="6" t="s">
        <v>113</v>
      </c>
      <c r="H30" s="30">
        <v>25000.0</v>
      </c>
      <c r="I30" s="30">
        <v>12500.0</v>
      </c>
      <c r="J30" s="33">
        <v>46092.0</v>
      </c>
      <c r="K30" s="25">
        <f t="shared" si="6"/>
        <v>12500</v>
      </c>
      <c r="L30" s="6" t="s">
        <v>186</v>
      </c>
      <c r="M30" s="30" t="s">
        <v>71</v>
      </c>
      <c r="N30" s="10">
        <v>0.0</v>
      </c>
      <c r="O30" s="26">
        <f t="shared" si="7"/>
        <v>12500</v>
      </c>
      <c r="P30" s="34" t="s">
        <v>30</v>
      </c>
      <c r="Q30" s="34" t="s">
        <v>57</v>
      </c>
      <c r="R30" s="35"/>
      <c r="S30" s="10"/>
      <c r="T30" s="12"/>
      <c r="U30" s="4"/>
      <c r="V30" s="9" t="s">
        <v>49</v>
      </c>
      <c r="W30" s="4"/>
      <c r="X30" s="36" t="s">
        <v>66</v>
      </c>
      <c r="Y30" s="37" t="s">
        <v>71</v>
      </c>
      <c r="Z30" s="37">
        <v>11000.0</v>
      </c>
      <c r="AA30" s="37">
        <v>0.0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>
      <c r="A31" s="30" t="s">
        <v>146</v>
      </c>
      <c r="B31" s="6" t="s">
        <v>187</v>
      </c>
      <c r="C31" s="7">
        <v>7.904086132E9</v>
      </c>
      <c r="D31" s="6" t="s">
        <v>188</v>
      </c>
      <c r="E31" s="6" t="s">
        <v>189</v>
      </c>
      <c r="F31" s="6" t="s">
        <v>190</v>
      </c>
      <c r="G31" s="6" t="s">
        <v>54</v>
      </c>
      <c r="H31" s="30">
        <v>20000.0</v>
      </c>
      <c r="I31" s="30">
        <v>20000.0</v>
      </c>
      <c r="J31" s="33">
        <v>46094.0</v>
      </c>
      <c r="K31" s="25">
        <f t="shared" si="6"/>
        <v>0</v>
      </c>
      <c r="L31" s="6" t="s">
        <v>191</v>
      </c>
      <c r="M31" s="30" t="s">
        <v>56</v>
      </c>
      <c r="N31" s="10">
        <v>0.0</v>
      </c>
      <c r="O31" s="26">
        <f t="shared" si="7"/>
        <v>20000</v>
      </c>
      <c r="P31" s="34" t="s">
        <v>30</v>
      </c>
      <c r="Q31" s="34" t="s">
        <v>57</v>
      </c>
      <c r="R31" s="35"/>
      <c r="S31" s="10"/>
      <c r="T31" s="12"/>
      <c r="U31" s="4"/>
      <c r="V31" s="9" t="s">
        <v>98</v>
      </c>
      <c r="W31" s="4"/>
      <c r="X31" s="36" t="s">
        <v>192</v>
      </c>
      <c r="Y31" s="37" t="s">
        <v>71</v>
      </c>
      <c r="Z31" s="37">
        <v>4375.0</v>
      </c>
      <c r="AA31" s="37">
        <v>30625.0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>
      <c r="A32" s="5" t="s">
        <v>22</v>
      </c>
      <c r="B32" s="6" t="s">
        <v>193</v>
      </c>
      <c r="C32" s="7">
        <v>8.015028972E9</v>
      </c>
      <c r="D32" s="6" t="s">
        <v>194</v>
      </c>
      <c r="E32" s="6" t="s">
        <v>195</v>
      </c>
      <c r="F32" s="6" t="s">
        <v>38</v>
      </c>
      <c r="G32" s="6" t="s">
        <v>113</v>
      </c>
      <c r="H32" s="30">
        <v>39000.0</v>
      </c>
      <c r="I32" s="30">
        <v>10000.0</v>
      </c>
      <c r="J32" s="33">
        <v>46094.0</v>
      </c>
      <c r="K32" s="25">
        <f t="shared" si="6"/>
        <v>14000</v>
      </c>
      <c r="L32" s="6" t="s">
        <v>196</v>
      </c>
      <c r="M32" s="30" t="s">
        <v>71</v>
      </c>
      <c r="N32" s="10">
        <v>15000.0</v>
      </c>
      <c r="O32" s="26">
        <f t="shared" si="7"/>
        <v>25000</v>
      </c>
      <c r="P32" s="34" t="s">
        <v>30</v>
      </c>
      <c r="Q32" s="34" t="s">
        <v>57</v>
      </c>
      <c r="R32" s="39" t="s">
        <v>197</v>
      </c>
      <c r="S32" s="10" t="s">
        <v>40</v>
      </c>
      <c r="T32" s="11">
        <v>46097.0</v>
      </c>
      <c r="U32" s="4"/>
      <c r="V32" s="9" t="s">
        <v>49</v>
      </c>
      <c r="W32" s="4"/>
      <c r="X32" s="36" t="s">
        <v>198</v>
      </c>
      <c r="Y32" s="37" t="s">
        <v>71</v>
      </c>
      <c r="Z32" s="40">
        <v>10000.0</v>
      </c>
      <c r="AA32" s="40">
        <v>10000.0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>
      <c r="A33" s="30" t="s">
        <v>146</v>
      </c>
      <c r="B33" s="6" t="s">
        <v>199</v>
      </c>
      <c r="C33" s="13">
        <v>9.164350087E9</v>
      </c>
      <c r="D33" s="6" t="s">
        <v>200</v>
      </c>
      <c r="E33" s="6" t="s">
        <v>201</v>
      </c>
      <c r="F33" s="6" t="s">
        <v>185</v>
      </c>
      <c r="G33" s="6" t="s">
        <v>27</v>
      </c>
      <c r="H33" s="30">
        <v>28000.0</v>
      </c>
      <c r="I33" s="30">
        <v>5000.0</v>
      </c>
      <c r="J33" s="33">
        <v>46105.0</v>
      </c>
      <c r="K33" s="25">
        <f t="shared" si="6"/>
        <v>23000</v>
      </c>
      <c r="L33" s="6" t="s">
        <v>202</v>
      </c>
      <c r="M33" s="30" t="s">
        <v>71</v>
      </c>
      <c r="N33" s="10">
        <v>0.0</v>
      </c>
      <c r="O33" s="26">
        <f t="shared" si="7"/>
        <v>5000</v>
      </c>
      <c r="P33" s="34" t="s">
        <v>30</v>
      </c>
      <c r="Q33" s="34" t="s">
        <v>57</v>
      </c>
      <c r="R33" s="35"/>
      <c r="S33" s="10"/>
      <c r="T33" s="12"/>
      <c r="U33" s="4"/>
      <c r="V33" s="9" t="s">
        <v>98</v>
      </c>
      <c r="W33" s="4"/>
      <c r="X33" s="36" t="s">
        <v>116</v>
      </c>
      <c r="Y33" s="37" t="s">
        <v>71</v>
      </c>
      <c r="Z33" s="41">
        <v>15000.0</v>
      </c>
      <c r="AA33" s="41">
        <v>10000.0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>
      <c r="A34" s="15">
        <v>46113.0</v>
      </c>
      <c r="D34" s="15"/>
      <c r="E34" s="15"/>
      <c r="F34" s="15"/>
      <c r="G34" s="15"/>
      <c r="H34" s="16">
        <f t="shared" ref="H34:I34" si="8">sum(H26:H33)</f>
        <v>193000</v>
      </c>
      <c r="I34" s="16">
        <f t="shared" si="8"/>
        <v>69500</v>
      </c>
      <c r="J34" s="17"/>
      <c r="K34" s="18">
        <f>sum(K26:K33)</f>
        <v>108500</v>
      </c>
      <c r="L34" s="19"/>
      <c r="M34" s="17"/>
      <c r="N34" s="20">
        <f t="shared" ref="N34:O34" si="9">sum(N26:N33)</f>
        <v>15000</v>
      </c>
      <c r="O34" s="20">
        <f t="shared" si="9"/>
        <v>84500</v>
      </c>
      <c r="P34" s="17"/>
      <c r="Q34" s="17"/>
      <c r="R34" s="16"/>
      <c r="S34" s="16"/>
      <c r="T34" s="16"/>
      <c r="U34" s="21"/>
      <c r="V34" s="21"/>
      <c r="W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>
      <c r="A35" s="30" t="s">
        <v>146</v>
      </c>
      <c r="B35" s="6" t="s">
        <v>203</v>
      </c>
      <c r="C35" s="7">
        <v>7.708509982E9</v>
      </c>
      <c r="D35" s="6" t="s">
        <v>204</v>
      </c>
      <c r="E35" s="6" t="s">
        <v>205</v>
      </c>
      <c r="F35" s="6" t="s">
        <v>38</v>
      </c>
      <c r="G35" s="6" t="s">
        <v>113</v>
      </c>
      <c r="H35" s="30">
        <v>20000.0</v>
      </c>
      <c r="I35" s="30">
        <v>7000.0</v>
      </c>
      <c r="J35" s="30" t="s">
        <v>206</v>
      </c>
      <c r="K35" s="25">
        <f t="shared" ref="K35:K58" si="10">sum(H35-O35)</f>
        <v>8000</v>
      </c>
      <c r="L35" s="6" t="s">
        <v>207</v>
      </c>
      <c r="M35" s="30" t="s">
        <v>71</v>
      </c>
      <c r="N35" s="10">
        <v>5000.0</v>
      </c>
      <c r="O35" s="26">
        <f t="shared" ref="O35:O39" si="11">SUM(I35+N35)</f>
        <v>12000</v>
      </c>
      <c r="P35" s="34" t="s">
        <v>72</v>
      </c>
      <c r="Q35" s="34" t="s">
        <v>31</v>
      </c>
      <c r="R35" s="42" t="s">
        <v>208</v>
      </c>
      <c r="S35" s="10" t="s">
        <v>40</v>
      </c>
      <c r="T35" s="11">
        <v>46130.0</v>
      </c>
      <c r="U35" s="4"/>
      <c r="V35" s="9" t="s">
        <v>49</v>
      </c>
      <c r="W35" s="4"/>
      <c r="X35" s="31" t="s">
        <v>157</v>
      </c>
      <c r="Y35" s="31" t="s">
        <v>158</v>
      </c>
      <c r="Z35" s="31" t="s">
        <v>159</v>
      </c>
      <c r="AA35" s="31" t="s">
        <v>160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>
      <c r="A36" s="5" t="s">
        <v>22</v>
      </c>
      <c r="B36" s="6" t="s">
        <v>209</v>
      </c>
      <c r="C36" s="13">
        <v>9.361071343E9</v>
      </c>
      <c r="D36" s="6" t="s">
        <v>210</v>
      </c>
      <c r="E36" s="6" t="s">
        <v>211</v>
      </c>
      <c r="F36" s="6" t="s">
        <v>185</v>
      </c>
      <c r="G36" s="6" t="s">
        <v>113</v>
      </c>
      <c r="H36" s="30">
        <v>20000.0</v>
      </c>
      <c r="I36" s="30">
        <v>10000.0</v>
      </c>
      <c r="J36" s="33">
        <v>46118.0</v>
      </c>
      <c r="K36" s="25">
        <f t="shared" si="10"/>
        <v>5000</v>
      </c>
      <c r="L36" s="6" t="s">
        <v>212</v>
      </c>
      <c r="M36" s="30" t="s">
        <v>71</v>
      </c>
      <c r="N36" s="10">
        <v>5000.0</v>
      </c>
      <c r="O36" s="26">
        <f t="shared" si="11"/>
        <v>15000</v>
      </c>
      <c r="P36" s="34" t="s">
        <v>30</v>
      </c>
      <c r="Q36" s="34" t="s">
        <v>31</v>
      </c>
      <c r="R36" s="42" t="s">
        <v>213</v>
      </c>
      <c r="S36" s="10" t="s">
        <v>32</v>
      </c>
      <c r="T36" s="12"/>
      <c r="U36" s="4"/>
      <c r="V36" s="9" t="s">
        <v>60</v>
      </c>
      <c r="W36" s="4"/>
      <c r="X36" s="36" t="s">
        <v>198</v>
      </c>
      <c r="Y36" s="37" t="s">
        <v>71</v>
      </c>
      <c r="Z36" s="40">
        <v>10000.0</v>
      </c>
      <c r="AA36" s="40">
        <v>0.0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>
      <c r="A37" s="5" t="s">
        <v>22</v>
      </c>
      <c r="B37" s="6" t="s">
        <v>214</v>
      </c>
      <c r="C37" s="7">
        <v>9.600478179E9</v>
      </c>
      <c r="D37" s="6" t="s">
        <v>215</v>
      </c>
      <c r="E37" s="6" t="s">
        <v>216</v>
      </c>
      <c r="F37" s="6" t="s">
        <v>108</v>
      </c>
      <c r="G37" s="6" t="s">
        <v>27</v>
      </c>
      <c r="H37" s="30">
        <v>25999.0</v>
      </c>
      <c r="I37" s="30">
        <v>5999.0</v>
      </c>
      <c r="J37" s="33">
        <v>46120.0</v>
      </c>
      <c r="K37" s="25">
        <f t="shared" si="10"/>
        <v>0</v>
      </c>
      <c r="L37" s="6" t="s">
        <v>217</v>
      </c>
      <c r="M37" s="30" t="s">
        <v>71</v>
      </c>
      <c r="N37" s="10">
        <v>20000.0</v>
      </c>
      <c r="O37" s="26">
        <f t="shared" si="11"/>
        <v>25999</v>
      </c>
      <c r="P37" s="34" t="s">
        <v>30</v>
      </c>
      <c r="Q37" s="34" t="s">
        <v>57</v>
      </c>
      <c r="R37" s="42" t="s">
        <v>218</v>
      </c>
      <c r="S37" s="10" t="s">
        <v>59</v>
      </c>
      <c r="T37" s="11">
        <v>46132.0</v>
      </c>
      <c r="U37" s="4"/>
      <c r="V37" s="9" t="s">
        <v>49</v>
      </c>
      <c r="W37" s="4"/>
      <c r="X37" s="36" t="s">
        <v>116</v>
      </c>
      <c r="Y37" s="37" t="s">
        <v>71</v>
      </c>
      <c r="Z37" s="37">
        <v>10000.0</v>
      </c>
      <c r="AA37" s="37">
        <v>0.0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>
      <c r="A38" s="30" t="s">
        <v>146</v>
      </c>
      <c r="B38" s="6" t="s">
        <v>219</v>
      </c>
      <c r="C38" s="7">
        <v>7.708567881E9</v>
      </c>
      <c r="D38" s="6" t="s">
        <v>220</v>
      </c>
      <c r="E38" s="6" t="s">
        <v>221</v>
      </c>
      <c r="F38" s="6" t="s">
        <v>38</v>
      </c>
      <c r="G38" s="6" t="s">
        <v>27</v>
      </c>
      <c r="H38" s="30">
        <v>34229.0</v>
      </c>
      <c r="I38" s="30">
        <v>15000.0</v>
      </c>
      <c r="J38" s="33">
        <v>46127.0</v>
      </c>
      <c r="K38" s="25">
        <f t="shared" si="10"/>
        <v>3000</v>
      </c>
      <c r="L38" s="6" t="s">
        <v>222</v>
      </c>
      <c r="M38" s="30" t="s">
        <v>71</v>
      </c>
      <c r="N38" s="10">
        <v>16229.0</v>
      </c>
      <c r="O38" s="26">
        <f t="shared" si="11"/>
        <v>31229</v>
      </c>
      <c r="P38" s="34" t="s">
        <v>30</v>
      </c>
      <c r="Q38" s="34" t="s">
        <v>31</v>
      </c>
      <c r="R38" s="42" t="s">
        <v>223</v>
      </c>
      <c r="S38" s="10" t="s">
        <v>224</v>
      </c>
      <c r="T38" s="12"/>
      <c r="U38" s="4"/>
      <c r="V38" s="9" t="s">
        <v>49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>
      <c r="A39" s="30" t="s">
        <v>225</v>
      </c>
      <c r="B39" s="6" t="s">
        <v>226</v>
      </c>
      <c r="C39" s="7">
        <v>8.248758141E9</v>
      </c>
      <c r="D39" s="6" t="s">
        <v>227</v>
      </c>
      <c r="E39" s="6" t="s">
        <v>228</v>
      </c>
      <c r="F39" s="6" t="s">
        <v>180</v>
      </c>
      <c r="G39" s="6" t="s">
        <v>113</v>
      </c>
      <c r="H39" s="30">
        <v>18000.0</v>
      </c>
      <c r="I39" s="30">
        <v>5000.0</v>
      </c>
      <c r="J39" s="33">
        <v>46129.0</v>
      </c>
      <c r="K39" s="25">
        <f t="shared" si="10"/>
        <v>0</v>
      </c>
      <c r="L39" s="6" t="s">
        <v>229</v>
      </c>
      <c r="M39" s="30" t="s">
        <v>71</v>
      </c>
      <c r="N39" s="10">
        <v>13000.0</v>
      </c>
      <c r="O39" s="26">
        <f t="shared" si="11"/>
        <v>18000</v>
      </c>
      <c r="P39" s="34" t="s">
        <v>30</v>
      </c>
      <c r="Q39" s="34" t="s">
        <v>57</v>
      </c>
      <c r="R39" s="43"/>
      <c r="S39" s="10" t="s">
        <v>230</v>
      </c>
      <c r="T39" s="12"/>
      <c r="U39" s="4"/>
      <c r="V39" s="9" t="s">
        <v>49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>
      <c r="A40" s="15">
        <v>46143.0</v>
      </c>
      <c r="D40" s="15"/>
      <c r="E40" s="15"/>
      <c r="F40" s="15"/>
      <c r="G40" s="15"/>
      <c r="H40" s="16">
        <f t="shared" ref="H40:I40" si="12">sum(H35:H39)</f>
        <v>118228</v>
      </c>
      <c r="I40" s="16">
        <f t="shared" si="12"/>
        <v>42999</v>
      </c>
      <c r="J40" s="17"/>
      <c r="K40" s="18">
        <f t="shared" si="10"/>
        <v>16000</v>
      </c>
      <c r="L40" s="19"/>
      <c r="M40" s="17"/>
      <c r="N40" s="3">
        <v>0.0</v>
      </c>
      <c r="O40" s="20">
        <f>sum(O35:O39)</f>
        <v>102228</v>
      </c>
      <c r="P40" s="17"/>
      <c r="Q40" s="17"/>
      <c r="R40" s="16"/>
      <c r="S40" s="16"/>
      <c r="T40" s="16"/>
      <c r="U40" s="21"/>
      <c r="V40" s="21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>
      <c r="A41" s="30" t="s">
        <v>22</v>
      </c>
      <c r="B41" s="44" t="s">
        <v>231</v>
      </c>
      <c r="C41" s="7">
        <v>9.514948711E9</v>
      </c>
      <c r="D41" s="6" t="s">
        <v>232</v>
      </c>
      <c r="E41" s="6" t="s">
        <v>233</v>
      </c>
      <c r="F41" s="6" t="s">
        <v>38</v>
      </c>
      <c r="G41" s="6" t="s">
        <v>46</v>
      </c>
      <c r="H41" s="30">
        <v>40000.0</v>
      </c>
      <c r="I41" s="30">
        <v>5000.0</v>
      </c>
      <c r="J41" s="33">
        <v>46149.0</v>
      </c>
      <c r="K41" s="25">
        <f t="shared" si="10"/>
        <v>8063</v>
      </c>
      <c r="L41" s="6" t="s">
        <v>234</v>
      </c>
      <c r="M41" s="30" t="s">
        <v>29</v>
      </c>
      <c r="N41" s="10">
        <v>26937.0</v>
      </c>
      <c r="O41" s="26">
        <f t="shared" ref="O41:O58" si="13">SUM(I41+N41)</f>
        <v>31937</v>
      </c>
      <c r="P41" s="34" t="s">
        <v>30</v>
      </c>
      <c r="Q41" s="34" t="s">
        <v>57</v>
      </c>
      <c r="R41" s="42" t="s">
        <v>235</v>
      </c>
      <c r="S41" s="10" t="s">
        <v>40</v>
      </c>
      <c r="T41" s="11">
        <v>46160.0</v>
      </c>
      <c r="U41" s="4"/>
      <c r="V41" s="9" t="s">
        <v>49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>
      <c r="A42" s="30" t="s">
        <v>22</v>
      </c>
      <c r="B42" s="45" t="s">
        <v>236</v>
      </c>
      <c r="C42" s="7">
        <v>8.122331887E9</v>
      </c>
      <c r="D42" s="6" t="s">
        <v>237</v>
      </c>
      <c r="E42" s="6" t="s">
        <v>238</v>
      </c>
      <c r="F42" s="6" t="s">
        <v>38</v>
      </c>
      <c r="G42" s="6" t="s">
        <v>113</v>
      </c>
      <c r="H42" s="30">
        <v>35000.0</v>
      </c>
      <c r="I42" s="30">
        <v>5000.0</v>
      </c>
      <c r="J42" s="33">
        <v>46151.0</v>
      </c>
      <c r="K42" s="25">
        <f t="shared" si="10"/>
        <v>30000</v>
      </c>
      <c r="L42" s="6" t="s">
        <v>239</v>
      </c>
      <c r="M42" s="30" t="s">
        <v>71</v>
      </c>
      <c r="N42" s="10">
        <v>0.0</v>
      </c>
      <c r="O42" s="26">
        <f t="shared" si="13"/>
        <v>5000</v>
      </c>
      <c r="P42" s="34" t="s">
        <v>30</v>
      </c>
      <c r="Q42" s="34" t="s">
        <v>31</v>
      </c>
      <c r="R42" s="42"/>
      <c r="S42" s="10" t="s">
        <v>40</v>
      </c>
      <c r="T42" s="11"/>
      <c r="U42" s="4"/>
      <c r="V42" s="9" t="s">
        <v>49</v>
      </c>
      <c r="W42" s="4"/>
      <c r="X42" s="31" t="s">
        <v>157</v>
      </c>
      <c r="Y42" s="31" t="s">
        <v>158</v>
      </c>
      <c r="Z42" s="31" t="s">
        <v>159</v>
      </c>
      <c r="AA42" s="31" t="s">
        <v>160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>
      <c r="A43" s="30" t="s">
        <v>22</v>
      </c>
      <c r="B43" s="44" t="s">
        <v>240</v>
      </c>
      <c r="C43" s="7">
        <v>9.095617579E9</v>
      </c>
      <c r="D43" s="6" t="s">
        <v>241</v>
      </c>
      <c r="E43" s="6" t="s">
        <v>242</v>
      </c>
      <c r="F43" s="6" t="s">
        <v>38</v>
      </c>
      <c r="G43" s="6" t="s">
        <v>46</v>
      </c>
      <c r="H43" s="30">
        <v>35000.0</v>
      </c>
      <c r="I43" s="30">
        <v>5000.0</v>
      </c>
      <c r="J43" s="33">
        <v>46152.0</v>
      </c>
      <c r="K43" s="25">
        <f t="shared" si="10"/>
        <v>6632</v>
      </c>
      <c r="L43" s="6" t="s">
        <v>243</v>
      </c>
      <c r="M43" s="30" t="s">
        <v>29</v>
      </c>
      <c r="N43" s="10">
        <v>23368.0</v>
      </c>
      <c r="O43" s="26">
        <f t="shared" si="13"/>
        <v>28368</v>
      </c>
      <c r="P43" s="34" t="s">
        <v>30</v>
      </c>
      <c r="Q43" s="34" t="s">
        <v>31</v>
      </c>
      <c r="R43" s="42" t="s">
        <v>244</v>
      </c>
      <c r="S43" s="10" t="s">
        <v>40</v>
      </c>
      <c r="T43" s="11">
        <v>46155.0</v>
      </c>
      <c r="U43" s="4"/>
      <c r="V43" s="9" t="s">
        <v>49</v>
      </c>
      <c r="W43" s="4"/>
      <c r="X43" s="36" t="s">
        <v>245</v>
      </c>
      <c r="Y43" s="37" t="s">
        <v>71</v>
      </c>
      <c r="Z43" s="37">
        <v>15000.0</v>
      </c>
      <c r="AA43" s="37">
        <v>14000.0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>
      <c r="A44" s="30" t="s">
        <v>22</v>
      </c>
      <c r="B44" s="45" t="s">
        <v>246</v>
      </c>
      <c r="C44" s="7">
        <v>8.681810622E9</v>
      </c>
      <c r="D44" s="6" t="s">
        <v>247</v>
      </c>
      <c r="E44" s="6" t="s">
        <v>248</v>
      </c>
      <c r="F44" s="6" t="s">
        <v>38</v>
      </c>
      <c r="G44" s="6" t="s">
        <v>46</v>
      </c>
      <c r="H44" s="30">
        <v>35000.0</v>
      </c>
      <c r="I44" s="30">
        <v>5000.0</v>
      </c>
      <c r="J44" s="33">
        <v>46161.0</v>
      </c>
      <c r="K44" s="25">
        <f t="shared" si="10"/>
        <v>30000</v>
      </c>
      <c r="L44" s="6" t="s">
        <v>249</v>
      </c>
      <c r="M44" s="30" t="s">
        <v>29</v>
      </c>
      <c r="N44" s="10">
        <v>0.0</v>
      </c>
      <c r="O44" s="26">
        <f t="shared" si="13"/>
        <v>5000</v>
      </c>
      <c r="P44" s="34" t="s">
        <v>30</v>
      </c>
      <c r="Q44" s="34" t="s">
        <v>31</v>
      </c>
      <c r="R44" s="42" t="s">
        <v>250</v>
      </c>
      <c r="S44" s="10" t="s">
        <v>40</v>
      </c>
      <c r="T44" s="11">
        <v>46167.0</v>
      </c>
      <c r="U44" s="4"/>
      <c r="V44" s="9" t="s">
        <v>49</v>
      </c>
      <c r="W44" s="4"/>
      <c r="X44" s="36" t="s">
        <v>214</v>
      </c>
      <c r="Y44" s="37" t="s">
        <v>71</v>
      </c>
      <c r="Z44" s="37">
        <v>10000.0</v>
      </c>
      <c r="AA44" s="37">
        <v>10000.0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>
      <c r="A45" s="30" t="s">
        <v>22</v>
      </c>
      <c r="B45" s="45" t="s">
        <v>251</v>
      </c>
      <c r="C45" s="7">
        <v>8.300763604E9</v>
      </c>
      <c r="D45" s="6" t="s">
        <v>252</v>
      </c>
      <c r="E45" s="6" t="s">
        <v>253</v>
      </c>
      <c r="F45" s="6" t="s">
        <v>180</v>
      </c>
      <c r="G45" s="6" t="s">
        <v>46</v>
      </c>
      <c r="H45" s="30">
        <v>22000.0</v>
      </c>
      <c r="I45" s="30">
        <v>5000.0</v>
      </c>
      <c r="J45" s="33">
        <v>46162.0</v>
      </c>
      <c r="K45" s="25">
        <f t="shared" si="10"/>
        <v>17000</v>
      </c>
      <c r="L45" s="6" t="s">
        <v>254</v>
      </c>
      <c r="M45" s="30" t="s">
        <v>71</v>
      </c>
      <c r="N45" s="10">
        <v>0.0</v>
      </c>
      <c r="O45" s="26">
        <f t="shared" si="13"/>
        <v>5000</v>
      </c>
      <c r="P45" s="34" t="s">
        <v>30</v>
      </c>
      <c r="Q45" s="34" t="s">
        <v>57</v>
      </c>
      <c r="R45" s="43"/>
      <c r="S45" s="10" t="s">
        <v>230</v>
      </c>
      <c r="T45" s="11">
        <v>46168.0</v>
      </c>
      <c r="U45" s="4"/>
      <c r="V45" s="9" t="s">
        <v>49</v>
      </c>
      <c r="W45" s="4"/>
      <c r="X45" s="36" t="s">
        <v>226</v>
      </c>
      <c r="Y45" s="37" t="s">
        <v>71</v>
      </c>
      <c r="Z45" s="37">
        <v>13000.0</v>
      </c>
      <c r="AA45" s="37">
        <v>0.0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>
      <c r="A46" s="30" t="s">
        <v>146</v>
      </c>
      <c r="B46" s="45" t="s">
        <v>255</v>
      </c>
      <c r="C46" s="7">
        <v>8.300550467E9</v>
      </c>
      <c r="D46" s="6" t="s">
        <v>256</v>
      </c>
      <c r="E46" s="6" t="s">
        <v>257</v>
      </c>
      <c r="F46" s="6" t="s">
        <v>69</v>
      </c>
      <c r="G46" s="6" t="s">
        <v>54</v>
      </c>
      <c r="H46" s="30">
        <v>45000.0</v>
      </c>
      <c r="I46" s="30">
        <v>2000.0</v>
      </c>
      <c r="J46" s="33">
        <v>46165.0</v>
      </c>
      <c r="K46" s="25">
        <f t="shared" si="10"/>
        <v>0</v>
      </c>
      <c r="L46" s="6" t="s">
        <v>258</v>
      </c>
      <c r="M46" s="30" t="s">
        <v>71</v>
      </c>
      <c r="N46" s="10">
        <v>43000.0</v>
      </c>
      <c r="O46" s="26">
        <f t="shared" si="13"/>
        <v>45000</v>
      </c>
      <c r="P46" s="34" t="s">
        <v>30</v>
      </c>
      <c r="Q46" s="34" t="s">
        <v>57</v>
      </c>
      <c r="R46" s="42" t="s">
        <v>259</v>
      </c>
      <c r="S46" s="10" t="s">
        <v>59</v>
      </c>
      <c r="T46" s="11">
        <v>46169.0</v>
      </c>
      <c r="U46" s="4"/>
      <c r="V46" s="9" t="s">
        <v>49</v>
      </c>
      <c r="W46" s="4"/>
      <c r="X46" s="36" t="s">
        <v>260</v>
      </c>
      <c r="Y46" s="37" t="s">
        <v>71</v>
      </c>
      <c r="Z46" s="37">
        <v>10000.0</v>
      </c>
      <c r="AA46" s="37">
        <v>3000.0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>
      <c r="A47" s="30" t="s">
        <v>22</v>
      </c>
      <c r="B47" s="44" t="s">
        <v>261</v>
      </c>
      <c r="C47" s="7">
        <v>7.603959868E9</v>
      </c>
      <c r="D47" s="6" t="s">
        <v>262</v>
      </c>
      <c r="E47" s="6" t="s">
        <v>263</v>
      </c>
      <c r="F47" s="6" t="s">
        <v>38</v>
      </c>
      <c r="G47" s="6" t="s">
        <v>46</v>
      </c>
      <c r="H47" s="30">
        <v>35000.0</v>
      </c>
      <c r="I47" s="30">
        <v>5000.0</v>
      </c>
      <c r="J47" s="33">
        <v>46166.0</v>
      </c>
      <c r="K47" s="25">
        <f t="shared" si="10"/>
        <v>6053</v>
      </c>
      <c r="L47" s="6" t="s">
        <v>264</v>
      </c>
      <c r="M47" s="30" t="s">
        <v>29</v>
      </c>
      <c r="N47" s="10">
        <v>23947.0</v>
      </c>
      <c r="O47" s="26">
        <f t="shared" si="13"/>
        <v>28947</v>
      </c>
      <c r="P47" s="34" t="s">
        <v>30</v>
      </c>
      <c r="Q47" s="34" t="s">
        <v>31</v>
      </c>
      <c r="R47" s="42" t="s">
        <v>265</v>
      </c>
      <c r="S47" s="10" t="s">
        <v>224</v>
      </c>
      <c r="T47" s="11">
        <v>46171.0</v>
      </c>
      <c r="U47" s="4"/>
      <c r="V47" s="9" t="s">
        <v>49</v>
      </c>
      <c r="W47" s="4"/>
      <c r="X47" s="36" t="s">
        <v>209</v>
      </c>
      <c r="Y47" s="37" t="s">
        <v>71</v>
      </c>
      <c r="Z47" s="37">
        <v>5000.0</v>
      </c>
      <c r="AA47" s="37">
        <v>5000.0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>
      <c r="A48" s="30" t="s">
        <v>22</v>
      </c>
      <c r="B48" s="45" t="s">
        <v>266</v>
      </c>
      <c r="C48" s="7">
        <v>8.610024816E9</v>
      </c>
      <c r="D48" s="6" t="s">
        <v>267</v>
      </c>
      <c r="E48" s="6" t="s">
        <v>268</v>
      </c>
      <c r="F48" s="6" t="s">
        <v>38</v>
      </c>
      <c r="G48" s="6" t="s">
        <v>113</v>
      </c>
      <c r="H48" s="30">
        <v>35000.0</v>
      </c>
      <c r="I48" s="30">
        <v>5000.0</v>
      </c>
      <c r="J48" s="33">
        <v>46166.0</v>
      </c>
      <c r="K48" s="25">
        <f t="shared" si="10"/>
        <v>30000</v>
      </c>
      <c r="L48" s="6" t="s">
        <v>269</v>
      </c>
      <c r="M48" s="30" t="s">
        <v>71</v>
      </c>
      <c r="N48" s="10">
        <v>0.0</v>
      </c>
      <c r="O48" s="26">
        <f t="shared" si="13"/>
        <v>5000</v>
      </c>
      <c r="P48" s="34" t="s">
        <v>30</v>
      </c>
      <c r="Q48" s="34" t="s">
        <v>31</v>
      </c>
      <c r="R48" s="42" t="s">
        <v>270</v>
      </c>
      <c r="S48" s="10" t="s">
        <v>40</v>
      </c>
      <c r="T48" s="11">
        <v>46167.0</v>
      </c>
      <c r="U48" s="4"/>
      <c r="V48" s="9" t="s">
        <v>49</v>
      </c>
      <c r="W48" s="4"/>
      <c r="X48" s="36" t="s">
        <v>214</v>
      </c>
      <c r="Y48" s="37" t="s">
        <v>71</v>
      </c>
      <c r="Z48" s="40">
        <v>10000.0</v>
      </c>
      <c r="AA48" s="40">
        <v>0.0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>
      <c r="A49" s="30" t="s">
        <v>22</v>
      </c>
      <c r="B49" s="45" t="s">
        <v>271</v>
      </c>
      <c r="C49" s="7">
        <v>9.629849587E9</v>
      </c>
      <c r="D49" s="6" t="s">
        <v>272</v>
      </c>
      <c r="E49" s="6" t="s">
        <v>273</v>
      </c>
      <c r="F49" s="6" t="s">
        <v>38</v>
      </c>
      <c r="G49" s="6" t="s">
        <v>46</v>
      </c>
      <c r="H49" s="30">
        <v>35000.0</v>
      </c>
      <c r="I49" s="30">
        <v>5000.0</v>
      </c>
      <c r="J49" s="33">
        <v>46167.0</v>
      </c>
      <c r="K49" s="25">
        <f t="shared" si="10"/>
        <v>30000</v>
      </c>
      <c r="L49" s="6" t="s">
        <v>274</v>
      </c>
      <c r="M49" s="30" t="s">
        <v>29</v>
      </c>
      <c r="N49" s="10">
        <v>0.0</v>
      </c>
      <c r="O49" s="26">
        <f t="shared" si="13"/>
        <v>5000</v>
      </c>
      <c r="P49" s="34" t="s">
        <v>30</v>
      </c>
      <c r="Q49" s="34" t="s">
        <v>31</v>
      </c>
      <c r="R49" s="42" t="s">
        <v>265</v>
      </c>
      <c r="S49" s="10" t="s">
        <v>224</v>
      </c>
      <c r="T49" s="11">
        <v>46171.0</v>
      </c>
      <c r="U49" s="4"/>
      <c r="V49" s="9" t="s">
        <v>49</v>
      </c>
      <c r="W49" s="4"/>
      <c r="X49" s="36" t="s">
        <v>203</v>
      </c>
      <c r="Y49" s="37" t="s">
        <v>71</v>
      </c>
      <c r="Z49" s="41">
        <v>5000.0</v>
      </c>
      <c r="AA49" s="41">
        <v>7000.0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>
      <c r="A50" s="30" t="s">
        <v>22</v>
      </c>
      <c r="B50" s="44" t="s">
        <v>275</v>
      </c>
      <c r="C50" s="7">
        <v>8.667072609E9</v>
      </c>
      <c r="D50" s="6" t="s">
        <v>276</v>
      </c>
      <c r="E50" s="6" t="s">
        <v>277</v>
      </c>
      <c r="F50" s="6" t="s">
        <v>38</v>
      </c>
      <c r="G50" s="6" t="s">
        <v>46</v>
      </c>
      <c r="H50" s="30">
        <v>35000.0</v>
      </c>
      <c r="I50" s="30">
        <v>5000.0</v>
      </c>
      <c r="J50" s="33">
        <v>46167.0</v>
      </c>
      <c r="K50" s="25">
        <f t="shared" si="10"/>
        <v>6632</v>
      </c>
      <c r="L50" s="6" t="s">
        <v>278</v>
      </c>
      <c r="M50" s="30" t="s">
        <v>29</v>
      </c>
      <c r="N50" s="10">
        <v>23368.0</v>
      </c>
      <c r="O50" s="26">
        <f t="shared" si="13"/>
        <v>28368</v>
      </c>
      <c r="P50" s="34" t="s">
        <v>30</v>
      </c>
      <c r="Q50" s="34" t="s">
        <v>31</v>
      </c>
      <c r="R50" s="42" t="s">
        <v>265</v>
      </c>
      <c r="S50" s="10" t="s">
        <v>224</v>
      </c>
      <c r="T50" s="11">
        <v>46171.0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>
      <c r="A51" s="30" t="s">
        <v>22</v>
      </c>
      <c r="B51" s="44" t="s">
        <v>279</v>
      </c>
      <c r="C51" s="7">
        <v>9.025977523E9</v>
      </c>
      <c r="D51" s="6" t="s">
        <v>280</v>
      </c>
      <c r="E51" s="6" t="s">
        <v>281</v>
      </c>
      <c r="F51" s="6" t="s">
        <v>38</v>
      </c>
      <c r="G51" s="6" t="s">
        <v>46</v>
      </c>
      <c r="H51" s="30">
        <v>35000.0</v>
      </c>
      <c r="I51" s="30">
        <v>7000.0</v>
      </c>
      <c r="J51" s="33">
        <v>46168.0</v>
      </c>
      <c r="K51" s="25">
        <f t="shared" si="10"/>
        <v>4052</v>
      </c>
      <c r="L51" s="6" t="s">
        <v>282</v>
      </c>
      <c r="M51" s="30" t="s">
        <v>29</v>
      </c>
      <c r="N51" s="10">
        <v>23948.0</v>
      </c>
      <c r="O51" s="26">
        <f t="shared" si="13"/>
        <v>30948</v>
      </c>
      <c r="P51" s="34" t="s">
        <v>30</v>
      </c>
      <c r="Q51" s="34" t="s">
        <v>31</v>
      </c>
      <c r="R51" s="43"/>
      <c r="S51" s="10"/>
      <c r="T51" s="11">
        <v>46172.0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>
      <c r="A52" s="30" t="s">
        <v>22</v>
      </c>
      <c r="B52" s="45" t="s">
        <v>283</v>
      </c>
      <c r="C52" s="7">
        <v>9.786207782E9</v>
      </c>
      <c r="D52" s="6" t="s">
        <v>284</v>
      </c>
      <c r="E52" s="6" t="s">
        <v>285</v>
      </c>
      <c r="F52" s="6" t="s">
        <v>286</v>
      </c>
      <c r="G52" s="6" t="s">
        <v>113</v>
      </c>
      <c r="H52" s="30">
        <v>15000.0</v>
      </c>
      <c r="I52" s="30">
        <v>2000.0</v>
      </c>
      <c r="J52" s="33">
        <v>46169.0</v>
      </c>
      <c r="K52" s="25">
        <f t="shared" si="10"/>
        <v>13000</v>
      </c>
      <c r="L52" s="6" t="s">
        <v>287</v>
      </c>
      <c r="M52" s="30" t="s">
        <v>71</v>
      </c>
      <c r="N52" s="10">
        <v>0.0</v>
      </c>
      <c r="O52" s="26">
        <f t="shared" si="13"/>
        <v>2000</v>
      </c>
      <c r="P52" s="34" t="s">
        <v>30</v>
      </c>
      <c r="Q52" s="34" t="s">
        <v>31</v>
      </c>
      <c r="R52" s="43"/>
      <c r="S52" s="10"/>
      <c r="T52" s="12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>
      <c r="A53" s="30" t="s">
        <v>22</v>
      </c>
      <c r="B53" s="44" t="s">
        <v>288</v>
      </c>
      <c r="C53" s="7">
        <v>9.080460821E9</v>
      </c>
      <c r="D53" s="6" t="s">
        <v>289</v>
      </c>
      <c r="E53" s="6" t="s">
        <v>290</v>
      </c>
      <c r="F53" s="6" t="s">
        <v>38</v>
      </c>
      <c r="G53" s="6" t="s">
        <v>46</v>
      </c>
      <c r="H53" s="30">
        <v>32000.0</v>
      </c>
      <c r="I53" s="30">
        <v>6400.0</v>
      </c>
      <c r="J53" s="33">
        <v>46170.0</v>
      </c>
      <c r="K53" s="25">
        <f t="shared" si="10"/>
        <v>3794</v>
      </c>
      <c r="L53" s="6" t="s">
        <v>291</v>
      </c>
      <c r="M53" s="30" t="s">
        <v>29</v>
      </c>
      <c r="N53" s="10">
        <v>21806.0</v>
      </c>
      <c r="O53" s="26">
        <f t="shared" si="13"/>
        <v>28206</v>
      </c>
      <c r="P53" s="34" t="s">
        <v>30</v>
      </c>
      <c r="Q53" s="34" t="s">
        <v>31</v>
      </c>
      <c r="R53" s="42" t="s">
        <v>292</v>
      </c>
      <c r="S53" s="10"/>
      <c r="T53" s="12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>
      <c r="A54" s="30" t="s">
        <v>22</v>
      </c>
      <c r="B54" s="44" t="s">
        <v>293</v>
      </c>
      <c r="C54" s="7">
        <v>9.500623596E9</v>
      </c>
      <c r="D54" s="6" t="s">
        <v>294</v>
      </c>
      <c r="E54" s="6" t="s">
        <v>295</v>
      </c>
      <c r="F54" s="6" t="s">
        <v>38</v>
      </c>
      <c r="G54" s="6" t="s">
        <v>46</v>
      </c>
      <c r="H54" s="30">
        <v>32000.0</v>
      </c>
      <c r="I54" s="30">
        <v>5000.0</v>
      </c>
      <c r="J54" s="33">
        <v>46170.0</v>
      </c>
      <c r="K54" s="25">
        <f t="shared" si="10"/>
        <v>10771</v>
      </c>
      <c r="L54" s="6" t="s">
        <v>296</v>
      </c>
      <c r="M54" s="30" t="s">
        <v>29</v>
      </c>
      <c r="N54" s="10">
        <v>16229.0</v>
      </c>
      <c r="O54" s="26">
        <f t="shared" si="13"/>
        <v>21229</v>
      </c>
      <c r="P54" s="34" t="s">
        <v>30</v>
      </c>
      <c r="Q54" s="34" t="s">
        <v>31</v>
      </c>
      <c r="R54" s="42" t="s">
        <v>297</v>
      </c>
      <c r="S54" s="10" t="s">
        <v>40</v>
      </c>
      <c r="T54" s="11">
        <v>46174.0</v>
      </c>
      <c r="U54" s="4"/>
      <c r="V54" s="9" t="s">
        <v>49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>
      <c r="A55" s="30" t="s">
        <v>298</v>
      </c>
      <c r="B55" s="32" t="s">
        <v>299</v>
      </c>
      <c r="C55" s="7">
        <v>8.015529305E9</v>
      </c>
      <c r="D55" s="6" t="s">
        <v>300</v>
      </c>
      <c r="E55" s="6" t="s">
        <v>301</v>
      </c>
      <c r="F55" s="6" t="s">
        <v>38</v>
      </c>
      <c r="G55" s="6" t="s">
        <v>27</v>
      </c>
      <c r="H55" s="30">
        <v>35000.0</v>
      </c>
      <c r="I55" s="30">
        <v>500.0</v>
      </c>
      <c r="J55" s="30" t="s">
        <v>302</v>
      </c>
      <c r="K55" s="25">
        <f t="shared" si="10"/>
        <v>34500</v>
      </c>
      <c r="L55" s="6" t="s">
        <v>303</v>
      </c>
      <c r="M55" s="30" t="s">
        <v>29</v>
      </c>
      <c r="N55" s="10">
        <v>0.0</v>
      </c>
      <c r="O55" s="26">
        <f t="shared" si="13"/>
        <v>500</v>
      </c>
      <c r="P55" s="34" t="s">
        <v>30</v>
      </c>
      <c r="Q55" s="34" t="s">
        <v>57</v>
      </c>
      <c r="R55" s="43"/>
      <c r="S55" s="10"/>
      <c r="T55" s="12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>
      <c r="A56" s="30" t="s">
        <v>298</v>
      </c>
      <c r="B56" s="32" t="s">
        <v>304</v>
      </c>
      <c r="C56" s="7">
        <v>8.610764505E9</v>
      </c>
      <c r="D56" s="6" t="s">
        <v>305</v>
      </c>
      <c r="E56" s="6"/>
      <c r="F56" s="6" t="s">
        <v>38</v>
      </c>
      <c r="G56" s="6" t="s">
        <v>27</v>
      </c>
      <c r="H56" s="30">
        <v>35000.0</v>
      </c>
      <c r="I56" s="30">
        <v>500.0</v>
      </c>
      <c r="J56" s="30" t="s">
        <v>302</v>
      </c>
      <c r="K56" s="25">
        <f t="shared" si="10"/>
        <v>34500</v>
      </c>
      <c r="L56" s="6" t="s">
        <v>306</v>
      </c>
      <c r="M56" s="30" t="s">
        <v>29</v>
      </c>
      <c r="N56" s="10">
        <v>0.0</v>
      </c>
      <c r="O56" s="26">
        <f t="shared" si="13"/>
        <v>500</v>
      </c>
      <c r="P56" s="46"/>
      <c r="Q56" s="46"/>
      <c r="R56" s="43"/>
      <c r="S56" s="10"/>
      <c r="T56" s="12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>
      <c r="A57" s="30" t="s">
        <v>22</v>
      </c>
      <c r="B57" s="44" t="s">
        <v>307</v>
      </c>
      <c r="C57" s="7">
        <v>8.148915403E9</v>
      </c>
      <c r="D57" s="6" t="s">
        <v>308</v>
      </c>
      <c r="E57" s="6" t="s">
        <v>309</v>
      </c>
      <c r="F57" s="6" t="s">
        <v>38</v>
      </c>
      <c r="G57" s="6" t="s">
        <v>46</v>
      </c>
      <c r="H57" s="30">
        <v>30000.0</v>
      </c>
      <c r="I57" s="30">
        <v>0.0</v>
      </c>
      <c r="J57" s="33">
        <v>46172.0</v>
      </c>
      <c r="K57" s="25">
        <f t="shared" si="10"/>
        <v>10201</v>
      </c>
      <c r="L57" s="6" t="s">
        <v>310</v>
      </c>
      <c r="M57" s="30" t="s">
        <v>29</v>
      </c>
      <c r="N57" s="10">
        <v>19799.0</v>
      </c>
      <c r="O57" s="26">
        <f t="shared" si="13"/>
        <v>19799</v>
      </c>
      <c r="P57" s="34" t="s">
        <v>30</v>
      </c>
      <c r="Q57" s="34" t="s">
        <v>31</v>
      </c>
      <c r="R57" s="43"/>
      <c r="S57" s="10"/>
      <c r="T57" s="12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>
      <c r="A58" s="30" t="s">
        <v>146</v>
      </c>
      <c r="B58" s="45" t="s">
        <v>311</v>
      </c>
      <c r="C58" s="7">
        <v>7.868079767E9</v>
      </c>
      <c r="D58" s="6" t="s">
        <v>312</v>
      </c>
      <c r="E58" s="6" t="s">
        <v>313</v>
      </c>
      <c r="F58" s="6" t="s">
        <v>103</v>
      </c>
      <c r="G58" s="6" t="s">
        <v>113</v>
      </c>
      <c r="H58" s="30">
        <v>30000.0</v>
      </c>
      <c r="I58" s="30">
        <v>10000.0</v>
      </c>
      <c r="J58" s="33">
        <v>46172.0</v>
      </c>
      <c r="K58" s="25">
        <f t="shared" si="10"/>
        <v>20000</v>
      </c>
      <c r="L58" s="6" t="s">
        <v>314</v>
      </c>
      <c r="M58" s="30" t="s">
        <v>71</v>
      </c>
      <c r="N58" s="10">
        <v>0.0</v>
      </c>
      <c r="O58" s="26">
        <f t="shared" si="13"/>
        <v>10000</v>
      </c>
      <c r="P58" s="34" t="s">
        <v>30</v>
      </c>
      <c r="Q58" s="34" t="s">
        <v>57</v>
      </c>
      <c r="R58" s="43"/>
      <c r="S58" s="10" t="s">
        <v>59</v>
      </c>
      <c r="T58" s="12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>
      <c r="A59" s="47">
        <v>46174.0</v>
      </c>
      <c r="D59" s="15"/>
      <c r="E59" s="15"/>
      <c r="F59" s="15"/>
      <c r="G59" s="15"/>
      <c r="H59" s="16">
        <f t="shared" ref="H59:I59" si="14">SUM(H41:H58)</f>
        <v>596000</v>
      </c>
      <c r="I59" s="16">
        <f t="shared" si="14"/>
        <v>78400</v>
      </c>
      <c r="J59" s="17"/>
      <c r="K59" s="18">
        <f>sum(K41:K58)</f>
        <v>295198</v>
      </c>
      <c r="L59" s="19"/>
      <c r="M59" s="17"/>
      <c r="N59" s="3">
        <f t="shared" ref="N59:O59" si="15">sum(N41:N58)</f>
        <v>222402</v>
      </c>
      <c r="O59" s="20">
        <f t="shared" si="15"/>
        <v>300802</v>
      </c>
      <c r="P59" s="17"/>
      <c r="Q59" s="17"/>
      <c r="R59" s="16"/>
      <c r="S59" s="16"/>
      <c r="T59" s="16"/>
      <c r="U59" s="21"/>
      <c r="V59" s="21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>
      <c r="A60" s="30"/>
      <c r="B60" s="6"/>
      <c r="C60" s="7"/>
      <c r="D60" s="6" t="s">
        <v>312</v>
      </c>
      <c r="E60" s="6"/>
      <c r="F60" s="6"/>
      <c r="G60" s="6"/>
      <c r="H60" s="30">
        <v>0.0</v>
      </c>
      <c r="I60" s="30">
        <v>0.0</v>
      </c>
      <c r="J60" s="33"/>
      <c r="K60" s="25">
        <f t="shared" ref="K60:K79" si="16">sum(H60-O60)</f>
        <v>0</v>
      </c>
      <c r="L60" s="6"/>
      <c r="M60" s="30"/>
      <c r="N60" s="10">
        <v>0.0</v>
      </c>
      <c r="O60" s="26">
        <f t="shared" ref="O60:O79" si="17">SUM(I60+N60)</f>
        <v>0</v>
      </c>
      <c r="P60" s="34"/>
      <c r="Q60" s="34"/>
      <c r="R60" s="43"/>
      <c r="S60" s="10"/>
      <c r="T60" s="12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>
      <c r="A61" s="30"/>
      <c r="B61" s="6"/>
      <c r="C61" s="7"/>
      <c r="D61" s="6" t="s">
        <v>315</v>
      </c>
      <c r="E61" s="4"/>
      <c r="F61" s="6"/>
      <c r="G61" s="6"/>
      <c r="H61" s="30">
        <v>0.0</v>
      </c>
      <c r="I61" s="30">
        <v>0.0</v>
      </c>
      <c r="J61" s="33"/>
      <c r="K61" s="25">
        <f t="shared" si="16"/>
        <v>0</v>
      </c>
      <c r="L61" s="6"/>
      <c r="M61" s="30"/>
      <c r="N61" s="10">
        <v>0.0</v>
      </c>
      <c r="O61" s="26">
        <f t="shared" si="17"/>
        <v>0</v>
      </c>
      <c r="P61" s="34"/>
      <c r="Q61" s="34"/>
      <c r="R61" s="43"/>
      <c r="S61" s="10"/>
      <c r="T61" s="12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>
      <c r="A62" s="30"/>
      <c r="B62" s="6"/>
      <c r="C62" s="7"/>
      <c r="D62" s="6" t="s">
        <v>316</v>
      </c>
      <c r="E62" s="4"/>
      <c r="F62" s="6"/>
      <c r="G62" s="6"/>
      <c r="H62" s="30">
        <v>0.0</v>
      </c>
      <c r="I62" s="30">
        <v>0.0</v>
      </c>
      <c r="J62" s="33"/>
      <c r="K62" s="25">
        <f t="shared" si="16"/>
        <v>0</v>
      </c>
      <c r="L62" s="6"/>
      <c r="M62" s="30"/>
      <c r="N62" s="10">
        <v>0.0</v>
      </c>
      <c r="O62" s="26">
        <f t="shared" si="17"/>
        <v>0</v>
      </c>
      <c r="P62" s="34"/>
      <c r="Q62" s="34"/>
      <c r="R62" s="43"/>
      <c r="S62" s="10"/>
      <c r="T62" s="12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>
      <c r="A63" s="30"/>
      <c r="B63" s="6"/>
      <c r="C63" s="7"/>
      <c r="D63" s="6" t="s">
        <v>317</v>
      </c>
      <c r="E63" s="4"/>
      <c r="F63" s="6"/>
      <c r="G63" s="6"/>
      <c r="H63" s="30">
        <v>0.0</v>
      </c>
      <c r="I63" s="30">
        <v>0.0</v>
      </c>
      <c r="J63" s="33"/>
      <c r="K63" s="25">
        <f t="shared" si="16"/>
        <v>0</v>
      </c>
      <c r="L63" s="6"/>
      <c r="M63" s="30"/>
      <c r="N63" s="10">
        <v>0.0</v>
      </c>
      <c r="O63" s="26">
        <f t="shared" si="17"/>
        <v>0</v>
      </c>
      <c r="P63" s="34"/>
      <c r="Q63" s="34"/>
      <c r="R63" s="43"/>
      <c r="S63" s="10"/>
      <c r="T63" s="12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>
      <c r="A64" s="30"/>
      <c r="B64" s="6"/>
      <c r="C64" s="7"/>
      <c r="D64" s="6" t="s">
        <v>318</v>
      </c>
      <c r="E64" s="4"/>
      <c r="F64" s="6"/>
      <c r="G64" s="6"/>
      <c r="H64" s="30">
        <v>0.0</v>
      </c>
      <c r="I64" s="30">
        <v>0.0</v>
      </c>
      <c r="J64" s="33"/>
      <c r="K64" s="25">
        <f t="shared" si="16"/>
        <v>0</v>
      </c>
      <c r="L64" s="6"/>
      <c r="M64" s="30"/>
      <c r="N64" s="10">
        <v>0.0</v>
      </c>
      <c r="O64" s="26">
        <f t="shared" si="17"/>
        <v>0</v>
      </c>
      <c r="P64" s="34"/>
      <c r="Q64" s="34"/>
      <c r="R64" s="43"/>
      <c r="S64" s="10"/>
      <c r="T64" s="12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>
      <c r="A65" s="30"/>
      <c r="B65" s="6"/>
      <c r="C65" s="7"/>
      <c r="D65" s="6" t="s">
        <v>319</v>
      </c>
      <c r="E65" s="4"/>
      <c r="F65" s="6"/>
      <c r="G65" s="6"/>
      <c r="H65" s="30">
        <v>0.0</v>
      </c>
      <c r="I65" s="30">
        <v>0.0</v>
      </c>
      <c r="J65" s="33"/>
      <c r="K65" s="25">
        <f t="shared" si="16"/>
        <v>0</v>
      </c>
      <c r="L65" s="6"/>
      <c r="M65" s="30"/>
      <c r="N65" s="10">
        <v>0.0</v>
      </c>
      <c r="O65" s="26">
        <f t="shared" si="17"/>
        <v>0</v>
      </c>
      <c r="P65" s="34"/>
      <c r="Q65" s="34"/>
      <c r="R65" s="43"/>
      <c r="S65" s="10"/>
      <c r="T65" s="12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>
      <c r="A66" s="30"/>
      <c r="B66" s="6"/>
      <c r="C66" s="7"/>
      <c r="D66" s="6" t="s">
        <v>320</v>
      </c>
      <c r="E66" s="4"/>
      <c r="F66" s="6"/>
      <c r="G66" s="6"/>
      <c r="H66" s="30">
        <v>0.0</v>
      </c>
      <c r="I66" s="30">
        <v>0.0</v>
      </c>
      <c r="J66" s="33"/>
      <c r="K66" s="25">
        <f t="shared" si="16"/>
        <v>0</v>
      </c>
      <c r="L66" s="6"/>
      <c r="M66" s="30"/>
      <c r="N66" s="10">
        <v>0.0</v>
      </c>
      <c r="O66" s="26">
        <f t="shared" si="17"/>
        <v>0</v>
      </c>
      <c r="P66" s="34"/>
      <c r="Q66" s="34"/>
      <c r="R66" s="43"/>
      <c r="S66" s="10"/>
      <c r="T66" s="12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>
      <c r="A67" s="30"/>
      <c r="B67" s="6"/>
      <c r="C67" s="7"/>
      <c r="D67" s="6" t="s">
        <v>321</v>
      </c>
      <c r="E67" s="4"/>
      <c r="F67" s="6"/>
      <c r="G67" s="6"/>
      <c r="H67" s="30">
        <v>0.0</v>
      </c>
      <c r="I67" s="30">
        <v>0.0</v>
      </c>
      <c r="J67" s="33"/>
      <c r="K67" s="25">
        <f t="shared" si="16"/>
        <v>0</v>
      </c>
      <c r="L67" s="6"/>
      <c r="M67" s="30"/>
      <c r="N67" s="10">
        <v>0.0</v>
      </c>
      <c r="O67" s="26">
        <f t="shared" si="17"/>
        <v>0</v>
      </c>
      <c r="P67" s="34"/>
      <c r="Q67" s="34"/>
      <c r="R67" s="43"/>
      <c r="S67" s="10"/>
      <c r="T67" s="12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>
      <c r="A68" s="30"/>
      <c r="B68" s="6"/>
      <c r="C68" s="7"/>
      <c r="D68" s="6" t="s">
        <v>322</v>
      </c>
      <c r="E68" s="4"/>
      <c r="F68" s="6"/>
      <c r="G68" s="6"/>
      <c r="H68" s="30">
        <v>0.0</v>
      </c>
      <c r="I68" s="30">
        <v>0.0</v>
      </c>
      <c r="J68" s="33"/>
      <c r="K68" s="25">
        <f t="shared" si="16"/>
        <v>0</v>
      </c>
      <c r="L68" s="6"/>
      <c r="M68" s="30"/>
      <c r="N68" s="10">
        <v>0.0</v>
      </c>
      <c r="O68" s="26">
        <f t="shared" si="17"/>
        <v>0</v>
      </c>
      <c r="P68" s="34"/>
      <c r="Q68" s="34"/>
      <c r="R68" s="43"/>
      <c r="S68" s="10"/>
      <c r="T68" s="12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>
      <c r="A69" s="30"/>
      <c r="B69" s="6"/>
      <c r="C69" s="7"/>
      <c r="D69" s="6" t="s">
        <v>323</v>
      </c>
      <c r="E69" s="4"/>
      <c r="F69" s="6"/>
      <c r="G69" s="6"/>
      <c r="H69" s="30">
        <v>0.0</v>
      </c>
      <c r="I69" s="30">
        <v>0.0</v>
      </c>
      <c r="J69" s="33"/>
      <c r="K69" s="25">
        <f t="shared" si="16"/>
        <v>0</v>
      </c>
      <c r="L69" s="6"/>
      <c r="M69" s="30"/>
      <c r="N69" s="10">
        <v>0.0</v>
      </c>
      <c r="O69" s="26">
        <f t="shared" si="17"/>
        <v>0</v>
      </c>
      <c r="P69" s="34"/>
      <c r="Q69" s="34"/>
      <c r="R69" s="43"/>
      <c r="S69" s="10"/>
      <c r="T69" s="12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>
      <c r="A70" s="30"/>
      <c r="B70" s="6"/>
      <c r="C70" s="7"/>
      <c r="D70" s="6" t="s">
        <v>324</v>
      </c>
      <c r="E70" s="4"/>
      <c r="F70" s="6"/>
      <c r="G70" s="6"/>
      <c r="H70" s="30">
        <v>0.0</v>
      </c>
      <c r="I70" s="30">
        <v>0.0</v>
      </c>
      <c r="J70" s="33"/>
      <c r="K70" s="25">
        <f t="shared" si="16"/>
        <v>0</v>
      </c>
      <c r="L70" s="6"/>
      <c r="M70" s="30"/>
      <c r="N70" s="10">
        <v>0.0</v>
      </c>
      <c r="O70" s="26">
        <f t="shared" si="17"/>
        <v>0</v>
      </c>
      <c r="P70" s="34"/>
      <c r="Q70" s="34"/>
      <c r="R70" s="43"/>
      <c r="S70" s="10"/>
      <c r="T70" s="12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>
      <c r="A71" s="30"/>
      <c r="B71" s="6"/>
      <c r="C71" s="7"/>
      <c r="D71" s="6" t="s">
        <v>325</v>
      </c>
      <c r="E71" s="4"/>
      <c r="F71" s="6"/>
      <c r="G71" s="6"/>
      <c r="H71" s="30">
        <v>0.0</v>
      </c>
      <c r="I71" s="30">
        <v>0.0</v>
      </c>
      <c r="J71" s="33"/>
      <c r="K71" s="25">
        <f t="shared" si="16"/>
        <v>0</v>
      </c>
      <c r="L71" s="6"/>
      <c r="M71" s="30"/>
      <c r="N71" s="10">
        <v>0.0</v>
      </c>
      <c r="O71" s="26">
        <f t="shared" si="17"/>
        <v>0</v>
      </c>
      <c r="P71" s="34"/>
      <c r="Q71" s="34"/>
      <c r="R71" s="43"/>
      <c r="S71" s="10"/>
      <c r="T71" s="12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>
      <c r="A72" s="30"/>
      <c r="B72" s="6"/>
      <c r="C72" s="7"/>
      <c r="D72" s="6" t="s">
        <v>326</v>
      </c>
      <c r="E72" s="4"/>
      <c r="F72" s="6"/>
      <c r="G72" s="6"/>
      <c r="H72" s="30">
        <v>0.0</v>
      </c>
      <c r="I72" s="30">
        <v>0.0</v>
      </c>
      <c r="J72" s="33"/>
      <c r="K72" s="25">
        <f t="shared" si="16"/>
        <v>0</v>
      </c>
      <c r="L72" s="6"/>
      <c r="M72" s="30"/>
      <c r="N72" s="10">
        <v>0.0</v>
      </c>
      <c r="O72" s="26">
        <f t="shared" si="17"/>
        <v>0</v>
      </c>
      <c r="P72" s="34"/>
      <c r="Q72" s="34"/>
      <c r="R72" s="43"/>
      <c r="S72" s="10"/>
      <c r="T72" s="12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>
      <c r="A73" s="30"/>
      <c r="B73" s="6"/>
      <c r="C73" s="7"/>
      <c r="D73" s="6" t="s">
        <v>327</v>
      </c>
      <c r="E73" s="4"/>
      <c r="F73" s="6"/>
      <c r="G73" s="6"/>
      <c r="H73" s="30">
        <v>0.0</v>
      </c>
      <c r="I73" s="30">
        <v>0.0</v>
      </c>
      <c r="J73" s="33"/>
      <c r="K73" s="25">
        <f t="shared" si="16"/>
        <v>0</v>
      </c>
      <c r="L73" s="6"/>
      <c r="M73" s="30"/>
      <c r="N73" s="10">
        <v>0.0</v>
      </c>
      <c r="O73" s="26">
        <f t="shared" si="17"/>
        <v>0</v>
      </c>
      <c r="P73" s="34"/>
      <c r="Q73" s="34"/>
      <c r="R73" s="43"/>
      <c r="S73" s="10"/>
      <c r="T73" s="12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>
      <c r="A74" s="30"/>
      <c r="B74" s="6"/>
      <c r="C74" s="7"/>
      <c r="D74" s="6" t="s">
        <v>328</v>
      </c>
      <c r="E74" s="4"/>
      <c r="F74" s="6"/>
      <c r="G74" s="6"/>
      <c r="H74" s="30">
        <v>0.0</v>
      </c>
      <c r="I74" s="30">
        <v>0.0</v>
      </c>
      <c r="J74" s="33"/>
      <c r="K74" s="25">
        <f t="shared" si="16"/>
        <v>0</v>
      </c>
      <c r="L74" s="6"/>
      <c r="M74" s="30"/>
      <c r="N74" s="10">
        <v>0.0</v>
      </c>
      <c r="O74" s="26">
        <f t="shared" si="17"/>
        <v>0</v>
      </c>
      <c r="P74" s="34"/>
      <c r="Q74" s="34"/>
      <c r="R74" s="43"/>
      <c r="S74" s="10"/>
      <c r="T74" s="12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>
      <c r="A75" s="30"/>
      <c r="B75" s="6"/>
      <c r="C75" s="7"/>
      <c r="D75" s="6" t="s">
        <v>329</v>
      </c>
      <c r="E75" s="4"/>
      <c r="F75" s="6"/>
      <c r="G75" s="6"/>
      <c r="H75" s="30">
        <v>0.0</v>
      </c>
      <c r="I75" s="30">
        <v>0.0</v>
      </c>
      <c r="J75" s="33"/>
      <c r="K75" s="25">
        <f t="shared" si="16"/>
        <v>0</v>
      </c>
      <c r="L75" s="6"/>
      <c r="M75" s="30"/>
      <c r="N75" s="10">
        <v>0.0</v>
      </c>
      <c r="O75" s="26">
        <f t="shared" si="17"/>
        <v>0</v>
      </c>
      <c r="P75" s="34"/>
      <c r="Q75" s="34"/>
      <c r="R75" s="43"/>
      <c r="S75" s="10"/>
      <c r="T75" s="12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>
      <c r="A76" s="30"/>
      <c r="B76" s="6"/>
      <c r="C76" s="7"/>
      <c r="D76" s="6" t="s">
        <v>330</v>
      </c>
      <c r="E76" s="4"/>
      <c r="F76" s="6"/>
      <c r="G76" s="6"/>
      <c r="H76" s="30">
        <v>0.0</v>
      </c>
      <c r="I76" s="30">
        <v>0.0</v>
      </c>
      <c r="J76" s="33"/>
      <c r="K76" s="25">
        <f t="shared" si="16"/>
        <v>0</v>
      </c>
      <c r="L76" s="6"/>
      <c r="M76" s="30"/>
      <c r="N76" s="10">
        <v>0.0</v>
      </c>
      <c r="O76" s="26">
        <f t="shared" si="17"/>
        <v>0</v>
      </c>
      <c r="P76" s="34"/>
      <c r="Q76" s="34"/>
      <c r="R76" s="43"/>
      <c r="S76" s="10"/>
      <c r="T76" s="12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>
      <c r="A77" s="30"/>
      <c r="B77" s="6"/>
      <c r="C77" s="7"/>
      <c r="D77" s="6" t="s">
        <v>331</v>
      </c>
      <c r="E77" s="4"/>
      <c r="F77" s="6"/>
      <c r="G77" s="6"/>
      <c r="H77" s="30">
        <v>0.0</v>
      </c>
      <c r="I77" s="30">
        <v>0.0</v>
      </c>
      <c r="J77" s="33"/>
      <c r="K77" s="25">
        <f t="shared" si="16"/>
        <v>0</v>
      </c>
      <c r="L77" s="6"/>
      <c r="M77" s="30"/>
      <c r="N77" s="10">
        <v>0.0</v>
      </c>
      <c r="O77" s="26">
        <f t="shared" si="17"/>
        <v>0</v>
      </c>
      <c r="P77" s="34"/>
      <c r="Q77" s="34"/>
      <c r="R77" s="43"/>
      <c r="S77" s="10"/>
      <c r="T77" s="12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>
      <c r="A78" s="30"/>
      <c r="B78" s="6"/>
      <c r="C78" s="7"/>
      <c r="D78" s="6" t="s">
        <v>332</v>
      </c>
      <c r="E78" s="4"/>
      <c r="F78" s="6"/>
      <c r="G78" s="6"/>
      <c r="H78" s="30">
        <v>0.0</v>
      </c>
      <c r="I78" s="30">
        <v>0.0</v>
      </c>
      <c r="J78" s="33"/>
      <c r="K78" s="25">
        <f t="shared" si="16"/>
        <v>0</v>
      </c>
      <c r="L78" s="6"/>
      <c r="M78" s="30"/>
      <c r="N78" s="10">
        <v>0.0</v>
      </c>
      <c r="O78" s="26">
        <f t="shared" si="17"/>
        <v>0</v>
      </c>
      <c r="P78" s="34"/>
      <c r="Q78" s="34"/>
      <c r="R78" s="43"/>
      <c r="S78" s="10"/>
      <c r="T78" s="12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>
      <c r="A79" s="30"/>
      <c r="B79" s="6"/>
      <c r="C79" s="7"/>
      <c r="D79" s="6" t="s">
        <v>333</v>
      </c>
      <c r="E79" s="4"/>
      <c r="F79" s="6"/>
      <c r="G79" s="6"/>
      <c r="H79" s="30">
        <v>0.0</v>
      </c>
      <c r="I79" s="30">
        <v>0.0</v>
      </c>
      <c r="J79" s="33"/>
      <c r="K79" s="25">
        <f t="shared" si="16"/>
        <v>0</v>
      </c>
      <c r="L79" s="6"/>
      <c r="M79" s="30"/>
      <c r="N79" s="10">
        <v>0.0</v>
      </c>
      <c r="O79" s="26">
        <f t="shared" si="17"/>
        <v>0</v>
      </c>
      <c r="P79" s="34"/>
      <c r="Q79" s="34"/>
      <c r="R79" s="43"/>
      <c r="S79" s="10"/>
      <c r="T79" s="12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>
      <c r="A80" s="48"/>
      <c r="B80" s="48"/>
      <c r="C80" s="48"/>
      <c r="D80" s="21"/>
      <c r="E80" s="21"/>
      <c r="F80" s="21"/>
      <c r="G80" s="21"/>
      <c r="H80" s="16">
        <f t="shared" ref="H80:I80" si="18">sum(H60:H79)</f>
        <v>0</v>
      </c>
      <c r="I80" s="16">
        <f t="shared" si="18"/>
        <v>0</v>
      </c>
      <c r="J80" s="16"/>
      <c r="K80" s="18">
        <f>sum(K60:K79)</f>
        <v>0</v>
      </c>
      <c r="L80" s="16"/>
      <c r="M80" s="16"/>
      <c r="N80" s="16">
        <f t="shared" ref="N80:O80" si="19">sum(N60:N79)</f>
        <v>0</v>
      </c>
      <c r="O80" s="18">
        <f t="shared" si="19"/>
        <v>0</v>
      </c>
      <c r="P80" s="16"/>
      <c r="Q80" s="16"/>
      <c r="R80" s="49"/>
      <c r="S80" s="16"/>
      <c r="T80" s="16"/>
      <c r="U80" s="21"/>
      <c r="V80" s="21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>
      <c r="A81" s="4"/>
      <c r="B81" s="4"/>
      <c r="C81" s="4"/>
      <c r="D81" s="4"/>
      <c r="E81" s="4"/>
      <c r="F81" s="4"/>
      <c r="G81" s="4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35"/>
      <c r="S81" s="12"/>
      <c r="T81" s="12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>
      <c r="A82" s="4"/>
      <c r="B82" s="4"/>
      <c r="C82" s="4"/>
      <c r="D82" s="4"/>
      <c r="E82" s="4"/>
      <c r="F82" s="4"/>
      <c r="G82" s="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35"/>
      <c r="S82" s="12"/>
      <c r="T82" s="12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>
      <c r="A83" s="4"/>
      <c r="B83" s="4"/>
      <c r="C83" s="4"/>
      <c r="D83" s="4"/>
      <c r="E83" s="4"/>
      <c r="F83" s="4"/>
      <c r="G83" s="4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35"/>
      <c r="S83" s="12"/>
      <c r="T83" s="12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>
      <c r="A84" s="4"/>
      <c r="B84" s="4"/>
      <c r="C84" s="4"/>
      <c r="D84" s="4"/>
      <c r="E84" s="4"/>
      <c r="F84" s="4"/>
      <c r="G84" s="4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35"/>
      <c r="S84" s="12"/>
      <c r="T84" s="12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>
      <c r="A85" s="4"/>
      <c r="B85" s="4"/>
      <c r="C85" s="4"/>
      <c r="D85" s="4"/>
      <c r="E85" s="4"/>
      <c r="F85" s="4"/>
      <c r="G85" s="4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35"/>
      <c r="S85" s="12"/>
      <c r="T85" s="12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>
      <c r="A86" s="4"/>
      <c r="B86" s="4"/>
      <c r="C86" s="4"/>
      <c r="D86" s="4"/>
      <c r="E86" s="4"/>
      <c r="F86" s="4"/>
      <c r="G86" s="4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35"/>
      <c r="S86" s="12"/>
      <c r="T86" s="12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>
      <c r="A87" s="4"/>
      <c r="B87" s="4"/>
      <c r="C87" s="4"/>
      <c r="D87" s="4"/>
      <c r="E87" s="4"/>
      <c r="F87" s="4"/>
      <c r="G87" s="4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35"/>
      <c r="S87" s="12"/>
      <c r="T87" s="12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>
      <c r="A88" s="4"/>
      <c r="B88" s="4"/>
      <c r="C88" s="4"/>
      <c r="D88" s="4"/>
      <c r="E88" s="4"/>
      <c r="F88" s="4"/>
      <c r="G88" s="4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35"/>
      <c r="S88" s="12"/>
      <c r="T88" s="12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>
      <c r="A89" s="4"/>
      <c r="B89" s="4"/>
      <c r="C89" s="4"/>
      <c r="D89" s="4"/>
      <c r="E89" s="4"/>
      <c r="F89" s="4"/>
      <c r="G89" s="4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35"/>
      <c r="S89" s="12"/>
      <c r="T89" s="12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>
      <c r="A90" s="4"/>
      <c r="B90" s="4"/>
      <c r="C90" s="4"/>
      <c r="D90" s="4"/>
      <c r="E90" s="4"/>
      <c r="F90" s="4"/>
      <c r="G90" s="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35"/>
      <c r="S90" s="12"/>
      <c r="T90" s="12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>
      <c r="A91" s="4"/>
      <c r="B91" s="4"/>
      <c r="C91" s="4"/>
      <c r="D91" s="4"/>
      <c r="E91" s="4"/>
      <c r="F91" s="4"/>
      <c r="G91" s="4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35"/>
      <c r="S91" s="12"/>
      <c r="T91" s="12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>
      <c r="A92" s="4"/>
      <c r="B92" s="4"/>
      <c r="C92" s="4"/>
      <c r="D92" s="4"/>
      <c r="E92" s="4"/>
      <c r="F92" s="4"/>
      <c r="G92" s="4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35"/>
      <c r="S92" s="12"/>
      <c r="T92" s="12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>
      <c r="A93" s="4"/>
      <c r="B93" s="4"/>
      <c r="C93" s="4"/>
      <c r="D93" s="4"/>
      <c r="E93" s="4"/>
      <c r="F93" s="4"/>
      <c r="G93" s="4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35"/>
      <c r="S93" s="12"/>
      <c r="T93" s="12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>
      <c r="A94" s="4"/>
      <c r="B94" s="4"/>
      <c r="C94" s="4"/>
      <c r="D94" s="4"/>
      <c r="E94" s="4"/>
      <c r="F94" s="4"/>
      <c r="G94" s="4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35"/>
      <c r="S94" s="12"/>
      <c r="T94" s="12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>
      <c r="A95" s="4"/>
      <c r="B95" s="4"/>
      <c r="C95" s="4"/>
      <c r="D95" s="4"/>
      <c r="E95" s="4"/>
      <c r="F95" s="4"/>
      <c r="G95" s="4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35"/>
      <c r="S95" s="12"/>
      <c r="T95" s="12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>
      <c r="A96" s="4"/>
      <c r="B96" s="4"/>
      <c r="C96" s="4"/>
      <c r="D96" s="4"/>
      <c r="E96" s="4"/>
      <c r="F96" s="4"/>
      <c r="G96" s="4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35"/>
      <c r="S96" s="12"/>
      <c r="T96" s="12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>
      <c r="A97" s="4"/>
      <c r="B97" s="4"/>
      <c r="C97" s="4"/>
      <c r="D97" s="4"/>
      <c r="E97" s="4"/>
      <c r="F97" s="4"/>
      <c r="G97" s="4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35"/>
      <c r="S97" s="12"/>
      <c r="T97" s="12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>
      <c r="A98" s="4"/>
      <c r="B98" s="4"/>
      <c r="C98" s="4"/>
      <c r="D98" s="4"/>
      <c r="E98" s="4"/>
      <c r="F98" s="4"/>
      <c r="G98" s="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35"/>
      <c r="S98" s="12"/>
      <c r="T98" s="12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>
      <c r="A99" s="4"/>
      <c r="B99" s="4"/>
      <c r="C99" s="4"/>
      <c r="D99" s="4"/>
      <c r="E99" s="4"/>
      <c r="F99" s="4"/>
      <c r="G99" s="4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35"/>
      <c r="S99" s="12"/>
      <c r="T99" s="12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>
      <c r="A100" s="4"/>
      <c r="B100" s="4"/>
      <c r="C100" s="4"/>
      <c r="D100" s="4"/>
      <c r="E100" s="4"/>
      <c r="F100" s="4"/>
      <c r="G100" s="4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35"/>
      <c r="S100" s="12"/>
      <c r="T100" s="12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>
      <c r="A101" s="4"/>
      <c r="B101" s="4"/>
      <c r="C101" s="4"/>
      <c r="D101" s="4"/>
      <c r="E101" s="4"/>
      <c r="F101" s="4"/>
      <c r="G101" s="4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35"/>
      <c r="S101" s="12"/>
      <c r="T101" s="12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>
      <c r="A102" s="4"/>
      <c r="B102" s="4"/>
      <c r="C102" s="4"/>
      <c r="D102" s="4"/>
      <c r="E102" s="4"/>
      <c r="F102" s="4"/>
      <c r="G102" s="4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35"/>
      <c r="S102" s="12"/>
      <c r="T102" s="12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>
      <c r="A103" s="4"/>
      <c r="B103" s="4"/>
      <c r="C103" s="4"/>
      <c r="D103" s="4"/>
      <c r="E103" s="4"/>
      <c r="F103" s="4"/>
      <c r="G103" s="4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35"/>
      <c r="S103" s="12"/>
      <c r="T103" s="12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>
      <c r="A104" s="4"/>
      <c r="B104" s="4"/>
      <c r="C104" s="4"/>
      <c r="D104" s="4"/>
      <c r="E104" s="4"/>
      <c r="F104" s="4"/>
      <c r="G104" s="4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35"/>
      <c r="S104" s="12"/>
      <c r="T104" s="12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>
      <c r="A105" s="4"/>
      <c r="B105" s="4"/>
      <c r="C105" s="4"/>
      <c r="D105" s="4"/>
      <c r="E105" s="4"/>
      <c r="F105" s="4"/>
      <c r="G105" s="4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35"/>
      <c r="S105" s="12"/>
      <c r="T105" s="12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>
      <c r="A106" s="4"/>
      <c r="B106" s="4"/>
      <c r="C106" s="4"/>
      <c r="D106" s="4"/>
      <c r="E106" s="4"/>
      <c r="F106" s="4"/>
      <c r="G106" s="4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35"/>
      <c r="S106" s="12"/>
      <c r="T106" s="12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>
      <c r="A107" s="4"/>
      <c r="B107" s="4"/>
      <c r="C107" s="4"/>
      <c r="D107" s="4"/>
      <c r="E107" s="4"/>
      <c r="F107" s="4"/>
      <c r="G107" s="4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35"/>
      <c r="S107" s="12"/>
      <c r="T107" s="12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>
      <c r="A108" s="4"/>
      <c r="B108" s="4"/>
      <c r="C108" s="4"/>
      <c r="D108" s="4"/>
      <c r="E108" s="4"/>
      <c r="F108" s="4"/>
      <c r="G108" s="4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35"/>
      <c r="S108" s="12"/>
      <c r="T108" s="12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>
      <c r="A109" s="4"/>
      <c r="B109" s="4"/>
      <c r="C109" s="4"/>
      <c r="D109" s="4"/>
      <c r="E109" s="4"/>
      <c r="F109" s="4"/>
      <c r="G109" s="4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35"/>
      <c r="S109" s="12"/>
      <c r="T109" s="12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>
      <c r="A110" s="4"/>
      <c r="B110" s="4"/>
      <c r="C110" s="4"/>
      <c r="D110" s="4"/>
      <c r="E110" s="4"/>
      <c r="F110" s="4"/>
      <c r="G110" s="4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35"/>
      <c r="S110" s="12"/>
      <c r="T110" s="12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>
      <c r="A111" s="4"/>
      <c r="B111" s="4"/>
      <c r="C111" s="4"/>
      <c r="D111" s="4"/>
      <c r="E111" s="4"/>
      <c r="F111" s="4"/>
      <c r="G111" s="4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35"/>
      <c r="S111" s="12"/>
      <c r="T111" s="12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>
      <c r="A112" s="4"/>
      <c r="B112" s="4"/>
      <c r="C112" s="4"/>
      <c r="D112" s="4"/>
      <c r="E112" s="4"/>
      <c r="F112" s="4"/>
      <c r="G112" s="4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35"/>
      <c r="S112" s="12"/>
      <c r="T112" s="12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>
      <c r="A113" s="4"/>
      <c r="B113" s="4"/>
      <c r="C113" s="4"/>
      <c r="D113" s="4"/>
      <c r="E113" s="4"/>
      <c r="F113" s="4"/>
      <c r="G113" s="4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35"/>
      <c r="S113" s="12"/>
      <c r="T113" s="12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>
      <c r="A114" s="4"/>
      <c r="B114" s="4"/>
      <c r="C114" s="4"/>
      <c r="D114" s="4"/>
      <c r="E114" s="4"/>
      <c r="F114" s="4"/>
      <c r="G114" s="4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35"/>
      <c r="S114" s="12"/>
      <c r="T114" s="12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>
      <c r="A115" s="4"/>
      <c r="B115" s="4"/>
      <c r="C115" s="4"/>
      <c r="D115" s="4"/>
      <c r="E115" s="4"/>
      <c r="F115" s="4"/>
      <c r="G115" s="4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35"/>
      <c r="S115" s="12"/>
      <c r="T115" s="12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>
      <c r="A116" s="4"/>
      <c r="B116" s="4"/>
      <c r="C116" s="4"/>
      <c r="D116" s="4"/>
      <c r="E116" s="4"/>
      <c r="F116" s="4"/>
      <c r="G116" s="4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35"/>
      <c r="S116" s="12"/>
      <c r="T116" s="12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>
      <c r="A117" s="4"/>
      <c r="B117" s="4"/>
      <c r="C117" s="4"/>
      <c r="D117" s="4"/>
      <c r="E117" s="4"/>
      <c r="F117" s="4"/>
      <c r="G117" s="4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35"/>
      <c r="S117" s="12"/>
      <c r="T117" s="12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>
      <c r="A118" s="4"/>
      <c r="B118" s="4"/>
      <c r="C118" s="4"/>
      <c r="D118" s="4"/>
      <c r="E118" s="4"/>
      <c r="F118" s="4"/>
      <c r="G118" s="4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35"/>
      <c r="S118" s="12"/>
      <c r="T118" s="12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>
      <c r="A119" s="4"/>
      <c r="B119" s="4"/>
      <c r="C119" s="4"/>
      <c r="D119" s="4"/>
      <c r="E119" s="4"/>
      <c r="F119" s="4"/>
      <c r="G119" s="4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35"/>
      <c r="S119" s="12"/>
      <c r="T119" s="12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>
      <c r="A120" s="4"/>
      <c r="B120" s="4"/>
      <c r="C120" s="4"/>
      <c r="D120" s="4"/>
      <c r="E120" s="4"/>
      <c r="F120" s="4"/>
      <c r="G120" s="4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35"/>
      <c r="S120" s="12"/>
      <c r="T120" s="12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>
      <c r="A121" s="4"/>
      <c r="B121" s="4"/>
      <c r="C121" s="4"/>
      <c r="D121" s="4"/>
      <c r="E121" s="4"/>
      <c r="F121" s="4"/>
      <c r="G121" s="4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35"/>
      <c r="S121" s="12"/>
      <c r="T121" s="1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>
      <c r="A122" s="4"/>
      <c r="B122" s="4"/>
      <c r="C122" s="4"/>
      <c r="D122" s="4"/>
      <c r="E122" s="4"/>
      <c r="F122" s="4"/>
      <c r="G122" s="4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35"/>
      <c r="S122" s="12"/>
      <c r="T122" s="1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>
      <c r="A123" s="4"/>
      <c r="B123" s="4"/>
      <c r="C123" s="4"/>
      <c r="D123" s="4"/>
      <c r="E123" s="4"/>
      <c r="F123" s="4"/>
      <c r="G123" s="4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35"/>
      <c r="S123" s="12"/>
      <c r="T123" s="12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>
      <c r="A124" s="4"/>
      <c r="B124" s="4"/>
      <c r="C124" s="4"/>
      <c r="D124" s="4"/>
      <c r="E124" s="4"/>
      <c r="F124" s="4"/>
      <c r="G124" s="4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35"/>
      <c r="S124" s="12"/>
      <c r="T124" s="12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>
      <c r="A125" s="4"/>
      <c r="B125" s="4"/>
      <c r="C125" s="4"/>
      <c r="D125" s="4"/>
      <c r="E125" s="4"/>
      <c r="F125" s="4"/>
      <c r="G125" s="4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35"/>
      <c r="S125" s="12"/>
      <c r="T125" s="1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>
      <c r="A126" s="4"/>
      <c r="B126" s="4"/>
      <c r="C126" s="4"/>
      <c r="D126" s="4"/>
      <c r="E126" s="4"/>
      <c r="F126" s="4"/>
      <c r="G126" s="4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35"/>
      <c r="S126" s="12"/>
      <c r="T126" s="1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>
      <c r="A127" s="4"/>
      <c r="B127" s="4"/>
      <c r="C127" s="4"/>
      <c r="D127" s="4"/>
      <c r="E127" s="4"/>
      <c r="F127" s="4"/>
      <c r="G127" s="4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35"/>
      <c r="S127" s="12"/>
      <c r="T127" s="1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>
      <c r="A128" s="4"/>
      <c r="B128" s="4"/>
      <c r="C128" s="4"/>
      <c r="D128" s="4"/>
      <c r="E128" s="4"/>
      <c r="F128" s="4"/>
      <c r="G128" s="4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35"/>
      <c r="S128" s="12"/>
      <c r="T128" s="1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>
      <c r="A129" s="4"/>
      <c r="B129" s="4"/>
      <c r="C129" s="4"/>
      <c r="D129" s="4"/>
      <c r="E129" s="4"/>
      <c r="F129" s="4"/>
      <c r="G129" s="4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35"/>
      <c r="S129" s="12"/>
      <c r="T129" s="1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>
      <c r="A130" s="4"/>
      <c r="B130" s="4"/>
      <c r="C130" s="4"/>
      <c r="D130" s="4"/>
      <c r="E130" s="4"/>
      <c r="F130" s="4"/>
      <c r="G130" s="4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35"/>
      <c r="S130" s="12"/>
      <c r="T130" s="1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>
      <c r="A131" s="4"/>
      <c r="B131" s="4"/>
      <c r="C131" s="4"/>
      <c r="D131" s="4"/>
      <c r="E131" s="4"/>
      <c r="F131" s="4"/>
      <c r="G131" s="4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35"/>
      <c r="S131" s="12"/>
      <c r="T131" s="12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>
      <c r="A132" s="4"/>
      <c r="B132" s="4"/>
      <c r="C132" s="4"/>
      <c r="D132" s="4"/>
      <c r="E132" s="4"/>
      <c r="F132" s="4"/>
      <c r="G132" s="4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35"/>
      <c r="S132" s="12"/>
      <c r="T132" s="12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>
      <c r="A133" s="4"/>
      <c r="B133" s="4"/>
      <c r="C133" s="4"/>
      <c r="D133" s="4"/>
      <c r="E133" s="4"/>
      <c r="F133" s="4"/>
      <c r="G133" s="4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35"/>
      <c r="S133" s="12"/>
      <c r="T133" s="12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>
      <c r="A134" s="4"/>
      <c r="B134" s="4"/>
      <c r="C134" s="4"/>
      <c r="D134" s="4"/>
      <c r="E134" s="4"/>
      <c r="F134" s="4"/>
      <c r="G134" s="4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35"/>
      <c r="S134" s="12"/>
      <c r="T134" s="12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>
      <c r="A135" s="4"/>
      <c r="B135" s="4"/>
      <c r="C135" s="4"/>
      <c r="D135" s="4"/>
      <c r="E135" s="4"/>
      <c r="F135" s="4"/>
      <c r="G135" s="4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35"/>
      <c r="S135" s="12"/>
      <c r="T135" s="12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>
      <c r="A136" s="4"/>
      <c r="B136" s="4"/>
      <c r="C136" s="4"/>
      <c r="D136" s="4"/>
      <c r="E136" s="4"/>
      <c r="F136" s="4"/>
      <c r="G136" s="4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35"/>
      <c r="S136" s="12"/>
      <c r="T136" s="12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>
      <c r="A137" s="4"/>
      <c r="B137" s="4"/>
      <c r="C137" s="4"/>
      <c r="D137" s="4"/>
      <c r="E137" s="4"/>
      <c r="F137" s="4"/>
      <c r="G137" s="4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35"/>
      <c r="S137" s="12"/>
      <c r="T137" s="12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>
      <c r="A138" s="4"/>
      <c r="B138" s="4"/>
      <c r="C138" s="4"/>
      <c r="D138" s="4"/>
      <c r="E138" s="4"/>
      <c r="F138" s="4"/>
      <c r="G138" s="4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35"/>
      <c r="S138" s="12"/>
      <c r="T138" s="12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>
      <c r="A139" s="4"/>
      <c r="B139" s="4"/>
      <c r="C139" s="4"/>
      <c r="D139" s="4"/>
      <c r="E139" s="4"/>
      <c r="F139" s="4"/>
      <c r="G139" s="4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35"/>
      <c r="S139" s="12"/>
      <c r="T139" s="12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>
      <c r="A140" s="4"/>
      <c r="B140" s="4"/>
      <c r="C140" s="4"/>
      <c r="D140" s="4"/>
      <c r="E140" s="4"/>
      <c r="F140" s="4"/>
      <c r="G140" s="4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35"/>
      <c r="S140" s="12"/>
      <c r="T140" s="12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>
      <c r="A141" s="4"/>
      <c r="B141" s="4"/>
      <c r="C141" s="4"/>
      <c r="D141" s="4"/>
      <c r="E141" s="4"/>
      <c r="F141" s="4"/>
      <c r="G141" s="4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35"/>
      <c r="S141" s="12"/>
      <c r="T141" s="12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>
      <c r="A142" s="4"/>
      <c r="B142" s="4"/>
      <c r="C142" s="4"/>
      <c r="D142" s="4"/>
      <c r="E142" s="4"/>
      <c r="F142" s="4"/>
      <c r="G142" s="4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35"/>
      <c r="S142" s="12"/>
      <c r="T142" s="12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>
      <c r="A143" s="4"/>
      <c r="B143" s="4"/>
      <c r="C143" s="4"/>
      <c r="D143" s="4"/>
      <c r="E143" s="4"/>
      <c r="F143" s="4"/>
      <c r="G143" s="4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35"/>
      <c r="S143" s="12"/>
      <c r="T143" s="12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>
      <c r="A144" s="4"/>
      <c r="B144" s="4"/>
      <c r="C144" s="4"/>
      <c r="D144" s="4"/>
      <c r="E144" s="4"/>
      <c r="F144" s="4"/>
      <c r="G144" s="4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35"/>
      <c r="S144" s="12"/>
      <c r="T144" s="12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>
      <c r="A145" s="4"/>
      <c r="B145" s="4"/>
      <c r="C145" s="4"/>
      <c r="D145" s="4"/>
      <c r="E145" s="4"/>
      <c r="F145" s="4"/>
      <c r="G145" s="4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35"/>
      <c r="S145" s="12"/>
      <c r="T145" s="12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>
      <c r="A146" s="4"/>
      <c r="B146" s="4"/>
      <c r="C146" s="4"/>
      <c r="D146" s="4"/>
      <c r="E146" s="4"/>
      <c r="F146" s="4"/>
      <c r="G146" s="4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35"/>
      <c r="S146" s="12"/>
      <c r="T146" s="12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>
      <c r="A147" s="4"/>
      <c r="B147" s="4"/>
      <c r="C147" s="4"/>
      <c r="D147" s="4"/>
      <c r="E147" s="4"/>
      <c r="F147" s="4"/>
      <c r="G147" s="4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35"/>
      <c r="S147" s="12"/>
      <c r="T147" s="12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>
      <c r="A148" s="4"/>
      <c r="B148" s="4"/>
      <c r="C148" s="4"/>
      <c r="D148" s="4"/>
      <c r="E148" s="4"/>
      <c r="F148" s="4"/>
      <c r="G148" s="4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35"/>
      <c r="S148" s="12"/>
      <c r="T148" s="12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>
      <c r="A149" s="4"/>
      <c r="B149" s="4"/>
      <c r="C149" s="4"/>
      <c r="D149" s="4"/>
      <c r="E149" s="4"/>
      <c r="F149" s="4"/>
      <c r="G149" s="4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35"/>
      <c r="S149" s="12"/>
      <c r="T149" s="12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>
      <c r="A150" s="4"/>
      <c r="B150" s="4"/>
      <c r="C150" s="4"/>
      <c r="D150" s="4"/>
      <c r="E150" s="4"/>
      <c r="F150" s="4"/>
      <c r="G150" s="4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35"/>
      <c r="S150" s="12"/>
      <c r="T150" s="12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>
      <c r="A151" s="4"/>
      <c r="B151" s="4"/>
      <c r="C151" s="4"/>
      <c r="D151" s="4"/>
      <c r="E151" s="4"/>
      <c r="F151" s="4"/>
      <c r="G151" s="4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35"/>
      <c r="S151" s="12"/>
      <c r="T151" s="12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>
      <c r="A152" s="4"/>
      <c r="B152" s="4"/>
      <c r="C152" s="4"/>
      <c r="D152" s="4"/>
      <c r="E152" s="4"/>
      <c r="F152" s="4"/>
      <c r="G152" s="4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35"/>
      <c r="S152" s="12"/>
      <c r="T152" s="12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>
      <c r="A153" s="4"/>
      <c r="B153" s="4"/>
      <c r="C153" s="4"/>
      <c r="D153" s="4"/>
      <c r="E153" s="4"/>
      <c r="F153" s="4"/>
      <c r="G153" s="4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35"/>
      <c r="S153" s="12"/>
      <c r="T153" s="12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>
      <c r="A154" s="4"/>
      <c r="B154" s="4"/>
      <c r="C154" s="4"/>
      <c r="D154" s="4"/>
      <c r="E154" s="4"/>
      <c r="F154" s="4"/>
      <c r="G154" s="4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35"/>
      <c r="S154" s="12"/>
      <c r="T154" s="12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>
      <c r="A155" s="4"/>
      <c r="B155" s="4"/>
      <c r="C155" s="4"/>
      <c r="D155" s="4"/>
      <c r="E155" s="4"/>
      <c r="F155" s="4"/>
      <c r="G155" s="4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35"/>
      <c r="S155" s="12"/>
      <c r="T155" s="12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>
      <c r="A156" s="4"/>
      <c r="B156" s="4"/>
      <c r="C156" s="4"/>
      <c r="D156" s="4"/>
      <c r="E156" s="4"/>
      <c r="F156" s="4"/>
      <c r="G156" s="4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35"/>
      <c r="S156" s="12"/>
      <c r="T156" s="12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>
      <c r="A157" s="4"/>
      <c r="B157" s="4"/>
      <c r="C157" s="4"/>
      <c r="D157" s="4"/>
      <c r="E157" s="4"/>
      <c r="F157" s="4"/>
      <c r="G157" s="4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35"/>
      <c r="S157" s="12"/>
      <c r="T157" s="12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>
      <c r="A158" s="4"/>
      <c r="B158" s="4"/>
      <c r="C158" s="4"/>
      <c r="D158" s="4"/>
      <c r="E158" s="4"/>
      <c r="F158" s="4"/>
      <c r="G158" s="4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35"/>
      <c r="S158" s="12"/>
      <c r="T158" s="12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>
      <c r="A159" s="4"/>
      <c r="B159" s="4"/>
      <c r="C159" s="4"/>
      <c r="D159" s="4"/>
      <c r="E159" s="4"/>
      <c r="F159" s="4"/>
      <c r="G159" s="4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35"/>
      <c r="S159" s="12"/>
      <c r="T159" s="12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>
      <c r="A160" s="4"/>
      <c r="B160" s="4"/>
      <c r="C160" s="4"/>
      <c r="D160" s="4"/>
      <c r="E160" s="4"/>
      <c r="F160" s="4"/>
      <c r="G160" s="4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35"/>
      <c r="S160" s="12"/>
      <c r="T160" s="12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>
      <c r="A161" s="4"/>
      <c r="B161" s="4"/>
      <c r="C161" s="4"/>
      <c r="D161" s="4"/>
      <c r="E161" s="4"/>
      <c r="F161" s="4"/>
      <c r="G161" s="4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35"/>
      <c r="S161" s="12"/>
      <c r="T161" s="12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>
      <c r="A162" s="4"/>
      <c r="B162" s="4"/>
      <c r="C162" s="4"/>
      <c r="D162" s="4"/>
      <c r="E162" s="4"/>
      <c r="F162" s="4"/>
      <c r="G162" s="4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35"/>
      <c r="S162" s="12"/>
      <c r="T162" s="12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>
      <c r="A163" s="4"/>
      <c r="B163" s="4"/>
      <c r="C163" s="4"/>
      <c r="D163" s="4"/>
      <c r="E163" s="4"/>
      <c r="F163" s="4"/>
      <c r="G163" s="4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35"/>
      <c r="S163" s="12"/>
      <c r="T163" s="12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>
      <c r="A164" s="4"/>
      <c r="B164" s="4"/>
      <c r="C164" s="4"/>
      <c r="D164" s="4"/>
      <c r="E164" s="4"/>
      <c r="F164" s="4"/>
      <c r="G164" s="4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35"/>
      <c r="S164" s="12"/>
      <c r="T164" s="12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>
      <c r="A165" s="4"/>
      <c r="B165" s="4"/>
      <c r="C165" s="4"/>
      <c r="D165" s="4"/>
      <c r="E165" s="4"/>
      <c r="F165" s="4"/>
      <c r="G165" s="4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35"/>
      <c r="S165" s="12"/>
      <c r="T165" s="12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>
      <c r="A166" s="4"/>
      <c r="B166" s="4"/>
      <c r="C166" s="4"/>
      <c r="D166" s="4"/>
      <c r="E166" s="4"/>
      <c r="F166" s="4"/>
      <c r="G166" s="4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35"/>
      <c r="S166" s="12"/>
      <c r="T166" s="12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>
      <c r="A167" s="4"/>
      <c r="B167" s="4"/>
      <c r="C167" s="4"/>
      <c r="D167" s="4"/>
      <c r="E167" s="4"/>
      <c r="F167" s="4"/>
      <c r="G167" s="4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35"/>
      <c r="S167" s="12"/>
      <c r="T167" s="12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>
      <c r="A168" s="4"/>
      <c r="B168" s="4"/>
      <c r="C168" s="4"/>
      <c r="D168" s="4"/>
      <c r="E168" s="4"/>
      <c r="F168" s="4"/>
      <c r="G168" s="4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35"/>
      <c r="S168" s="12"/>
      <c r="T168" s="12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>
      <c r="A169" s="4"/>
      <c r="B169" s="4"/>
      <c r="C169" s="4"/>
      <c r="D169" s="4"/>
      <c r="E169" s="4"/>
      <c r="F169" s="4"/>
      <c r="G169" s="4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35"/>
      <c r="S169" s="12"/>
      <c r="T169" s="12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>
      <c r="A170" s="4"/>
      <c r="B170" s="4"/>
      <c r="C170" s="4"/>
      <c r="D170" s="4"/>
      <c r="E170" s="4"/>
      <c r="F170" s="4"/>
      <c r="G170" s="4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35"/>
      <c r="S170" s="12"/>
      <c r="T170" s="12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>
      <c r="A171" s="4"/>
      <c r="B171" s="4"/>
      <c r="C171" s="4"/>
      <c r="D171" s="4"/>
      <c r="E171" s="4"/>
      <c r="F171" s="4"/>
      <c r="G171" s="4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35"/>
      <c r="S171" s="12"/>
      <c r="T171" s="12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>
      <c r="A172" s="4"/>
      <c r="B172" s="4"/>
      <c r="C172" s="4"/>
      <c r="D172" s="4"/>
      <c r="E172" s="4"/>
      <c r="F172" s="4"/>
      <c r="G172" s="4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35"/>
      <c r="S172" s="12"/>
      <c r="T172" s="12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>
      <c r="A173" s="4"/>
      <c r="B173" s="4"/>
      <c r="C173" s="4"/>
      <c r="D173" s="4"/>
      <c r="E173" s="4"/>
      <c r="F173" s="4"/>
      <c r="G173" s="4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35"/>
      <c r="S173" s="12"/>
      <c r="T173" s="12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>
      <c r="A174" s="4"/>
      <c r="B174" s="4"/>
      <c r="C174" s="4"/>
      <c r="D174" s="4"/>
      <c r="E174" s="4"/>
      <c r="F174" s="4"/>
      <c r="G174" s="4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35"/>
      <c r="S174" s="12"/>
      <c r="T174" s="12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>
      <c r="A175" s="4"/>
      <c r="B175" s="4"/>
      <c r="C175" s="4"/>
      <c r="D175" s="4"/>
      <c r="E175" s="4"/>
      <c r="F175" s="4"/>
      <c r="G175" s="4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35"/>
      <c r="S175" s="12"/>
      <c r="T175" s="12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>
      <c r="A176" s="4"/>
      <c r="B176" s="4"/>
      <c r="C176" s="4"/>
      <c r="D176" s="4"/>
      <c r="E176" s="4"/>
      <c r="F176" s="4"/>
      <c r="G176" s="4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35"/>
      <c r="S176" s="12"/>
      <c r="T176" s="12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>
      <c r="A177" s="4"/>
      <c r="B177" s="4"/>
      <c r="C177" s="4"/>
      <c r="D177" s="4"/>
      <c r="E177" s="4"/>
      <c r="F177" s="4"/>
      <c r="G177" s="4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35"/>
      <c r="S177" s="12"/>
      <c r="T177" s="12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>
      <c r="A178" s="4"/>
      <c r="B178" s="4"/>
      <c r="C178" s="4"/>
      <c r="D178" s="4"/>
      <c r="E178" s="4"/>
      <c r="F178" s="4"/>
      <c r="G178" s="4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35"/>
      <c r="S178" s="12"/>
      <c r="T178" s="12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>
      <c r="A179" s="4"/>
      <c r="B179" s="4"/>
      <c r="C179" s="4"/>
      <c r="D179" s="4"/>
      <c r="E179" s="4"/>
      <c r="F179" s="4"/>
      <c r="G179" s="4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35"/>
      <c r="S179" s="12"/>
      <c r="T179" s="12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>
      <c r="A180" s="4"/>
      <c r="B180" s="4"/>
      <c r="C180" s="4"/>
      <c r="D180" s="4"/>
      <c r="E180" s="4"/>
      <c r="F180" s="4"/>
      <c r="G180" s="4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35"/>
      <c r="S180" s="12"/>
      <c r="T180" s="12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>
      <c r="A181" s="4"/>
      <c r="B181" s="4"/>
      <c r="C181" s="4"/>
      <c r="D181" s="4"/>
      <c r="E181" s="4"/>
      <c r="F181" s="4"/>
      <c r="G181" s="4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35"/>
      <c r="S181" s="12"/>
      <c r="T181" s="12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>
      <c r="A182" s="4"/>
      <c r="B182" s="4"/>
      <c r="C182" s="4"/>
      <c r="D182" s="4"/>
      <c r="E182" s="4"/>
      <c r="F182" s="4"/>
      <c r="G182" s="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35"/>
      <c r="S182" s="12"/>
      <c r="T182" s="12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>
      <c r="A183" s="4"/>
      <c r="B183" s="4"/>
      <c r="C183" s="4"/>
      <c r="D183" s="4"/>
      <c r="E183" s="4"/>
      <c r="F183" s="4"/>
      <c r="G183" s="4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35"/>
      <c r="S183" s="12"/>
      <c r="T183" s="12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>
      <c r="A184" s="4"/>
      <c r="B184" s="4"/>
      <c r="C184" s="4"/>
      <c r="D184" s="4"/>
      <c r="E184" s="4"/>
      <c r="F184" s="4"/>
      <c r="G184" s="4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35"/>
      <c r="S184" s="12"/>
      <c r="T184" s="12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>
      <c r="A185" s="4"/>
      <c r="B185" s="4"/>
      <c r="C185" s="4"/>
      <c r="D185" s="4"/>
      <c r="E185" s="4"/>
      <c r="F185" s="4"/>
      <c r="G185" s="4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35"/>
      <c r="S185" s="12"/>
      <c r="T185" s="12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>
      <c r="A186" s="4"/>
      <c r="B186" s="4"/>
      <c r="C186" s="4"/>
      <c r="D186" s="4"/>
      <c r="E186" s="4"/>
      <c r="F186" s="4"/>
      <c r="G186" s="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35"/>
      <c r="S186" s="12"/>
      <c r="T186" s="12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>
      <c r="A187" s="4"/>
      <c r="B187" s="4"/>
      <c r="C187" s="4"/>
      <c r="D187" s="4"/>
      <c r="E187" s="4"/>
      <c r="F187" s="4"/>
      <c r="G187" s="4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35"/>
      <c r="S187" s="12"/>
      <c r="T187" s="12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>
      <c r="A188" s="4"/>
      <c r="B188" s="4"/>
      <c r="C188" s="4"/>
      <c r="D188" s="4"/>
      <c r="E188" s="4"/>
      <c r="F188" s="4"/>
      <c r="G188" s="4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35"/>
      <c r="S188" s="12"/>
      <c r="T188" s="12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>
      <c r="A189" s="4"/>
      <c r="B189" s="4"/>
      <c r="C189" s="4"/>
      <c r="D189" s="4"/>
      <c r="E189" s="4"/>
      <c r="F189" s="4"/>
      <c r="G189" s="4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35"/>
      <c r="S189" s="12"/>
      <c r="T189" s="12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>
      <c r="A190" s="4"/>
      <c r="B190" s="4"/>
      <c r="C190" s="4"/>
      <c r="D190" s="4"/>
      <c r="E190" s="4"/>
      <c r="F190" s="4"/>
      <c r="G190" s="4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35"/>
      <c r="S190" s="12"/>
      <c r="T190" s="12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>
      <c r="A191" s="4"/>
      <c r="B191" s="4"/>
      <c r="C191" s="4"/>
      <c r="D191" s="4"/>
      <c r="E191" s="4"/>
      <c r="F191" s="4"/>
      <c r="G191" s="4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35"/>
      <c r="S191" s="12"/>
      <c r="T191" s="12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>
      <c r="A192" s="4"/>
      <c r="B192" s="4"/>
      <c r="C192" s="4"/>
      <c r="D192" s="4"/>
      <c r="E192" s="4"/>
      <c r="F192" s="4"/>
      <c r="G192" s="4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35"/>
      <c r="S192" s="12"/>
      <c r="T192" s="12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>
      <c r="A193" s="4"/>
      <c r="B193" s="4"/>
      <c r="C193" s="4"/>
      <c r="D193" s="4"/>
      <c r="E193" s="4"/>
      <c r="F193" s="4"/>
      <c r="G193" s="4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35"/>
      <c r="S193" s="12"/>
      <c r="T193" s="12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>
      <c r="A194" s="4"/>
      <c r="B194" s="4"/>
      <c r="C194" s="4"/>
      <c r="D194" s="4"/>
      <c r="E194" s="4"/>
      <c r="F194" s="4"/>
      <c r="G194" s="4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35"/>
      <c r="S194" s="12"/>
      <c r="T194" s="12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>
      <c r="A195" s="4"/>
      <c r="B195" s="4"/>
      <c r="C195" s="4"/>
      <c r="D195" s="4"/>
      <c r="E195" s="4"/>
      <c r="F195" s="4"/>
      <c r="G195" s="4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35"/>
      <c r="S195" s="12"/>
      <c r="T195" s="12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>
      <c r="A196" s="4"/>
      <c r="B196" s="4"/>
      <c r="C196" s="4"/>
      <c r="D196" s="4"/>
      <c r="E196" s="4"/>
      <c r="F196" s="4"/>
      <c r="G196" s="4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35"/>
      <c r="S196" s="12"/>
      <c r="T196" s="12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>
      <c r="A197" s="4"/>
      <c r="B197" s="4"/>
      <c r="C197" s="4"/>
      <c r="D197" s="4"/>
      <c r="E197" s="4"/>
      <c r="F197" s="4"/>
      <c r="G197" s="4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35"/>
      <c r="S197" s="12"/>
      <c r="T197" s="12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>
      <c r="A198" s="4"/>
      <c r="B198" s="4"/>
      <c r="C198" s="4"/>
      <c r="D198" s="4"/>
      <c r="E198" s="4"/>
      <c r="F198" s="4"/>
      <c r="G198" s="4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35"/>
      <c r="S198" s="12"/>
      <c r="T198" s="12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>
      <c r="A199" s="4"/>
      <c r="B199" s="4"/>
      <c r="C199" s="4"/>
      <c r="D199" s="4"/>
      <c r="E199" s="4"/>
      <c r="F199" s="4"/>
      <c r="G199" s="4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35"/>
      <c r="S199" s="12"/>
      <c r="T199" s="12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>
      <c r="A200" s="4"/>
      <c r="B200" s="4"/>
      <c r="C200" s="4"/>
      <c r="D200" s="4"/>
      <c r="E200" s="4"/>
      <c r="F200" s="4"/>
      <c r="G200" s="4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35"/>
      <c r="S200" s="12"/>
      <c r="T200" s="12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>
      <c r="A201" s="4"/>
      <c r="B201" s="4"/>
      <c r="C201" s="4"/>
      <c r="D201" s="4"/>
      <c r="E201" s="4"/>
      <c r="F201" s="4"/>
      <c r="G201" s="4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35"/>
      <c r="S201" s="12"/>
      <c r="T201" s="12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>
      <c r="A202" s="4"/>
      <c r="B202" s="4"/>
      <c r="C202" s="4"/>
      <c r="D202" s="4"/>
      <c r="E202" s="4"/>
      <c r="F202" s="4"/>
      <c r="G202" s="4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35"/>
      <c r="S202" s="12"/>
      <c r="T202" s="12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>
      <c r="A203" s="4"/>
      <c r="B203" s="4"/>
      <c r="C203" s="4"/>
      <c r="D203" s="4"/>
      <c r="E203" s="4"/>
      <c r="F203" s="4"/>
      <c r="G203" s="4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35"/>
      <c r="S203" s="12"/>
      <c r="T203" s="12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>
      <c r="A204" s="4"/>
      <c r="B204" s="4"/>
      <c r="C204" s="4"/>
      <c r="D204" s="4"/>
      <c r="E204" s="4"/>
      <c r="F204" s="4"/>
      <c r="G204" s="4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35"/>
      <c r="S204" s="12"/>
      <c r="T204" s="12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>
      <c r="A205" s="4"/>
      <c r="B205" s="4"/>
      <c r="C205" s="4"/>
      <c r="D205" s="4"/>
      <c r="E205" s="4"/>
      <c r="F205" s="4"/>
      <c r="G205" s="4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35"/>
      <c r="S205" s="12"/>
      <c r="T205" s="12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>
      <c r="A206" s="4"/>
      <c r="B206" s="4"/>
      <c r="C206" s="4"/>
      <c r="D206" s="4"/>
      <c r="E206" s="4"/>
      <c r="F206" s="4"/>
      <c r="G206" s="4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35"/>
      <c r="S206" s="12"/>
      <c r="T206" s="12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>
      <c r="A207" s="4"/>
      <c r="B207" s="4"/>
      <c r="C207" s="4"/>
      <c r="D207" s="4"/>
      <c r="E207" s="4"/>
      <c r="F207" s="4"/>
      <c r="G207" s="4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35"/>
      <c r="S207" s="12"/>
      <c r="T207" s="12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>
      <c r="A208" s="4"/>
      <c r="B208" s="4"/>
      <c r="C208" s="4"/>
      <c r="D208" s="4"/>
      <c r="E208" s="4"/>
      <c r="F208" s="4"/>
      <c r="G208" s="4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35"/>
      <c r="S208" s="12"/>
      <c r="T208" s="12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>
      <c r="A209" s="4"/>
      <c r="B209" s="4"/>
      <c r="C209" s="4"/>
      <c r="D209" s="4"/>
      <c r="E209" s="4"/>
      <c r="F209" s="4"/>
      <c r="G209" s="4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35"/>
      <c r="S209" s="12"/>
      <c r="T209" s="12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>
      <c r="A210" s="4"/>
      <c r="B210" s="4"/>
      <c r="C210" s="4"/>
      <c r="D210" s="4"/>
      <c r="E210" s="4"/>
      <c r="F210" s="4"/>
      <c r="G210" s="4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35"/>
      <c r="S210" s="12"/>
      <c r="T210" s="12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>
      <c r="A211" s="4"/>
      <c r="B211" s="4"/>
      <c r="C211" s="4"/>
      <c r="D211" s="4"/>
      <c r="E211" s="4"/>
      <c r="F211" s="4"/>
      <c r="G211" s="4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35"/>
      <c r="S211" s="12"/>
      <c r="T211" s="12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>
      <c r="A212" s="4"/>
      <c r="B212" s="4"/>
      <c r="C212" s="4"/>
      <c r="D212" s="4"/>
      <c r="E212" s="4"/>
      <c r="F212" s="4"/>
      <c r="G212" s="4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35"/>
      <c r="S212" s="12"/>
      <c r="T212" s="12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>
      <c r="A213" s="4"/>
      <c r="B213" s="4"/>
      <c r="C213" s="4"/>
      <c r="D213" s="4"/>
      <c r="E213" s="4"/>
      <c r="F213" s="4"/>
      <c r="G213" s="4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35"/>
      <c r="S213" s="12"/>
      <c r="T213" s="12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>
      <c r="A214" s="4"/>
      <c r="B214" s="4"/>
      <c r="C214" s="4"/>
      <c r="D214" s="4"/>
      <c r="E214" s="4"/>
      <c r="F214" s="4"/>
      <c r="G214" s="4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35"/>
      <c r="S214" s="12"/>
      <c r="T214" s="12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>
      <c r="A215" s="4"/>
      <c r="B215" s="4"/>
      <c r="C215" s="4"/>
      <c r="D215" s="4"/>
      <c r="E215" s="4"/>
      <c r="F215" s="4"/>
      <c r="G215" s="4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35"/>
      <c r="S215" s="12"/>
      <c r="T215" s="12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>
      <c r="A216" s="4"/>
      <c r="B216" s="4"/>
      <c r="C216" s="4"/>
      <c r="D216" s="4"/>
      <c r="E216" s="4"/>
      <c r="F216" s="4"/>
      <c r="G216" s="4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35"/>
      <c r="S216" s="12"/>
      <c r="T216" s="12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>
      <c r="A217" s="4"/>
      <c r="B217" s="4"/>
      <c r="C217" s="4"/>
      <c r="D217" s="4"/>
      <c r="E217" s="4"/>
      <c r="F217" s="4"/>
      <c r="G217" s="4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35"/>
      <c r="S217" s="12"/>
      <c r="T217" s="12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>
      <c r="A218" s="4"/>
      <c r="B218" s="4"/>
      <c r="C218" s="4"/>
      <c r="D218" s="4"/>
      <c r="E218" s="4"/>
      <c r="F218" s="4"/>
      <c r="G218" s="4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35"/>
      <c r="S218" s="12"/>
      <c r="T218" s="12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>
      <c r="A219" s="4"/>
      <c r="B219" s="4"/>
      <c r="C219" s="4"/>
      <c r="D219" s="4"/>
      <c r="E219" s="4"/>
      <c r="F219" s="4"/>
      <c r="G219" s="4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35"/>
      <c r="S219" s="12"/>
      <c r="T219" s="12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>
      <c r="A220" s="4"/>
      <c r="B220" s="4"/>
      <c r="C220" s="4"/>
      <c r="D220" s="4"/>
      <c r="E220" s="4"/>
      <c r="F220" s="4"/>
      <c r="G220" s="4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35"/>
      <c r="S220" s="12"/>
      <c r="T220" s="12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>
      <c r="A221" s="4"/>
      <c r="B221" s="4"/>
      <c r="C221" s="4"/>
      <c r="D221" s="4"/>
      <c r="E221" s="4"/>
      <c r="F221" s="4"/>
      <c r="G221" s="4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35"/>
      <c r="S221" s="12"/>
      <c r="T221" s="12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>
      <c r="A222" s="4"/>
      <c r="B222" s="4"/>
      <c r="C222" s="4"/>
      <c r="D222" s="4"/>
      <c r="E222" s="4"/>
      <c r="F222" s="4"/>
      <c r="G222" s="4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35"/>
      <c r="S222" s="12"/>
      <c r="T222" s="12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>
      <c r="A223" s="4"/>
      <c r="B223" s="4"/>
      <c r="C223" s="4"/>
      <c r="D223" s="4"/>
      <c r="E223" s="4"/>
      <c r="F223" s="4"/>
      <c r="G223" s="4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35"/>
      <c r="S223" s="12"/>
      <c r="T223" s="12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>
      <c r="A224" s="4"/>
      <c r="B224" s="4"/>
      <c r="C224" s="4"/>
      <c r="D224" s="4"/>
      <c r="E224" s="4"/>
      <c r="F224" s="4"/>
      <c r="G224" s="4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35"/>
      <c r="S224" s="12"/>
      <c r="T224" s="12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>
      <c r="A225" s="4"/>
      <c r="B225" s="4"/>
      <c r="C225" s="4"/>
      <c r="D225" s="4"/>
      <c r="E225" s="4"/>
      <c r="F225" s="4"/>
      <c r="G225" s="4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35"/>
      <c r="S225" s="12"/>
      <c r="T225" s="12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>
      <c r="A226" s="4"/>
      <c r="B226" s="4"/>
      <c r="C226" s="4"/>
      <c r="D226" s="4"/>
      <c r="E226" s="4"/>
      <c r="F226" s="4"/>
      <c r="G226" s="4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35"/>
      <c r="S226" s="12"/>
      <c r="T226" s="12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>
      <c r="A227" s="4"/>
      <c r="B227" s="4"/>
      <c r="C227" s="4"/>
      <c r="D227" s="4"/>
      <c r="E227" s="4"/>
      <c r="F227" s="4"/>
      <c r="G227" s="4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35"/>
      <c r="S227" s="12"/>
      <c r="T227" s="12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>
      <c r="A228" s="4"/>
      <c r="B228" s="4"/>
      <c r="C228" s="4"/>
      <c r="D228" s="4"/>
      <c r="E228" s="4"/>
      <c r="F228" s="4"/>
      <c r="G228" s="4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35"/>
      <c r="S228" s="12"/>
      <c r="T228" s="12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>
      <c r="A229" s="4"/>
      <c r="B229" s="4"/>
      <c r="C229" s="4"/>
      <c r="D229" s="4"/>
      <c r="E229" s="4"/>
      <c r="F229" s="4"/>
      <c r="G229" s="4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35"/>
      <c r="S229" s="12"/>
      <c r="T229" s="12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>
      <c r="A230" s="4"/>
      <c r="B230" s="4"/>
      <c r="C230" s="4"/>
      <c r="D230" s="4"/>
      <c r="E230" s="4"/>
      <c r="F230" s="4"/>
      <c r="G230" s="4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35"/>
      <c r="S230" s="12"/>
      <c r="T230" s="12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>
      <c r="A231" s="4"/>
      <c r="B231" s="4"/>
      <c r="C231" s="4"/>
      <c r="D231" s="4"/>
      <c r="E231" s="4"/>
      <c r="F231" s="4"/>
      <c r="G231" s="4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35"/>
      <c r="S231" s="12"/>
      <c r="T231" s="12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>
      <c r="A232" s="4"/>
      <c r="B232" s="4"/>
      <c r="C232" s="4"/>
      <c r="D232" s="4"/>
      <c r="E232" s="4"/>
      <c r="F232" s="4"/>
      <c r="G232" s="4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35"/>
      <c r="S232" s="12"/>
      <c r="T232" s="12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>
      <c r="A233" s="4"/>
      <c r="B233" s="4"/>
      <c r="C233" s="4"/>
      <c r="D233" s="4"/>
      <c r="E233" s="4"/>
      <c r="F233" s="4"/>
      <c r="G233" s="4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35"/>
      <c r="S233" s="12"/>
      <c r="T233" s="12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>
      <c r="A234" s="4"/>
      <c r="B234" s="4"/>
      <c r="C234" s="4"/>
      <c r="D234" s="4"/>
      <c r="E234" s="4"/>
      <c r="F234" s="4"/>
      <c r="G234" s="4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35"/>
      <c r="S234" s="12"/>
      <c r="T234" s="12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>
      <c r="A235" s="4"/>
      <c r="B235" s="4"/>
      <c r="C235" s="4"/>
      <c r="D235" s="4"/>
      <c r="E235" s="4"/>
      <c r="F235" s="4"/>
      <c r="G235" s="4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35"/>
      <c r="S235" s="12"/>
      <c r="T235" s="12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>
      <c r="A236" s="4"/>
      <c r="B236" s="4"/>
      <c r="C236" s="4"/>
      <c r="D236" s="4"/>
      <c r="E236" s="4"/>
      <c r="F236" s="4"/>
      <c r="G236" s="4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35"/>
      <c r="S236" s="12"/>
      <c r="T236" s="12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>
      <c r="A237" s="4"/>
      <c r="B237" s="4"/>
      <c r="C237" s="4"/>
      <c r="D237" s="4"/>
      <c r="E237" s="4"/>
      <c r="F237" s="4"/>
      <c r="G237" s="4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35"/>
      <c r="S237" s="12"/>
      <c r="T237" s="12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>
      <c r="A238" s="4"/>
      <c r="B238" s="4"/>
      <c r="C238" s="4"/>
      <c r="D238" s="4"/>
      <c r="E238" s="4"/>
      <c r="F238" s="4"/>
      <c r="G238" s="4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35"/>
      <c r="S238" s="12"/>
      <c r="T238" s="12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>
      <c r="A239" s="4"/>
      <c r="B239" s="4"/>
      <c r="C239" s="4"/>
      <c r="D239" s="4"/>
      <c r="E239" s="4"/>
      <c r="F239" s="4"/>
      <c r="G239" s="4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35"/>
      <c r="S239" s="12"/>
      <c r="T239" s="12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>
      <c r="A240" s="4"/>
      <c r="B240" s="4"/>
      <c r="C240" s="4"/>
      <c r="D240" s="4"/>
      <c r="E240" s="4"/>
      <c r="F240" s="4"/>
      <c r="G240" s="4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35"/>
      <c r="S240" s="12"/>
      <c r="T240" s="12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>
      <c r="A241" s="4"/>
      <c r="B241" s="4"/>
      <c r="C241" s="4"/>
      <c r="D241" s="4"/>
      <c r="E241" s="4"/>
      <c r="F241" s="4"/>
      <c r="G241" s="4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35"/>
      <c r="S241" s="12"/>
      <c r="T241" s="12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>
      <c r="A242" s="4"/>
      <c r="B242" s="4"/>
      <c r="C242" s="4"/>
      <c r="D242" s="4"/>
      <c r="E242" s="4"/>
      <c r="F242" s="4"/>
      <c r="G242" s="4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35"/>
      <c r="S242" s="12"/>
      <c r="T242" s="12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>
      <c r="A243" s="4"/>
      <c r="B243" s="4"/>
      <c r="C243" s="4"/>
      <c r="D243" s="4"/>
      <c r="E243" s="4"/>
      <c r="F243" s="4"/>
      <c r="G243" s="4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35"/>
      <c r="S243" s="12"/>
      <c r="T243" s="12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>
      <c r="A244" s="4"/>
      <c r="B244" s="4"/>
      <c r="C244" s="4"/>
      <c r="D244" s="4"/>
      <c r="E244" s="4"/>
      <c r="F244" s="4"/>
      <c r="G244" s="4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35"/>
      <c r="S244" s="12"/>
      <c r="T244" s="12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>
      <c r="A245" s="4"/>
      <c r="B245" s="4"/>
      <c r="C245" s="4"/>
      <c r="D245" s="4"/>
      <c r="E245" s="4"/>
      <c r="F245" s="4"/>
      <c r="G245" s="4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35"/>
      <c r="S245" s="12"/>
      <c r="T245" s="12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>
      <c r="A246" s="4"/>
      <c r="B246" s="4"/>
      <c r="C246" s="4"/>
      <c r="D246" s="4"/>
      <c r="E246" s="4"/>
      <c r="F246" s="4"/>
      <c r="G246" s="4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35"/>
      <c r="S246" s="12"/>
      <c r="T246" s="12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>
      <c r="A247" s="4"/>
      <c r="B247" s="4"/>
      <c r="C247" s="4"/>
      <c r="D247" s="4"/>
      <c r="E247" s="4"/>
      <c r="F247" s="4"/>
      <c r="G247" s="4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35"/>
      <c r="S247" s="12"/>
      <c r="T247" s="12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>
      <c r="A248" s="4"/>
      <c r="B248" s="4"/>
      <c r="C248" s="4"/>
      <c r="D248" s="4"/>
      <c r="E248" s="4"/>
      <c r="F248" s="4"/>
      <c r="G248" s="4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35"/>
      <c r="S248" s="12"/>
      <c r="T248" s="12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>
      <c r="A249" s="4"/>
      <c r="B249" s="4"/>
      <c r="C249" s="4"/>
      <c r="D249" s="4"/>
      <c r="E249" s="4"/>
      <c r="F249" s="4"/>
      <c r="G249" s="4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35"/>
      <c r="S249" s="12"/>
      <c r="T249" s="12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>
      <c r="A250" s="4"/>
      <c r="B250" s="4"/>
      <c r="C250" s="4"/>
      <c r="D250" s="4"/>
      <c r="E250" s="4"/>
      <c r="F250" s="4"/>
      <c r="G250" s="4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35"/>
      <c r="S250" s="12"/>
      <c r="T250" s="12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>
      <c r="A251" s="4"/>
      <c r="B251" s="4"/>
      <c r="C251" s="4"/>
      <c r="D251" s="4"/>
      <c r="E251" s="4"/>
      <c r="F251" s="4"/>
      <c r="G251" s="4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35"/>
      <c r="S251" s="12"/>
      <c r="T251" s="12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>
      <c r="A252" s="4"/>
      <c r="B252" s="4"/>
      <c r="C252" s="4"/>
      <c r="D252" s="4"/>
      <c r="E252" s="4"/>
      <c r="F252" s="4"/>
      <c r="G252" s="4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35"/>
      <c r="S252" s="12"/>
      <c r="T252" s="12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>
      <c r="A253" s="4"/>
      <c r="B253" s="4"/>
      <c r="C253" s="4"/>
      <c r="D253" s="4"/>
      <c r="E253" s="4"/>
      <c r="F253" s="4"/>
      <c r="G253" s="4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35"/>
      <c r="S253" s="12"/>
      <c r="T253" s="12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>
      <c r="A254" s="4"/>
      <c r="B254" s="4"/>
      <c r="C254" s="4"/>
      <c r="D254" s="4"/>
      <c r="E254" s="4"/>
      <c r="F254" s="4"/>
      <c r="G254" s="4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35"/>
      <c r="S254" s="12"/>
      <c r="T254" s="12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>
      <c r="A255" s="4"/>
      <c r="B255" s="4"/>
      <c r="C255" s="4"/>
      <c r="D255" s="4"/>
      <c r="E255" s="4"/>
      <c r="F255" s="4"/>
      <c r="G255" s="4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35"/>
      <c r="S255" s="12"/>
      <c r="T255" s="12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>
      <c r="A256" s="4"/>
      <c r="B256" s="4"/>
      <c r="C256" s="4"/>
      <c r="D256" s="4"/>
      <c r="E256" s="4"/>
      <c r="F256" s="4"/>
      <c r="G256" s="4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35"/>
      <c r="S256" s="12"/>
      <c r="T256" s="12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>
      <c r="A257" s="4"/>
      <c r="B257" s="4"/>
      <c r="C257" s="4"/>
      <c r="D257" s="4"/>
      <c r="E257" s="4"/>
      <c r="F257" s="4"/>
      <c r="G257" s="4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35"/>
      <c r="S257" s="12"/>
      <c r="T257" s="12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>
      <c r="A258" s="4"/>
      <c r="B258" s="4"/>
      <c r="C258" s="4"/>
      <c r="D258" s="4"/>
      <c r="E258" s="4"/>
      <c r="F258" s="4"/>
      <c r="G258" s="4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35"/>
      <c r="S258" s="12"/>
      <c r="T258" s="12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>
      <c r="A259" s="4"/>
      <c r="B259" s="4"/>
      <c r="C259" s="4"/>
      <c r="D259" s="4"/>
      <c r="E259" s="4"/>
      <c r="F259" s="4"/>
      <c r="G259" s="4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35"/>
      <c r="S259" s="12"/>
      <c r="T259" s="12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>
      <c r="A260" s="4"/>
      <c r="B260" s="4"/>
      <c r="C260" s="4"/>
      <c r="D260" s="4"/>
      <c r="E260" s="4"/>
      <c r="F260" s="4"/>
      <c r="G260" s="4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35"/>
      <c r="S260" s="12"/>
      <c r="T260" s="12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>
      <c r="A261" s="4"/>
      <c r="B261" s="4"/>
      <c r="C261" s="4"/>
      <c r="D261" s="4"/>
      <c r="E261" s="4"/>
      <c r="F261" s="4"/>
      <c r="G261" s="4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35"/>
      <c r="S261" s="12"/>
      <c r="T261" s="12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>
      <c r="A262" s="4"/>
      <c r="B262" s="4"/>
      <c r="C262" s="4"/>
      <c r="D262" s="4"/>
      <c r="E262" s="4"/>
      <c r="F262" s="4"/>
      <c r="G262" s="4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35"/>
      <c r="S262" s="12"/>
      <c r="T262" s="12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>
      <c r="A263" s="4"/>
      <c r="B263" s="4"/>
      <c r="C263" s="4"/>
      <c r="D263" s="4"/>
      <c r="E263" s="4"/>
      <c r="F263" s="4"/>
      <c r="G263" s="4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35"/>
      <c r="S263" s="12"/>
      <c r="T263" s="12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>
      <c r="A264" s="4"/>
      <c r="B264" s="4"/>
      <c r="C264" s="4"/>
      <c r="D264" s="4"/>
      <c r="E264" s="4"/>
      <c r="F264" s="4"/>
      <c r="G264" s="4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35"/>
      <c r="S264" s="12"/>
      <c r="T264" s="12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>
      <c r="A265" s="4"/>
      <c r="B265" s="4"/>
      <c r="C265" s="4"/>
      <c r="D265" s="4"/>
      <c r="E265" s="4"/>
      <c r="F265" s="4"/>
      <c r="G265" s="4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35"/>
      <c r="S265" s="12"/>
      <c r="T265" s="12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>
      <c r="A266" s="4"/>
      <c r="B266" s="4"/>
      <c r="C266" s="4"/>
      <c r="D266" s="4"/>
      <c r="E266" s="4"/>
      <c r="F266" s="4"/>
      <c r="G266" s="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35"/>
      <c r="S266" s="12"/>
      <c r="T266" s="12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>
      <c r="A267" s="4"/>
      <c r="B267" s="4"/>
      <c r="C267" s="4"/>
      <c r="D267" s="4"/>
      <c r="E267" s="4"/>
      <c r="F267" s="4"/>
      <c r="G267" s="4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35"/>
      <c r="S267" s="12"/>
      <c r="T267" s="12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>
      <c r="A268" s="4"/>
      <c r="B268" s="4"/>
      <c r="C268" s="4"/>
      <c r="D268" s="4"/>
      <c r="E268" s="4"/>
      <c r="F268" s="4"/>
      <c r="G268" s="4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35"/>
      <c r="S268" s="12"/>
      <c r="T268" s="12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>
      <c r="A269" s="4"/>
      <c r="B269" s="4"/>
      <c r="C269" s="4"/>
      <c r="D269" s="4"/>
      <c r="E269" s="4"/>
      <c r="F269" s="4"/>
      <c r="G269" s="4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35"/>
      <c r="S269" s="12"/>
      <c r="T269" s="12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>
      <c r="A270" s="4"/>
      <c r="B270" s="4"/>
      <c r="C270" s="4"/>
      <c r="D270" s="4"/>
      <c r="E270" s="4"/>
      <c r="F270" s="4"/>
      <c r="G270" s="4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35"/>
      <c r="S270" s="12"/>
      <c r="T270" s="12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>
      <c r="A271" s="4"/>
      <c r="B271" s="4"/>
      <c r="C271" s="4"/>
      <c r="D271" s="4"/>
      <c r="E271" s="4"/>
      <c r="F271" s="4"/>
      <c r="G271" s="4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35"/>
      <c r="S271" s="12"/>
      <c r="T271" s="12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>
      <c r="A272" s="4"/>
      <c r="B272" s="4"/>
      <c r="C272" s="4"/>
      <c r="D272" s="4"/>
      <c r="E272" s="4"/>
      <c r="F272" s="4"/>
      <c r="G272" s="4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35"/>
      <c r="S272" s="12"/>
      <c r="T272" s="12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>
      <c r="A273" s="4"/>
      <c r="B273" s="4"/>
      <c r="C273" s="4"/>
      <c r="D273" s="4"/>
      <c r="E273" s="4"/>
      <c r="F273" s="4"/>
      <c r="G273" s="4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35"/>
      <c r="S273" s="12"/>
      <c r="T273" s="12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>
      <c r="A274" s="4"/>
      <c r="B274" s="4"/>
      <c r="C274" s="4"/>
      <c r="D274" s="4"/>
      <c r="E274" s="4"/>
      <c r="F274" s="4"/>
      <c r="G274" s="4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35"/>
      <c r="S274" s="12"/>
      <c r="T274" s="12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>
      <c r="A275" s="4"/>
      <c r="B275" s="4"/>
      <c r="C275" s="4"/>
      <c r="D275" s="4"/>
      <c r="E275" s="4"/>
      <c r="F275" s="4"/>
      <c r="G275" s="4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35"/>
      <c r="S275" s="12"/>
      <c r="T275" s="12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>
      <c r="A276" s="4"/>
      <c r="B276" s="4"/>
      <c r="C276" s="4"/>
      <c r="D276" s="4"/>
      <c r="E276" s="4"/>
      <c r="F276" s="4"/>
      <c r="G276" s="4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35"/>
      <c r="S276" s="12"/>
      <c r="T276" s="12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>
      <c r="A277" s="4"/>
      <c r="B277" s="4"/>
      <c r="C277" s="4"/>
      <c r="D277" s="4"/>
      <c r="E277" s="4"/>
      <c r="F277" s="4"/>
      <c r="G277" s="4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35"/>
      <c r="S277" s="12"/>
      <c r="T277" s="12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>
      <c r="A278" s="4"/>
      <c r="B278" s="4"/>
      <c r="C278" s="4"/>
      <c r="D278" s="4"/>
      <c r="E278" s="4"/>
      <c r="F278" s="4"/>
      <c r="G278" s="4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35"/>
      <c r="S278" s="12"/>
      <c r="T278" s="12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>
      <c r="A279" s="4"/>
      <c r="B279" s="4"/>
      <c r="C279" s="4"/>
      <c r="D279" s="4"/>
      <c r="E279" s="4"/>
      <c r="F279" s="4"/>
      <c r="G279" s="4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35"/>
      <c r="S279" s="12"/>
      <c r="T279" s="12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>
      <c r="A280" s="4"/>
      <c r="B280" s="4"/>
      <c r="C280" s="4"/>
      <c r="D280" s="4"/>
      <c r="E280" s="4"/>
      <c r="F280" s="4"/>
      <c r="G280" s="4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35"/>
      <c r="S280" s="12"/>
      <c r="T280" s="12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>
      <c r="A281" s="4"/>
      <c r="B281" s="4"/>
      <c r="C281" s="4"/>
      <c r="D281" s="4"/>
      <c r="E281" s="4"/>
      <c r="F281" s="4"/>
      <c r="G281" s="4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35"/>
      <c r="S281" s="12"/>
      <c r="T281" s="12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>
      <c r="A282" s="4"/>
      <c r="B282" s="4"/>
      <c r="C282" s="4"/>
      <c r="D282" s="4"/>
      <c r="E282" s="4"/>
      <c r="F282" s="4"/>
      <c r="G282" s="4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35"/>
      <c r="S282" s="12"/>
      <c r="T282" s="12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>
      <c r="A283" s="4"/>
      <c r="B283" s="4"/>
      <c r="C283" s="4"/>
      <c r="D283" s="4"/>
      <c r="E283" s="4"/>
      <c r="F283" s="4"/>
      <c r="G283" s="4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35"/>
      <c r="S283" s="12"/>
      <c r="T283" s="12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>
      <c r="A284" s="4"/>
      <c r="B284" s="4"/>
      <c r="C284" s="4"/>
      <c r="D284" s="4"/>
      <c r="E284" s="4"/>
      <c r="F284" s="4"/>
      <c r="G284" s="4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35"/>
      <c r="S284" s="12"/>
      <c r="T284" s="12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>
      <c r="A285" s="4"/>
      <c r="B285" s="4"/>
      <c r="C285" s="4"/>
      <c r="D285" s="4"/>
      <c r="E285" s="4"/>
      <c r="F285" s="4"/>
      <c r="G285" s="4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35"/>
      <c r="S285" s="12"/>
      <c r="T285" s="12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>
      <c r="A286" s="4"/>
      <c r="B286" s="4"/>
      <c r="C286" s="4"/>
      <c r="D286" s="4"/>
      <c r="E286" s="4"/>
      <c r="F286" s="4"/>
      <c r="G286" s="4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35"/>
      <c r="S286" s="12"/>
      <c r="T286" s="12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>
      <c r="A287" s="4"/>
      <c r="B287" s="4"/>
      <c r="C287" s="4"/>
      <c r="D287" s="4"/>
      <c r="E287" s="4"/>
      <c r="F287" s="4"/>
      <c r="G287" s="4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35"/>
      <c r="S287" s="12"/>
      <c r="T287" s="12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>
      <c r="A288" s="4"/>
      <c r="B288" s="4"/>
      <c r="C288" s="4"/>
      <c r="D288" s="4"/>
      <c r="E288" s="4"/>
      <c r="F288" s="4"/>
      <c r="G288" s="4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35"/>
      <c r="S288" s="12"/>
      <c r="T288" s="12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>
      <c r="A289" s="4"/>
      <c r="B289" s="4"/>
      <c r="C289" s="4"/>
      <c r="D289" s="4"/>
      <c r="E289" s="4"/>
      <c r="F289" s="4"/>
      <c r="G289" s="4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35"/>
      <c r="S289" s="12"/>
      <c r="T289" s="12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>
      <c r="A290" s="4"/>
      <c r="B290" s="4"/>
      <c r="C290" s="4"/>
      <c r="D290" s="4"/>
      <c r="E290" s="4"/>
      <c r="F290" s="4"/>
      <c r="G290" s="4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35"/>
      <c r="S290" s="12"/>
      <c r="T290" s="12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>
      <c r="A291" s="4"/>
      <c r="B291" s="4"/>
      <c r="C291" s="4"/>
      <c r="D291" s="4"/>
      <c r="E291" s="4"/>
      <c r="F291" s="4"/>
      <c r="G291" s="4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35"/>
      <c r="S291" s="12"/>
      <c r="T291" s="12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>
      <c r="A292" s="4"/>
      <c r="B292" s="4"/>
      <c r="C292" s="4"/>
      <c r="D292" s="4"/>
      <c r="E292" s="4"/>
      <c r="F292" s="4"/>
      <c r="G292" s="4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35"/>
      <c r="S292" s="12"/>
      <c r="T292" s="12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>
      <c r="A293" s="4"/>
      <c r="B293" s="4"/>
      <c r="C293" s="4"/>
      <c r="D293" s="4"/>
      <c r="E293" s="4"/>
      <c r="F293" s="4"/>
      <c r="G293" s="4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35"/>
      <c r="S293" s="12"/>
      <c r="T293" s="12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>
      <c r="A294" s="4"/>
      <c r="B294" s="4"/>
      <c r="C294" s="4"/>
      <c r="D294" s="4"/>
      <c r="E294" s="4"/>
      <c r="F294" s="4"/>
      <c r="G294" s="4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35"/>
      <c r="S294" s="12"/>
      <c r="T294" s="12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>
      <c r="A295" s="4"/>
      <c r="B295" s="4"/>
      <c r="C295" s="4"/>
      <c r="D295" s="4"/>
      <c r="E295" s="4"/>
      <c r="F295" s="4"/>
      <c r="G295" s="4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35"/>
      <c r="S295" s="12"/>
      <c r="T295" s="12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>
      <c r="A296" s="4"/>
      <c r="B296" s="4"/>
      <c r="C296" s="4"/>
      <c r="D296" s="4"/>
      <c r="E296" s="4"/>
      <c r="F296" s="4"/>
      <c r="G296" s="4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35"/>
      <c r="S296" s="12"/>
      <c r="T296" s="12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>
      <c r="A297" s="4"/>
      <c r="B297" s="4"/>
      <c r="C297" s="4"/>
      <c r="D297" s="4"/>
      <c r="E297" s="4"/>
      <c r="F297" s="4"/>
      <c r="G297" s="4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35"/>
      <c r="S297" s="12"/>
      <c r="T297" s="12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>
      <c r="A298" s="4"/>
      <c r="B298" s="4"/>
      <c r="C298" s="4"/>
      <c r="D298" s="4"/>
      <c r="E298" s="4"/>
      <c r="F298" s="4"/>
      <c r="G298" s="4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35"/>
      <c r="S298" s="12"/>
      <c r="T298" s="12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>
      <c r="A299" s="4"/>
      <c r="B299" s="4"/>
      <c r="C299" s="4"/>
      <c r="D299" s="4"/>
      <c r="E299" s="4"/>
      <c r="F299" s="4"/>
      <c r="G299" s="4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35"/>
      <c r="S299" s="12"/>
      <c r="T299" s="12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>
      <c r="A300" s="4"/>
      <c r="B300" s="4"/>
      <c r="C300" s="4"/>
      <c r="D300" s="4"/>
      <c r="E300" s="4"/>
      <c r="F300" s="4"/>
      <c r="G300" s="4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35"/>
      <c r="S300" s="12"/>
      <c r="T300" s="12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>
      <c r="A301" s="4"/>
      <c r="B301" s="4"/>
      <c r="C301" s="4"/>
      <c r="D301" s="4"/>
      <c r="E301" s="4"/>
      <c r="F301" s="4"/>
      <c r="G301" s="4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35"/>
      <c r="S301" s="12"/>
      <c r="T301" s="12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>
      <c r="A302" s="4"/>
      <c r="B302" s="4"/>
      <c r="C302" s="4"/>
      <c r="D302" s="4"/>
      <c r="E302" s="4"/>
      <c r="F302" s="4"/>
      <c r="G302" s="4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35"/>
      <c r="S302" s="12"/>
      <c r="T302" s="12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>
      <c r="A303" s="4"/>
      <c r="B303" s="4"/>
      <c r="C303" s="4"/>
      <c r="D303" s="4"/>
      <c r="E303" s="4"/>
      <c r="F303" s="4"/>
      <c r="G303" s="4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35"/>
      <c r="S303" s="12"/>
      <c r="T303" s="12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>
      <c r="A304" s="4"/>
      <c r="B304" s="4"/>
      <c r="C304" s="4"/>
      <c r="D304" s="4"/>
      <c r="E304" s="4"/>
      <c r="F304" s="4"/>
      <c r="G304" s="4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35"/>
      <c r="S304" s="12"/>
      <c r="T304" s="12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>
      <c r="A305" s="4"/>
      <c r="B305" s="4"/>
      <c r="C305" s="4"/>
      <c r="D305" s="4"/>
      <c r="E305" s="4"/>
      <c r="F305" s="4"/>
      <c r="G305" s="4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35"/>
      <c r="S305" s="12"/>
      <c r="T305" s="12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>
      <c r="A306" s="4"/>
      <c r="B306" s="4"/>
      <c r="C306" s="4"/>
      <c r="D306" s="4"/>
      <c r="E306" s="4"/>
      <c r="F306" s="4"/>
      <c r="G306" s="4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35"/>
      <c r="S306" s="12"/>
      <c r="T306" s="12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>
      <c r="A307" s="4"/>
      <c r="B307" s="4"/>
      <c r="C307" s="4"/>
      <c r="D307" s="4"/>
      <c r="E307" s="4"/>
      <c r="F307" s="4"/>
      <c r="G307" s="4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35"/>
      <c r="S307" s="12"/>
      <c r="T307" s="12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>
      <c r="A308" s="4"/>
      <c r="B308" s="4"/>
      <c r="C308" s="4"/>
      <c r="D308" s="4"/>
      <c r="E308" s="4"/>
      <c r="F308" s="4"/>
      <c r="G308" s="4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35"/>
      <c r="S308" s="12"/>
      <c r="T308" s="12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>
      <c r="A309" s="4"/>
      <c r="B309" s="4"/>
      <c r="C309" s="4"/>
      <c r="D309" s="4"/>
      <c r="E309" s="4"/>
      <c r="F309" s="4"/>
      <c r="G309" s="4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35"/>
      <c r="S309" s="12"/>
      <c r="T309" s="12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>
      <c r="A310" s="4"/>
      <c r="B310" s="4"/>
      <c r="C310" s="4"/>
      <c r="D310" s="4"/>
      <c r="E310" s="4"/>
      <c r="F310" s="4"/>
      <c r="G310" s="4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35"/>
      <c r="S310" s="12"/>
      <c r="T310" s="12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>
      <c r="A311" s="4"/>
      <c r="B311" s="4"/>
      <c r="C311" s="4"/>
      <c r="D311" s="4"/>
      <c r="E311" s="4"/>
      <c r="F311" s="4"/>
      <c r="G311" s="4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35"/>
      <c r="S311" s="12"/>
      <c r="T311" s="12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>
      <c r="A312" s="4"/>
      <c r="B312" s="4"/>
      <c r="C312" s="4"/>
      <c r="D312" s="4"/>
      <c r="E312" s="4"/>
      <c r="F312" s="4"/>
      <c r="G312" s="4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35"/>
      <c r="S312" s="12"/>
      <c r="T312" s="12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>
      <c r="A313" s="4"/>
      <c r="B313" s="4"/>
      <c r="C313" s="4"/>
      <c r="D313" s="4"/>
      <c r="E313" s="4"/>
      <c r="F313" s="4"/>
      <c r="G313" s="4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35"/>
      <c r="S313" s="12"/>
      <c r="T313" s="12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>
      <c r="A314" s="4"/>
      <c r="B314" s="4"/>
      <c r="C314" s="4"/>
      <c r="D314" s="4"/>
      <c r="E314" s="4"/>
      <c r="F314" s="4"/>
      <c r="G314" s="4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35"/>
      <c r="S314" s="12"/>
      <c r="T314" s="12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>
      <c r="A315" s="4"/>
      <c r="B315" s="4"/>
      <c r="C315" s="4"/>
      <c r="D315" s="4"/>
      <c r="E315" s="4"/>
      <c r="F315" s="4"/>
      <c r="G315" s="4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35"/>
      <c r="S315" s="12"/>
      <c r="T315" s="12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>
      <c r="A316" s="4"/>
      <c r="B316" s="4"/>
      <c r="C316" s="4"/>
      <c r="D316" s="4"/>
      <c r="E316" s="4"/>
      <c r="F316" s="4"/>
      <c r="G316" s="4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35"/>
      <c r="S316" s="12"/>
      <c r="T316" s="12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>
      <c r="A317" s="4"/>
      <c r="B317" s="4"/>
      <c r="C317" s="4"/>
      <c r="D317" s="4"/>
      <c r="E317" s="4"/>
      <c r="F317" s="4"/>
      <c r="G317" s="4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35"/>
      <c r="S317" s="12"/>
      <c r="T317" s="12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>
      <c r="A318" s="4"/>
      <c r="B318" s="4"/>
      <c r="C318" s="4"/>
      <c r="D318" s="4"/>
      <c r="E318" s="4"/>
      <c r="F318" s="4"/>
      <c r="G318" s="4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35"/>
      <c r="S318" s="12"/>
      <c r="T318" s="12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>
      <c r="A319" s="4"/>
      <c r="B319" s="4"/>
      <c r="C319" s="4"/>
      <c r="D319" s="4"/>
      <c r="E319" s="4"/>
      <c r="F319" s="4"/>
      <c r="G319" s="4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35"/>
      <c r="S319" s="12"/>
      <c r="T319" s="12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>
      <c r="A320" s="4"/>
      <c r="B320" s="4"/>
      <c r="C320" s="4"/>
      <c r="D320" s="4"/>
      <c r="E320" s="4"/>
      <c r="F320" s="4"/>
      <c r="G320" s="4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35"/>
      <c r="S320" s="12"/>
      <c r="T320" s="12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>
      <c r="A321" s="4"/>
      <c r="B321" s="4"/>
      <c r="C321" s="4"/>
      <c r="D321" s="4"/>
      <c r="E321" s="4"/>
      <c r="F321" s="4"/>
      <c r="G321" s="4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35"/>
      <c r="S321" s="12"/>
      <c r="T321" s="12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>
      <c r="A322" s="4"/>
      <c r="B322" s="4"/>
      <c r="C322" s="4"/>
      <c r="D322" s="4"/>
      <c r="E322" s="4"/>
      <c r="F322" s="4"/>
      <c r="G322" s="4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35"/>
      <c r="S322" s="12"/>
      <c r="T322" s="12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>
      <c r="A323" s="4"/>
      <c r="B323" s="4"/>
      <c r="C323" s="4"/>
      <c r="D323" s="4"/>
      <c r="E323" s="4"/>
      <c r="F323" s="4"/>
      <c r="G323" s="4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35"/>
      <c r="S323" s="12"/>
      <c r="T323" s="12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>
      <c r="A324" s="4"/>
      <c r="B324" s="4"/>
      <c r="C324" s="4"/>
      <c r="D324" s="4"/>
      <c r="E324" s="4"/>
      <c r="F324" s="4"/>
      <c r="G324" s="4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35"/>
      <c r="S324" s="12"/>
      <c r="T324" s="12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>
      <c r="A325" s="4"/>
      <c r="B325" s="4"/>
      <c r="C325" s="4"/>
      <c r="D325" s="4"/>
      <c r="E325" s="4"/>
      <c r="F325" s="4"/>
      <c r="G325" s="4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35"/>
      <c r="S325" s="12"/>
      <c r="T325" s="12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>
      <c r="A326" s="4"/>
      <c r="B326" s="4"/>
      <c r="C326" s="4"/>
      <c r="D326" s="4"/>
      <c r="E326" s="4"/>
      <c r="F326" s="4"/>
      <c r="G326" s="4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35"/>
      <c r="S326" s="12"/>
      <c r="T326" s="12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>
      <c r="A327" s="4"/>
      <c r="B327" s="4"/>
      <c r="C327" s="4"/>
      <c r="D327" s="4"/>
      <c r="E327" s="4"/>
      <c r="F327" s="4"/>
      <c r="G327" s="4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35"/>
      <c r="S327" s="12"/>
      <c r="T327" s="12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>
      <c r="A328" s="4"/>
      <c r="B328" s="4"/>
      <c r="C328" s="4"/>
      <c r="D328" s="4"/>
      <c r="E328" s="4"/>
      <c r="F328" s="4"/>
      <c r="G328" s="4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35"/>
      <c r="S328" s="12"/>
      <c r="T328" s="12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>
      <c r="A329" s="4"/>
      <c r="B329" s="4"/>
      <c r="C329" s="4"/>
      <c r="D329" s="4"/>
      <c r="E329" s="4"/>
      <c r="F329" s="4"/>
      <c r="G329" s="4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35"/>
      <c r="S329" s="12"/>
      <c r="T329" s="12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>
      <c r="A330" s="4"/>
      <c r="B330" s="4"/>
      <c r="C330" s="4"/>
      <c r="D330" s="4"/>
      <c r="E330" s="4"/>
      <c r="F330" s="4"/>
      <c r="G330" s="4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35"/>
      <c r="S330" s="12"/>
      <c r="T330" s="12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>
      <c r="A331" s="4"/>
      <c r="B331" s="4"/>
      <c r="C331" s="4"/>
      <c r="D331" s="4"/>
      <c r="E331" s="4"/>
      <c r="F331" s="4"/>
      <c r="G331" s="4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35"/>
      <c r="S331" s="12"/>
      <c r="T331" s="12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>
      <c r="A332" s="4"/>
      <c r="B332" s="4"/>
      <c r="C332" s="4"/>
      <c r="D332" s="4"/>
      <c r="E332" s="4"/>
      <c r="F332" s="4"/>
      <c r="G332" s="4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35"/>
      <c r="S332" s="12"/>
      <c r="T332" s="12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>
      <c r="A333" s="4"/>
      <c r="B333" s="4"/>
      <c r="C333" s="4"/>
      <c r="D333" s="4"/>
      <c r="E333" s="4"/>
      <c r="F333" s="4"/>
      <c r="G333" s="4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35"/>
      <c r="S333" s="12"/>
      <c r="T333" s="12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>
      <c r="A334" s="4"/>
      <c r="B334" s="4"/>
      <c r="C334" s="4"/>
      <c r="D334" s="4"/>
      <c r="E334" s="4"/>
      <c r="F334" s="4"/>
      <c r="G334" s="4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35"/>
      <c r="S334" s="12"/>
      <c r="T334" s="12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>
      <c r="A335" s="4"/>
      <c r="B335" s="4"/>
      <c r="C335" s="4"/>
      <c r="D335" s="4"/>
      <c r="E335" s="4"/>
      <c r="F335" s="4"/>
      <c r="G335" s="4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35"/>
      <c r="S335" s="12"/>
      <c r="T335" s="12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>
      <c r="A336" s="4"/>
      <c r="B336" s="4"/>
      <c r="C336" s="4"/>
      <c r="D336" s="4"/>
      <c r="E336" s="4"/>
      <c r="F336" s="4"/>
      <c r="G336" s="4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35"/>
      <c r="S336" s="12"/>
      <c r="T336" s="12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>
      <c r="A337" s="4"/>
      <c r="B337" s="4"/>
      <c r="C337" s="4"/>
      <c r="D337" s="4"/>
      <c r="E337" s="4"/>
      <c r="F337" s="4"/>
      <c r="G337" s="4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35"/>
      <c r="S337" s="12"/>
      <c r="T337" s="12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>
      <c r="A338" s="4"/>
      <c r="B338" s="4"/>
      <c r="C338" s="4"/>
      <c r="D338" s="4"/>
      <c r="E338" s="4"/>
      <c r="F338" s="4"/>
      <c r="G338" s="4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35"/>
      <c r="S338" s="12"/>
      <c r="T338" s="12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>
      <c r="A339" s="4"/>
      <c r="B339" s="4"/>
      <c r="C339" s="4"/>
      <c r="D339" s="4"/>
      <c r="E339" s="4"/>
      <c r="F339" s="4"/>
      <c r="G339" s="4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35"/>
      <c r="S339" s="12"/>
      <c r="T339" s="12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>
      <c r="A340" s="4"/>
      <c r="B340" s="4"/>
      <c r="C340" s="4"/>
      <c r="D340" s="4"/>
      <c r="E340" s="4"/>
      <c r="F340" s="4"/>
      <c r="G340" s="4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35"/>
      <c r="S340" s="12"/>
      <c r="T340" s="12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>
      <c r="A341" s="4"/>
      <c r="B341" s="4"/>
      <c r="C341" s="4"/>
      <c r="D341" s="4"/>
      <c r="E341" s="4"/>
      <c r="F341" s="4"/>
      <c r="G341" s="4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35"/>
      <c r="S341" s="12"/>
      <c r="T341" s="12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>
      <c r="A342" s="4"/>
      <c r="B342" s="4"/>
      <c r="C342" s="4"/>
      <c r="D342" s="4"/>
      <c r="E342" s="4"/>
      <c r="F342" s="4"/>
      <c r="G342" s="4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35"/>
      <c r="S342" s="12"/>
      <c r="T342" s="12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>
      <c r="A343" s="4"/>
      <c r="B343" s="4"/>
      <c r="C343" s="4"/>
      <c r="D343" s="4"/>
      <c r="E343" s="4"/>
      <c r="F343" s="4"/>
      <c r="G343" s="4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35"/>
      <c r="S343" s="12"/>
      <c r="T343" s="12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>
      <c r="A344" s="4"/>
      <c r="B344" s="4"/>
      <c r="C344" s="4"/>
      <c r="D344" s="4"/>
      <c r="E344" s="4"/>
      <c r="F344" s="4"/>
      <c r="G344" s="4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35"/>
      <c r="S344" s="12"/>
      <c r="T344" s="12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>
      <c r="A345" s="4"/>
      <c r="B345" s="4"/>
      <c r="C345" s="4"/>
      <c r="D345" s="4"/>
      <c r="E345" s="4"/>
      <c r="F345" s="4"/>
      <c r="G345" s="4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35"/>
      <c r="S345" s="12"/>
      <c r="T345" s="12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>
      <c r="A346" s="4"/>
      <c r="B346" s="4"/>
      <c r="C346" s="4"/>
      <c r="D346" s="4"/>
      <c r="E346" s="4"/>
      <c r="F346" s="4"/>
      <c r="G346" s="4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35"/>
      <c r="S346" s="12"/>
      <c r="T346" s="12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>
      <c r="A347" s="4"/>
      <c r="B347" s="4"/>
      <c r="C347" s="4"/>
      <c r="D347" s="4"/>
      <c r="E347" s="4"/>
      <c r="F347" s="4"/>
      <c r="G347" s="4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35"/>
      <c r="S347" s="12"/>
      <c r="T347" s="12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>
      <c r="A348" s="4"/>
      <c r="B348" s="4"/>
      <c r="C348" s="4"/>
      <c r="D348" s="4"/>
      <c r="E348" s="4"/>
      <c r="F348" s="4"/>
      <c r="G348" s="4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35"/>
      <c r="S348" s="12"/>
      <c r="T348" s="12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>
      <c r="A349" s="4"/>
      <c r="B349" s="4"/>
      <c r="C349" s="4"/>
      <c r="D349" s="4"/>
      <c r="E349" s="4"/>
      <c r="F349" s="4"/>
      <c r="G349" s="4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35"/>
      <c r="S349" s="12"/>
      <c r="T349" s="12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>
      <c r="A350" s="4"/>
      <c r="B350" s="4"/>
      <c r="C350" s="4"/>
      <c r="D350" s="4"/>
      <c r="E350" s="4"/>
      <c r="F350" s="4"/>
      <c r="G350" s="4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35"/>
      <c r="S350" s="12"/>
      <c r="T350" s="12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>
      <c r="A351" s="4"/>
      <c r="B351" s="4"/>
      <c r="C351" s="4"/>
      <c r="D351" s="4"/>
      <c r="E351" s="4"/>
      <c r="F351" s="4"/>
      <c r="G351" s="4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35"/>
      <c r="S351" s="12"/>
      <c r="T351" s="12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>
      <c r="A352" s="4"/>
      <c r="B352" s="4"/>
      <c r="C352" s="4"/>
      <c r="D352" s="4"/>
      <c r="E352" s="4"/>
      <c r="F352" s="4"/>
      <c r="G352" s="4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35"/>
      <c r="S352" s="12"/>
      <c r="T352" s="12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>
      <c r="A353" s="4"/>
      <c r="B353" s="4"/>
      <c r="C353" s="4"/>
      <c r="D353" s="4"/>
      <c r="E353" s="4"/>
      <c r="F353" s="4"/>
      <c r="G353" s="4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35"/>
      <c r="S353" s="12"/>
      <c r="T353" s="12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>
      <c r="A354" s="4"/>
      <c r="B354" s="4"/>
      <c r="C354" s="4"/>
      <c r="D354" s="4"/>
      <c r="E354" s="4"/>
      <c r="F354" s="4"/>
      <c r="G354" s="4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35"/>
      <c r="S354" s="12"/>
      <c r="T354" s="12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>
      <c r="A355" s="4"/>
      <c r="B355" s="4"/>
      <c r="C355" s="4"/>
      <c r="D355" s="4"/>
      <c r="E355" s="4"/>
      <c r="F355" s="4"/>
      <c r="G355" s="4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35"/>
      <c r="S355" s="12"/>
      <c r="T355" s="12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>
      <c r="A356" s="4"/>
      <c r="B356" s="4"/>
      <c r="C356" s="4"/>
      <c r="D356" s="4"/>
      <c r="E356" s="4"/>
      <c r="F356" s="4"/>
      <c r="G356" s="4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35"/>
      <c r="S356" s="12"/>
      <c r="T356" s="12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>
      <c r="A357" s="4"/>
      <c r="B357" s="4"/>
      <c r="C357" s="4"/>
      <c r="D357" s="4"/>
      <c r="E357" s="4"/>
      <c r="F357" s="4"/>
      <c r="G357" s="4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35"/>
      <c r="S357" s="12"/>
      <c r="T357" s="12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>
      <c r="A358" s="4"/>
      <c r="B358" s="4"/>
      <c r="C358" s="4"/>
      <c r="D358" s="4"/>
      <c r="E358" s="4"/>
      <c r="F358" s="4"/>
      <c r="G358" s="4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35"/>
      <c r="S358" s="12"/>
      <c r="T358" s="12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>
      <c r="A359" s="4"/>
      <c r="B359" s="4"/>
      <c r="C359" s="4"/>
      <c r="D359" s="4"/>
      <c r="E359" s="4"/>
      <c r="F359" s="4"/>
      <c r="G359" s="4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35"/>
      <c r="S359" s="12"/>
      <c r="T359" s="12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>
      <c r="A360" s="4"/>
      <c r="B360" s="4"/>
      <c r="C360" s="4"/>
      <c r="D360" s="4"/>
      <c r="E360" s="4"/>
      <c r="F360" s="4"/>
      <c r="G360" s="4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35"/>
      <c r="S360" s="12"/>
      <c r="T360" s="12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>
      <c r="A361" s="4"/>
      <c r="B361" s="4"/>
      <c r="C361" s="4"/>
      <c r="D361" s="4"/>
      <c r="E361" s="4"/>
      <c r="F361" s="4"/>
      <c r="G361" s="4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35"/>
      <c r="S361" s="12"/>
      <c r="T361" s="12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>
      <c r="A362" s="4"/>
      <c r="B362" s="4"/>
      <c r="C362" s="4"/>
      <c r="D362" s="4"/>
      <c r="E362" s="4"/>
      <c r="F362" s="4"/>
      <c r="G362" s="4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35"/>
      <c r="S362" s="12"/>
      <c r="T362" s="12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>
      <c r="A363" s="4"/>
      <c r="B363" s="4"/>
      <c r="C363" s="4"/>
      <c r="D363" s="4"/>
      <c r="E363" s="4"/>
      <c r="F363" s="4"/>
      <c r="G363" s="4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35"/>
      <c r="S363" s="12"/>
      <c r="T363" s="12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>
      <c r="A364" s="4"/>
      <c r="B364" s="4"/>
      <c r="C364" s="4"/>
      <c r="D364" s="4"/>
      <c r="E364" s="4"/>
      <c r="F364" s="4"/>
      <c r="G364" s="4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35"/>
      <c r="S364" s="12"/>
      <c r="T364" s="12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>
      <c r="A365" s="4"/>
      <c r="B365" s="4"/>
      <c r="C365" s="4"/>
      <c r="D365" s="4"/>
      <c r="E365" s="4"/>
      <c r="F365" s="4"/>
      <c r="G365" s="4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35"/>
      <c r="S365" s="12"/>
      <c r="T365" s="12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>
      <c r="A366" s="4"/>
      <c r="B366" s="4"/>
      <c r="C366" s="4"/>
      <c r="D366" s="4"/>
      <c r="E366" s="4"/>
      <c r="F366" s="4"/>
      <c r="G366" s="4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35"/>
      <c r="S366" s="12"/>
      <c r="T366" s="12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>
      <c r="A367" s="4"/>
      <c r="B367" s="4"/>
      <c r="C367" s="4"/>
      <c r="D367" s="4"/>
      <c r="E367" s="4"/>
      <c r="F367" s="4"/>
      <c r="G367" s="4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35"/>
      <c r="S367" s="12"/>
      <c r="T367" s="12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>
      <c r="A368" s="4"/>
      <c r="B368" s="4"/>
      <c r="C368" s="4"/>
      <c r="D368" s="4"/>
      <c r="E368" s="4"/>
      <c r="F368" s="4"/>
      <c r="G368" s="4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35"/>
      <c r="S368" s="12"/>
      <c r="T368" s="12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>
      <c r="A369" s="4"/>
      <c r="B369" s="4"/>
      <c r="C369" s="4"/>
      <c r="D369" s="4"/>
      <c r="E369" s="4"/>
      <c r="F369" s="4"/>
      <c r="G369" s="4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35"/>
      <c r="S369" s="12"/>
      <c r="T369" s="12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>
      <c r="A370" s="4"/>
      <c r="B370" s="4"/>
      <c r="C370" s="4"/>
      <c r="D370" s="4"/>
      <c r="E370" s="4"/>
      <c r="F370" s="4"/>
      <c r="G370" s="4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35"/>
      <c r="S370" s="12"/>
      <c r="T370" s="12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>
      <c r="A371" s="4"/>
      <c r="B371" s="4"/>
      <c r="C371" s="4"/>
      <c r="D371" s="4"/>
      <c r="E371" s="4"/>
      <c r="F371" s="4"/>
      <c r="G371" s="4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35"/>
      <c r="S371" s="12"/>
      <c r="T371" s="12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>
      <c r="A372" s="4"/>
      <c r="B372" s="4"/>
      <c r="C372" s="4"/>
      <c r="D372" s="4"/>
      <c r="E372" s="4"/>
      <c r="F372" s="4"/>
      <c r="G372" s="4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35"/>
      <c r="S372" s="12"/>
      <c r="T372" s="12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>
      <c r="A373" s="4"/>
      <c r="B373" s="4"/>
      <c r="C373" s="4"/>
      <c r="D373" s="4"/>
      <c r="E373" s="4"/>
      <c r="F373" s="4"/>
      <c r="G373" s="4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35"/>
      <c r="S373" s="12"/>
      <c r="T373" s="12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>
      <c r="A374" s="4"/>
      <c r="B374" s="4"/>
      <c r="C374" s="4"/>
      <c r="D374" s="4"/>
      <c r="E374" s="4"/>
      <c r="F374" s="4"/>
      <c r="G374" s="4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35"/>
      <c r="S374" s="12"/>
      <c r="T374" s="12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>
      <c r="A375" s="4"/>
      <c r="B375" s="4"/>
      <c r="C375" s="4"/>
      <c r="D375" s="4"/>
      <c r="E375" s="4"/>
      <c r="F375" s="4"/>
      <c r="G375" s="4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35"/>
      <c r="S375" s="12"/>
      <c r="T375" s="12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>
      <c r="A376" s="4"/>
      <c r="B376" s="4"/>
      <c r="C376" s="4"/>
      <c r="D376" s="4"/>
      <c r="E376" s="4"/>
      <c r="F376" s="4"/>
      <c r="G376" s="4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35"/>
      <c r="S376" s="12"/>
      <c r="T376" s="12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>
      <c r="A377" s="4"/>
      <c r="B377" s="4"/>
      <c r="C377" s="4"/>
      <c r="D377" s="4"/>
      <c r="E377" s="4"/>
      <c r="F377" s="4"/>
      <c r="G377" s="4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35"/>
      <c r="S377" s="12"/>
      <c r="T377" s="12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>
      <c r="A378" s="4"/>
      <c r="B378" s="4"/>
      <c r="C378" s="4"/>
      <c r="D378" s="4"/>
      <c r="E378" s="4"/>
      <c r="F378" s="4"/>
      <c r="G378" s="4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35"/>
      <c r="S378" s="12"/>
      <c r="T378" s="12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>
      <c r="A379" s="4"/>
      <c r="B379" s="4"/>
      <c r="C379" s="4"/>
      <c r="D379" s="4"/>
      <c r="E379" s="4"/>
      <c r="F379" s="4"/>
      <c r="G379" s="4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35"/>
      <c r="S379" s="12"/>
      <c r="T379" s="12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>
      <c r="A380" s="4"/>
      <c r="B380" s="4"/>
      <c r="C380" s="4"/>
      <c r="D380" s="4"/>
      <c r="E380" s="4"/>
      <c r="F380" s="4"/>
      <c r="G380" s="4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35"/>
      <c r="S380" s="12"/>
      <c r="T380" s="12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>
      <c r="A381" s="4"/>
      <c r="B381" s="4"/>
      <c r="C381" s="4"/>
      <c r="D381" s="4"/>
      <c r="E381" s="4"/>
      <c r="F381" s="4"/>
      <c r="G381" s="4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35"/>
      <c r="S381" s="12"/>
      <c r="T381" s="12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>
      <c r="A382" s="4"/>
      <c r="B382" s="4"/>
      <c r="C382" s="4"/>
      <c r="D382" s="4"/>
      <c r="E382" s="4"/>
      <c r="F382" s="4"/>
      <c r="G382" s="4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35"/>
      <c r="S382" s="12"/>
      <c r="T382" s="12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>
      <c r="A383" s="4"/>
      <c r="B383" s="4"/>
      <c r="C383" s="4"/>
      <c r="D383" s="4"/>
      <c r="E383" s="4"/>
      <c r="F383" s="4"/>
      <c r="G383" s="4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35"/>
      <c r="S383" s="12"/>
      <c r="T383" s="12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>
      <c r="A384" s="4"/>
      <c r="B384" s="4"/>
      <c r="C384" s="4"/>
      <c r="D384" s="4"/>
      <c r="E384" s="4"/>
      <c r="F384" s="4"/>
      <c r="G384" s="4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35"/>
      <c r="S384" s="12"/>
      <c r="T384" s="12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>
      <c r="A385" s="4"/>
      <c r="B385" s="4"/>
      <c r="C385" s="4"/>
      <c r="D385" s="4"/>
      <c r="E385" s="4"/>
      <c r="F385" s="4"/>
      <c r="G385" s="4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35"/>
      <c r="S385" s="12"/>
      <c r="T385" s="12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>
      <c r="A386" s="4"/>
      <c r="B386" s="4"/>
      <c r="C386" s="4"/>
      <c r="D386" s="4"/>
      <c r="E386" s="4"/>
      <c r="F386" s="4"/>
      <c r="G386" s="4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35"/>
      <c r="S386" s="12"/>
      <c r="T386" s="12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>
      <c r="A387" s="4"/>
      <c r="B387" s="4"/>
      <c r="C387" s="4"/>
      <c r="D387" s="4"/>
      <c r="E387" s="4"/>
      <c r="F387" s="4"/>
      <c r="G387" s="4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35"/>
      <c r="S387" s="12"/>
      <c r="T387" s="12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>
      <c r="A388" s="4"/>
      <c r="B388" s="4"/>
      <c r="C388" s="4"/>
      <c r="D388" s="4"/>
      <c r="E388" s="4"/>
      <c r="F388" s="4"/>
      <c r="G388" s="4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35"/>
      <c r="S388" s="12"/>
      <c r="T388" s="12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>
      <c r="A389" s="4"/>
      <c r="B389" s="4"/>
      <c r="C389" s="4"/>
      <c r="D389" s="4"/>
      <c r="E389" s="4"/>
      <c r="F389" s="4"/>
      <c r="G389" s="4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35"/>
      <c r="S389" s="12"/>
      <c r="T389" s="12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>
      <c r="A390" s="4"/>
      <c r="B390" s="4"/>
      <c r="C390" s="4"/>
      <c r="D390" s="4"/>
      <c r="E390" s="4"/>
      <c r="F390" s="4"/>
      <c r="G390" s="4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35"/>
      <c r="S390" s="12"/>
      <c r="T390" s="12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>
      <c r="A391" s="4"/>
      <c r="B391" s="4"/>
      <c r="C391" s="4"/>
      <c r="D391" s="4"/>
      <c r="E391" s="4"/>
      <c r="F391" s="4"/>
      <c r="G391" s="4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35"/>
      <c r="S391" s="12"/>
      <c r="T391" s="12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>
      <c r="A392" s="4"/>
      <c r="B392" s="4"/>
      <c r="C392" s="4"/>
      <c r="D392" s="4"/>
      <c r="E392" s="4"/>
      <c r="F392" s="4"/>
      <c r="G392" s="4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35"/>
      <c r="S392" s="12"/>
      <c r="T392" s="12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>
      <c r="A393" s="4"/>
      <c r="B393" s="4"/>
      <c r="C393" s="4"/>
      <c r="D393" s="4"/>
      <c r="E393" s="4"/>
      <c r="F393" s="4"/>
      <c r="G393" s="4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35"/>
      <c r="S393" s="12"/>
      <c r="T393" s="12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>
      <c r="A394" s="4"/>
      <c r="B394" s="4"/>
      <c r="C394" s="4"/>
      <c r="D394" s="4"/>
      <c r="E394" s="4"/>
      <c r="F394" s="4"/>
      <c r="G394" s="4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35"/>
      <c r="S394" s="12"/>
      <c r="T394" s="12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>
      <c r="A395" s="4"/>
      <c r="B395" s="4"/>
      <c r="C395" s="4"/>
      <c r="D395" s="4"/>
      <c r="E395" s="4"/>
      <c r="F395" s="4"/>
      <c r="G395" s="4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35"/>
      <c r="S395" s="12"/>
      <c r="T395" s="12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>
      <c r="A396" s="4"/>
      <c r="B396" s="4"/>
      <c r="C396" s="4"/>
      <c r="D396" s="4"/>
      <c r="E396" s="4"/>
      <c r="F396" s="4"/>
      <c r="G396" s="4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35"/>
      <c r="S396" s="12"/>
      <c r="T396" s="12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>
      <c r="A397" s="4"/>
      <c r="B397" s="4"/>
      <c r="C397" s="4"/>
      <c r="D397" s="4"/>
      <c r="E397" s="4"/>
      <c r="F397" s="4"/>
      <c r="G397" s="4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35"/>
      <c r="S397" s="12"/>
      <c r="T397" s="12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>
      <c r="A398" s="4"/>
      <c r="B398" s="4"/>
      <c r="C398" s="4"/>
      <c r="D398" s="4"/>
      <c r="E398" s="4"/>
      <c r="F398" s="4"/>
      <c r="G398" s="4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35"/>
      <c r="S398" s="12"/>
      <c r="T398" s="12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>
      <c r="A399" s="4"/>
      <c r="B399" s="4"/>
      <c r="C399" s="4"/>
      <c r="D399" s="4"/>
      <c r="E399" s="4"/>
      <c r="F399" s="4"/>
      <c r="G399" s="4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35"/>
      <c r="S399" s="12"/>
      <c r="T399" s="12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>
      <c r="A400" s="4"/>
      <c r="B400" s="4"/>
      <c r="C400" s="4"/>
      <c r="D400" s="4"/>
      <c r="E400" s="4"/>
      <c r="F400" s="4"/>
      <c r="G400" s="4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35"/>
      <c r="S400" s="12"/>
      <c r="T400" s="12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>
      <c r="A401" s="4"/>
      <c r="B401" s="4"/>
      <c r="C401" s="4"/>
      <c r="D401" s="4"/>
      <c r="E401" s="4"/>
      <c r="F401" s="4"/>
      <c r="G401" s="4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35"/>
      <c r="S401" s="12"/>
      <c r="T401" s="12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>
      <c r="A402" s="4"/>
      <c r="B402" s="4"/>
      <c r="C402" s="4"/>
      <c r="D402" s="4"/>
      <c r="E402" s="4"/>
      <c r="F402" s="4"/>
      <c r="G402" s="4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35"/>
      <c r="S402" s="12"/>
      <c r="T402" s="12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>
      <c r="A403" s="4"/>
      <c r="B403" s="4"/>
      <c r="C403" s="4"/>
      <c r="D403" s="4"/>
      <c r="E403" s="4"/>
      <c r="F403" s="4"/>
      <c r="G403" s="4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35"/>
      <c r="S403" s="12"/>
      <c r="T403" s="12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>
      <c r="A404" s="4"/>
      <c r="B404" s="4"/>
      <c r="C404" s="4"/>
      <c r="D404" s="4"/>
      <c r="E404" s="4"/>
      <c r="F404" s="4"/>
      <c r="G404" s="4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35"/>
      <c r="S404" s="12"/>
      <c r="T404" s="12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>
      <c r="A405" s="4"/>
      <c r="B405" s="4"/>
      <c r="C405" s="4"/>
      <c r="D405" s="4"/>
      <c r="E405" s="4"/>
      <c r="F405" s="4"/>
      <c r="G405" s="4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35"/>
      <c r="S405" s="12"/>
      <c r="T405" s="12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>
      <c r="A406" s="4"/>
      <c r="B406" s="4"/>
      <c r="C406" s="4"/>
      <c r="D406" s="4"/>
      <c r="E406" s="4"/>
      <c r="F406" s="4"/>
      <c r="G406" s="4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35"/>
      <c r="S406" s="12"/>
      <c r="T406" s="12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>
      <c r="A407" s="4"/>
      <c r="B407" s="4"/>
      <c r="C407" s="4"/>
      <c r="D407" s="4"/>
      <c r="E407" s="4"/>
      <c r="F407" s="4"/>
      <c r="G407" s="4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35"/>
      <c r="S407" s="12"/>
      <c r="T407" s="12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>
      <c r="A408" s="4"/>
      <c r="B408" s="4"/>
      <c r="C408" s="4"/>
      <c r="D408" s="4"/>
      <c r="E408" s="4"/>
      <c r="F408" s="4"/>
      <c r="G408" s="4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35"/>
      <c r="S408" s="12"/>
      <c r="T408" s="12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>
      <c r="A409" s="4"/>
      <c r="B409" s="4"/>
      <c r="C409" s="4"/>
      <c r="D409" s="4"/>
      <c r="E409" s="4"/>
      <c r="F409" s="4"/>
      <c r="G409" s="4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35"/>
      <c r="S409" s="12"/>
      <c r="T409" s="12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>
      <c r="A410" s="4"/>
      <c r="B410" s="4"/>
      <c r="C410" s="4"/>
      <c r="D410" s="4"/>
      <c r="E410" s="4"/>
      <c r="F410" s="4"/>
      <c r="G410" s="4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35"/>
      <c r="S410" s="12"/>
      <c r="T410" s="12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>
      <c r="A411" s="4"/>
      <c r="B411" s="4"/>
      <c r="C411" s="4"/>
      <c r="D411" s="4"/>
      <c r="E411" s="4"/>
      <c r="F411" s="4"/>
      <c r="G411" s="4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35"/>
      <c r="S411" s="12"/>
      <c r="T411" s="12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>
      <c r="A412" s="4"/>
      <c r="B412" s="4"/>
      <c r="C412" s="4"/>
      <c r="D412" s="4"/>
      <c r="E412" s="4"/>
      <c r="F412" s="4"/>
      <c r="G412" s="4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35"/>
      <c r="S412" s="12"/>
      <c r="T412" s="12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>
      <c r="A413" s="4"/>
      <c r="B413" s="4"/>
      <c r="C413" s="4"/>
      <c r="D413" s="4"/>
      <c r="E413" s="4"/>
      <c r="F413" s="4"/>
      <c r="G413" s="4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35"/>
      <c r="S413" s="12"/>
      <c r="T413" s="12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>
      <c r="A414" s="4"/>
      <c r="B414" s="4"/>
      <c r="C414" s="4"/>
      <c r="D414" s="4"/>
      <c r="E414" s="4"/>
      <c r="F414" s="4"/>
      <c r="G414" s="4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35"/>
      <c r="S414" s="12"/>
      <c r="T414" s="12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>
      <c r="A415" s="4"/>
      <c r="B415" s="4"/>
      <c r="C415" s="4"/>
      <c r="D415" s="4"/>
      <c r="E415" s="4"/>
      <c r="F415" s="4"/>
      <c r="G415" s="4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35"/>
      <c r="S415" s="12"/>
      <c r="T415" s="12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>
      <c r="A416" s="4"/>
      <c r="B416" s="4"/>
      <c r="C416" s="4"/>
      <c r="D416" s="4"/>
      <c r="E416" s="4"/>
      <c r="F416" s="4"/>
      <c r="G416" s="4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35"/>
      <c r="S416" s="12"/>
      <c r="T416" s="12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>
      <c r="A417" s="4"/>
      <c r="B417" s="4"/>
      <c r="C417" s="4"/>
      <c r="D417" s="4"/>
      <c r="E417" s="4"/>
      <c r="F417" s="4"/>
      <c r="G417" s="4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35"/>
      <c r="S417" s="12"/>
      <c r="T417" s="12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>
      <c r="A418" s="4"/>
      <c r="B418" s="4"/>
      <c r="C418" s="4"/>
      <c r="D418" s="4"/>
      <c r="E418" s="4"/>
      <c r="F418" s="4"/>
      <c r="G418" s="4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35"/>
      <c r="S418" s="12"/>
      <c r="T418" s="12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>
      <c r="A419" s="4"/>
      <c r="B419" s="4"/>
      <c r="C419" s="4"/>
      <c r="D419" s="4"/>
      <c r="E419" s="4"/>
      <c r="F419" s="4"/>
      <c r="G419" s="4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35"/>
      <c r="S419" s="12"/>
      <c r="T419" s="12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>
      <c r="A420" s="4"/>
      <c r="B420" s="4"/>
      <c r="C420" s="4"/>
      <c r="D420" s="4"/>
      <c r="E420" s="4"/>
      <c r="F420" s="4"/>
      <c r="G420" s="4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35"/>
      <c r="S420" s="12"/>
      <c r="T420" s="12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>
      <c r="A421" s="4"/>
      <c r="B421" s="4"/>
      <c r="C421" s="4"/>
      <c r="D421" s="4"/>
      <c r="E421" s="4"/>
      <c r="F421" s="4"/>
      <c r="G421" s="4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35"/>
      <c r="S421" s="12"/>
      <c r="T421" s="12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>
      <c r="A422" s="4"/>
      <c r="B422" s="4"/>
      <c r="C422" s="4"/>
      <c r="D422" s="4"/>
      <c r="E422" s="4"/>
      <c r="F422" s="4"/>
      <c r="G422" s="4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35"/>
      <c r="S422" s="12"/>
      <c r="T422" s="12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>
      <c r="A423" s="4"/>
      <c r="B423" s="4"/>
      <c r="C423" s="4"/>
      <c r="D423" s="4"/>
      <c r="E423" s="4"/>
      <c r="F423" s="4"/>
      <c r="G423" s="4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35"/>
      <c r="S423" s="12"/>
      <c r="T423" s="12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>
      <c r="A424" s="4"/>
      <c r="B424" s="4"/>
      <c r="C424" s="4"/>
      <c r="D424" s="4"/>
      <c r="E424" s="4"/>
      <c r="F424" s="4"/>
      <c r="G424" s="4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35"/>
      <c r="S424" s="12"/>
      <c r="T424" s="12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>
      <c r="A425" s="4"/>
      <c r="B425" s="4"/>
      <c r="C425" s="4"/>
      <c r="D425" s="4"/>
      <c r="E425" s="4"/>
      <c r="F425" s="4"/>
      <c r="G425" s="4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35"/>
      <c r="S425" s="12"/>
      <c r="T425" s="12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>
      <c r="A426" s="4"/>
      <c r="B426" s="4"/>
      <c r="C426" s="4"/>
      <c r="D426" s="4"/>
      <c r="E426" s="4"/>
      <c r="F426" s="4"/>
      <c r="G426" s="4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35"/>
      <c r="S426" s="12"/>
      <c r="T426" s="12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>
      <c r="A427" s="4"/>
      <c r="B427" s="4"/>
      <c r="C427" s="4"/>
      <c r="D427" s="4"/>
      <c r="E427" s="4"/>
      <c r="F427" s="4"/>
      <c r="G427" s="4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35"/>
      <c r="S427" s="12"/>
      <c r="T427" s="12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>
      <c r="A428" s="4"/>
      <c r="B428" s="4"/>
      <c r="C428" s="4"/>
      <c r="D428" s="4"/>
      <c r="E428" s="4"/>
      <c r="F428" s="4"/>
      <c r="G428" s="4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35"/>
      <c r="S428" s="12"/>
      <c r="T428" s="12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>
      <c r="A429" s="4"/>
      <c r="B429" s="4"/>
      <c r="C429" s="4"/>
      <c r="D429" s="4"/>
      <c r="E429" s="4"/>
      <c r="F429" s="4"/>
      <c r="G429" s="4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35"/>
      <c r="S429" s="12"/>
      <c r="T429" s="12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>
      <c r="A430" s="4"/>
      <c r="B430" s="4"/>
      <c r="C430" s="4"/>
      <c r="D430" s="4"/>
      <c r="E430" s="4"/>
      <c r="F430" s="4"/>
      <c r="G430" s="4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35"/>
      <c r="S430" s="12"/>
      <c r="T430" s="12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>
      <c r="A431" s="4"/>
      <c r="B431" s="4"/>
      <c r="C431" s="4"/>
      <c r="D431" s="4"/>
      <c r="E431" s="4"/>
      <c r="F431" s="4"/>
      <c r="G431" s="4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35"/>
      <c r="S431" s="12"/>
      <c r="T431" s="12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>
      <c r="A432" s="4"/>
      <c r="B432" s="4"/>
      <c r="C432" s="4"/>
      <c r="D432" s="4"/>
      <c r="E432" s="4"/>
      <c r="F432" s="4"/>
      <c r="G432" s="4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35"/>
      <c r="S432" s="12"/>
      <c r="T432" s="12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>
      <c r="A433" s="4"/>
      <c r="B433" s="4"/>
      <c r="C433" s="4"/>
      <c r="D433" s="4"/>
      <c r="E433" s="4"/>
      <c r="F433" s="4"/>
      <c r="G433" s="4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35"/>
      <c r="S433" s="12"/>
      <c r="T433" s="12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>
      <c r="A434" s="4"/>
      <c r="B434" s="4"/>
      <c r="C434" s="4"/>
      <c r="D434" s="4"/>
      <c r="E434" s="4"/>
      <c r="F434" s="4"/>
      <c r="G434" s="4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35"/>
      <c r="S434" s="12"/>
      <c r="T434" s="12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>
      <c r="A435" s="4"/>
      <c r="B435" s="4"/>
      <c r="C435" s="4"/>
      <c r="D435" s="4"/>
      <c r="E435" s="4"/>
      <c r="F435" s="4"/>
      <c r="G435" s="4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35"/>
      <c r="S435" s="12"/>
      <c r="T435" s="12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>
      <c r="A436" s="4"/>
      <c r="B436" s="4"/>
      <c r="C436" s="4"/>
      <c r="D436" s="4"/>
      <c r="E436" s="4"/>
      <c r="F436" s="4"/>
      <c r="G436" s="4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35"/>
      <c r="S436" s="12"/>
      <c r="T436" s="12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>
      <c r="A437" s="4"/>
      <c r="B437" s="4"/>
      <c r="C437" s="4"/>
      <c r="D437" s="4"/>
      <c r="E437" s="4"/>
      <c r="F437" s="4"/>
      <c r="G437" s="4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35"/>
      <c r="S437" s="12"/>
      <c r="T437" s="12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>
      <c r="A438" s="4"/>
      <c r="B438" s="4"/>
      <c r="C438" s="4"/>
      <c r="D438" s="4"/>
      <c r="E438" s="4"/>
      <c r="F438" s="4"/>
      <c r="G438" s="4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35"/>
      <c r="S438" s="12"/>
      <c r="T438" s="12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>
      <c r="A439" s="4"/>
      <c r="B439" s="4"/>
      <c r="C439" s="4"/>
      <c r="D439" s="4"/>
      <c r="E439" s="4"/>
      <c r="F439" s="4"/>
      <c r="G439" s="4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35"/>
      <c r="S439" s="12"/>
      <c r="T439" s="12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>
      <c r="A440" s="4"/>
      <c r="B440" s="4"/>
      <c r="C440" s="4"/>
      <c r="D440" s="4"/>
      <c r="E440" s="4"/>
      <c r="F440" s="4"/>
      <c r="G440" s="4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35"/>
      <c r="S440" s="12"/>
      <c r="T440" s="12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>
      <c r="A441" s="4"/>
      <c r="B441" s="4"/>
      <c r="C441" s="4"/>
      <c r="D441" s="4"/>
      <c r="E441" s="4"/>
      <c r="F441" s="4"/>
      <c r="G441" s="4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35"/>
      <c r="S441" s="12"/>
      <c r="T441" s="12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>
      <c r="A442" s="4"/>
      <c r="B442" s="4"/>
      <c r="C442" s="4"/>
      <c r="D442" s="4"/>
      <c r="E442" s="4"/>
      <c r="F442" s="4"/>
      <c r="G442" s="4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35"/>
      <c r="S442" s="12"/>
      <c r="T442" s="12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>
      <c r="A443" s="4"/>
      <c r="B443" s="4"/>
      <c r="C443" s="4"/>
      <c r="D443" s="4"/>
      <c r="E443" s="4"/>
      <c r="F443" s="4"/>
      <c r="G443" s="4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35"/>
      <c r="S443" s="12"/>
      <c r="T443" s="12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>
      <c r="A444" s="4"/>
      <c r="B444" s="4"/>
      <c r="C444" s="4"/>
      <c r="D444" s="4"/>
      <c r="E444" s="4"/>
      <c r="F444" s="4"/>
      <c r="G444" s="4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35"/>
      <c r="S444" s="12"/>
      <c r="T444" s="12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>
      <c r="A445" s="4"/>
      <c r="B445" s="4"/>
      <c r="C445" s="4"/>
      <c r="D445" s="4"/>
      <c r="E445" s="4"/>
      <c r="F445" s="4"/>
      <c r="G445" s="4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35"/>
      <c r="S445" s="12"/>
      <c r="T445" s="12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>
      <c r="A446" s="4"/>
      <c r="B446" s="4"/>
      <c r="C446" s="4"/>
      <c r="D446" s="4"/>
      <c r="E446" s="4"/>
      <c r="F446" s="4"/>
      <c r="G446" s="4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35"/>
      <c r="S446" s="12"/>
      <c r="T446" s="12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>
      <c r="A447" s="4"/>
      <c r="B447" s="4"/>
      <c r="C447" s="4"/>
      <c r="D447" s="4"/>
      <c r="E447" s="4"/>
      <c r="F447" s="4"/>
      <c r="G447" s="4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35"/>
      <c r="S447" s="12"/>
      <c r="T447" s="12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>
      <c r="A448" s="4"/>
      <c r="B448" s="4"/>
      <c r="C448" s="4"/>
      <c r="D448" s="4"/>
      <c r="E448" s="4"/>
      <c r="F448" s="4"/>
      <c r="G448" s="4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35"/>
      <c r="S448" s="12"/>
      <c r="T448" s="12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>
      <c r="A449" s="4"/>
      <c r="B449" s="4"/>
      <c r="C449" s="4"/>
      <c r="D449" s="4"/>
      <c r="E449" s="4"/>
      <c r="F449" s="4"/>
      <c r="G449" s="4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35"/>
      <c r="S449" s="12"/>
      <c r="T449" s="12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>
      <c r="A450" s="4"/>
      <c r="B450" s="4"/>
      <c r="C450" s="4"/>
      <c r="D450" s="4"/>
      <c r="E450" s="4"/>
      <c r="F450" s="4"/>
      <c r="G450" s="4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35"/>
      <c r="S450" s="12"/>
      <c r="T450" s="12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>
      <c r="A451" s="4"/>
      <c r="B451" s="4"/>
      <c r="C451" s="4"/>
      <c r="D451" s="4"/>
      <c r="E451" s="4"/>
      <c r="F451" s="4"/>
      <c r="G451" s="4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35"/>
      <c r="S451" s="12"/>
      <c r="T451" s="12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>
      <c r="A452" s="4"/>
      <c r="B452" s="4"/>
      <c r="C452" s="4"/>
      <c r="D452" s="4"/>
      <c r="E452" s="4"/>
      <c r="F452" s="4"/>
      <c r="G452" s="4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35"/>
      <c r="S452" s="12"/>
      <c r="T452" s="12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>
      <c r="A453" s="4"/>
      <c r="B453" s="4"/>
      <c r="C453" s="4"/>
      <c r="D453" s="4"/>
      <c r="E453" s="4"/>
      <c r="F453" s="4"/>
      <c r="G453" s="4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35"/>
      <c r="S453" s="12"/>
      <c r="T453" s="12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>
      <c r="A454" s="4"/>
      <c r="B454" s="4"/>
      <c r="C454" s="4"/>
      <c r="D454" s="4"/>
      <c r="E454" s="4"/>
      <c r="F454" s="4"/>
      <c r="G454" s="4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35"/>
      <c r="S454" s="12"/>
      <c r="T454" s="12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>
      <c r="A455" s="4"/>
      <c r="B455" s="4"/>
      <c r="C455" s="4"/>
      <c r="D455" s="4"/>
      <c r="E455" s="4"/>
      <c r="F455" s="4"/>
      <c r="G455" s="4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35"/>
      <c r="S455" s="12"/>
      <c r="T455" s="12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>
      <c r="A456" s="4"/>
      <c r="B456" s="4"/>
      <c r="C456" s="4"/>
      <c r="D456" s="4"/>
      <c r="E456" s="4"/>
      <c r="F456" s="4"/>
      <c r="G456" s="4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35"/>
      <c r="S456" s="12"/>
      <c r="T456" s="12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>
      <c r="A457" s="4"/>
      <c r="B457" s="4"/>
      <c r="C457" s="4"/>
      <c r="D457" s="4"/>
      <c r="E457" s="4"/>
      <c r="F457" s="4"/>
      <c r="G457" s="4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35"/>
      <c r="S457" s="12"/>
      <c r="T457" s="12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>
      <c r="A458" s="4"/>
      <c r="B458" s="4"/>
      <c r="C458" s="4"/>
      <c r="D458" s="4"/>
      <c r="E458" s="4"/>
      <c r="F458" s="4"/>
      <c r="G458" s="4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35"/>
      <c r="S458" s="12"/>
      <c r="T458" s="12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>
      <c r="A459" s="4"/>
      <c r="B459" s="4"/>
      <c r="C459" s="4"/>
      <c r="D459" s="4"/>
      <c r="E459" s="4"/>
      <c r="F459" s="4"/>
      <c r="G459" s="4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35"/>
      <c r="S459" s="12"/>
      <c r="T459" s="12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>
      <c r="A460" s="4"/>
      <c r="B460" s="4"/>
      <c r="C460" s="4"/>
      <c r="D460" s="4"/>
      <c r="E460" s="4"/>
      <c r="F460" s="4"/>
      <c r="G460" s="4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35"/>
      <c r="S460" s="12"/>
      <c r="T460" s="12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>
      <c r="A461" s="4"/>
      <c r="B461" s="4"/>
      <c r="C461" s="4"/>
      <c r="D461" s="4"/>
      <c r="E461" s="4"/>
      <c r="F461" s="4"/>
      <c r="G461" s="4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35"/>
      <c r="S461" s="12"/>
      <c r="T461" s="12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>
      <c r="A462" s="4"/>
      <c r="B462" s="4"/>
      <c r="C462" s="4"/>
      <c r="D462" s="4"/>
      <c r="E462" s="4"/>
      <c r="F462" s="4"/>
      <c r="G462" s="4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35"/>
      <c r="S462" s="12"/>
      <c r="T462" s="12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>
      <c r="A463" s="4"/>
      <c r="B463" s="4"/>
      <c r="C463" s="4"/>
      <c r="D463" s="4"/>
      <c r="E463" s="4"/>
      <c r="F463" s="4"/>
      <c r="G463" s="4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35"/>
      <c r="S463" s="12"/>
      <c r="T463" s="12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>
      <c r="A464" s="4"/>
      <c r="B464" s="4"/>
      <c r="C464" s="4"/>
      <c r="D464" s="4"/>
      <c r="E464" s="4"/>
      <c r="F464" s="4"/>
      <c r="G464" s="4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35"/>
      <c r="S464" s="12"/>
      <c r="T464" s="12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>
      <c r="A465" s="4"/>
      <c r="B465" s="4"/>
      <c r="C465" s="4"/>
      <c r="D465" s="4"/>
      <c r="E465" s="4"/>
      <c r="F465" s="4"/>
      <c r="G465" s="4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35"/>
      <c r="S465" s="12"/>
      <c r="T465" s="12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>
      <c r="A466" s="4"/>
      <c r="B466" s="4"/>
      <c r="C466" s="4"/>
      <c r="D466" s="4"/>
      <c r="E466" s="4"/>
      <c r="F466" s="4"/>
      <c r="G466" s="4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35"/>
      <c r="S466" s="12"/>
      <c r="T466" s="12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>
      <c r="A467" s="4"/>
      <c r="B467" s="4"/>
      <c r="C467" s="4"/>
      <c r="D467" s="4"/>
      <c r="E467" s="4"/>
      <c r="F467" s="4"/>
      <c r="G467" s="4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35"/>
      <c r="S467" s="12"/>
      <c r="T467" s="12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>
      <c r="A468" s="4"/>
      <c r="B468" s="4"/>
      <c r="C468" s="4"/>
      <c r="D468" s="4"/>
      <c r="E468" s="4"/>
      <c r="F468" s="4"/>
      <c r="G468" s="4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35"/>
      <c r="S468" s="12"/>
      <c r="T468" s="12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>
      <c r="A469" s="4"/>
      <c r="B469" s="4"/>
      <c r="C469" s="4"/>
      <c r="D469" s="4"/>
      <c r="E469" s="4"/>
      <c r="F469" s="4"/>
      <c r="G469" s="4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35"/>
      <c r="S469" s="12"/>
      <c r="T469" s="12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>
      <c r="A470" s="4"/>
      <c r="B470" s="4"/>
      <c r="C470" s="4"/>
      <c r="D470" s="4"/>
      <c r="E470" s="4"/>
      <c r="F470" s="4"/>
      <c r="G470" s="4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35"/>
      <c r="S470" s="12"/>
      <c r="T470" s="12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>
      <c r="A471" s="4"/>
      <c r="B471" s="4"/>
      <c r="C471" s="4"/>
      <c r="D471" s="4"/>
      <c r="E471" s="4"/>
      <c r="F471" s="4"/>
      <c r="G471" s="4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35"/>
      <c r="S471" s="12"/>
      <c r="T471" s="12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>
      <c r="A472" s="4"/>
      <c r="B472" s="4"/>
      <c r="C472" s="4"/>
      <c r="D472" s="4"/>
      <c r="E472" s="4"/>
      <c r="F472" s="4"/>
      <c r="G472" s="4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35"/>
      <c r="S472" s="12"/>
      <c r="T472" s="12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>
      <c r="A473" s="4"/>
      <c r="B473" s="4"/>
      <c r="C473" s="4"/>
      <c r="D473" s="4"/>
      <c r="E473" s="4"/>
      <c r="F473" s="4"/>
      <c r="G473" s="4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35"/>
      <c r="S473" s="12"/>
      <c r="T473" s="12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>
      <c r="A474" s="4"/>
      <c r="B474" s="4"/>
      <c r="C474" s="4"/>
      <c r="D474" s="4"/>
      <c r="E474" s="4"/>
      <c r="F474" s="4"/>
      <c r="G474" s="4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35"/>
      <c r="S474" s="12"/>
      <c r="T474" s="12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>
      <c r="A475" s="4"/>
      <c r="B475" s="4"/>
      <c r="C475" s="4"/>
      <c r="D475" s="4"/>
      <c r="E475" s="4"/>
      <c r="F475" s="4"/>
      <c r="G475" s="4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35"/>
      <c r="S475" s="12"/>
      <c r="T475" s="12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>
      <c r="A476" s="4"/>
      <c r="B476" s="4"/>
      <c r="C476" s="4"/>
      <c r="D476" s="4"/>
      <c r="E476" s="4"/>
      <c r="F476" s="4"/>
      <c r="G476" s="4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35"/>
      <c r="S476" s="12"/>
      <c r="T476" s="12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>
      <c r="A477" s="4"/>
      <c r="B477" s="4"/>
      <c r="C477" s="4"/>
      <c r="D477" s="4"/>
      <c r="E477" s="4"/>
      <c r="F477" s="4"/>
      <c r="G477" s="4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35"/>
      <c r="S477" s="12"/>
      <c r="T477" s="12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>
      <c r="A478" s="4"/>
      <c r="B478" s="4"/>
      <c r="C478" s="4"/>
      <c r="D478" s="4"/>
      <c r="E478" s="4"/>
      <c r="F478" s="4"/>
      <c r="G478" s="4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35"/>
      <c r="S478" s="12"/>
      <c r="T478" s="12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>
      <c r="A479" s="4"/>
      <c r="B479" s="4"/>
      <c r="C479" s="4"/>
      <c r="D479" s="4"/>
      <c r="E479" s="4"/>
      <c r="F479" s="4"/>
      <c r="G479" s="4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35"/>
      <c r="S479" s="12"/>
      <c r="T479" s="12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>
      <c r="A480" s="4"/>
      <c r="B480" s="4"/>
      <c r="C480" s="4"/>
      <c r="D480" s="4"/>
      <c r="E480" s="4"/>
      <c r="F480" s="4"/>
      <c r="G480" s="4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35"/>
      <c r="S480" s="12"/>
      <c r="T480" s="12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>
      <c r="A481" s="4"/>
      <c r="B481" s="4"/>
      <c r="C481" s="4"/>
      <c r="D481" s="4"/>
      <c r="E481" s="4"/>
      <c r="F481" s="4"/>
      <c r="G481" s="4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35"/>
      <c r="S481" s="12"/>
      <c r="T481" s="12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>
      <c r="A482" s="4"/>
      <c r="B482" s="4"/>
      <c r="C482" s="4"/>
      <c r="D482" s="4"/>
      <c r="E482" s="4"/>
      <c r="F482" s="4"/>
      <c r="G482" s="4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35"/>
      <c r="S482" s="12"/>
      <c r="T482" s="12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>
      <c r="A483" s="4"/>
      <c r="B483" s="4"/>
      <c r="C483" s="4"/>
      <c r="D483" s="4"/>
      <c r="E483" s="4"/>
      <c r="F483" s="4"/>
      <c r="G483" s="4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35"/>
      <c r="S483" s="12"/>
      <c r="T483" s="12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>
      <c r="A484" s="4"/>
      <c r="B484" s="4"/>
      <c r="C484" s="4"/>
      <c r="D484" s="4"/>
      <c r="E484" s="4"/>
      <c r="F484" s="4"/>
      <c r="G484" s="4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35"/>
      <c r="S484" s="12"/>
      <c r="T484" s="12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>
      <c r="A485" s="4"/>
      <c r="B485" s="4"/>
      <c r="C485" s="4"/>
      <c r="D485" s="4"/>
      <c r="E485" s="4"/>
      <c r="F485" s="4"/>
      <c r="G485" s="4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35"/>
      <c r="S485" s="12"/>
      <c r="T485" s="12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>
      <c r="A486" s="4"/>
      <c r="B486" s="4"/>
      <c r="C486" s="4"/>
      <c r="D486" s="4"/>
      <c r="E486" s="4"/>
      <c r="F486" s="4"/>
      <c r="G486" s="4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35"/>
      <c r="S486" s="12"/>
      <c r="T486" s="12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>
      <c r="A487" s="4"/>
      <c r="B487" s="4"/>
      <c r="C487" s="4"/>
      <c r="D487" s="4"/>
      <c r="E487" s="4"/>
      <c r="F487" s="4"/>
      <c r="G487" s="4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35"/>
      <c r="S487" s="12"/>
      <c r="T487" s="12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>
      <c r="A488" s="4"/>
      <c r="B488" s="4"/>
      <c r="C488" s="4"/>
      <c r="D488" s="4"/>
      <c r="E488" s="4"/>
      <c r="F488" s="4"/>
      <c r="G488" s="4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35"/>
      <c r="S488" s="12"/>
      <c r="T488" s="12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>
      <c r="A489" s="4"/>
      <c r="B489" s="4"/>
      <c r="C489" s="4"/>
      <c r="D489" s="4"/>
      <c r="E489" s="4"/>
      <c r="F489" s="4"/>
      <c r="G489" s="4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35"/>
      <c r="S489" s="12"/>
      <c r="T489" s="12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>
      <c r="A490" s="4"/>
      <c r="B490" s="4"/>
      <c r="C490" s="4"/>
      <c r="D490" s="4"/>
      <c r="E490" s="4"/>
      <c r="F490" s="4"/>
      <c r="G490" s="4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35"/>
      <c r="S490" s="12"/>
      <c r="T490" s="12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>
      <c r="A491" s="4"/>
      <c r="B491" s="4"/>
      <c r="C491" s="4"/>
      <c r="D491" s="4"/>
      <c r="E491" s="4"/>
      <c r="F491" s="4"/>
      <c r="G491" s="4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35"/>
      <c r="S491" s="12"/>
      <c r="T491" s="12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>
      <c r="A492" s="4"/>
      <c r="B492" s="4"/>
      <c r="C492" s="4"/>
      <c r="D492" s="4"/>
      <c r="E492" s="4"/>
      <c r="F492" s="4"/>
      <c r="G492" s="4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35"/>
      <c r="S492" s="12"/>
      <c r="T492" s="12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>
      <c r="A493" s="4"/>
      <c r="B493" s="4"/>
      <c r="C493" s="4"/>
      <c r="D493" s="4"/>
      <c r="E493" s="4"/>
      <c r="F493" s="4"/>
      <c r="G493" s="4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35"/>
      <c r="S493" s="12"/>
      <c r="T493" s="12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>
      <c r="A494" s="4"/>
      <c r="B494" s="4"/>
      <c r="C494" s="4"/>
      <c r="D494" s="4"/>
      <c r="E494" s="4"/>
      <c r="F494" s="4"/>
      <c r="G494" s="4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35"/>
      <c r="S494" s="12"/>
      <c r="T494" s="12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>
      <c r="A495" s="4"/>
      <c r="B495" s="4"/>
      <c r="C495" s="4"/>
      <c r="D495" s="4"/>
      <c r="E495" s="4"/>
      <c r="F495" s="4"/>
      <c r="G495" s="4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35"/>
      <c r="S495" s="12"/>
      <c r="T495" s="12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>
      <c r="A496" s="4"/>
      <c r="B496" s="4"/>
      <c r="C496" s="4"/>
      <c r="D496" s="4"/>
      <c r="E496" s="4"/>
      <c r="F496" s="4"/>
      <c r="G496" s="4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35"/>
      <c r="S496" s="12"/>
      <c r="T496" s="12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>
      <c r="A497" s="4"/>
      <c r="B497" s="4"/>
      <c r="C497" s="4"/>
      <c r="D497" s="4"/>
      <c r="E497" s="4"/>
      <c r="F497" s="4"/>
      <c r="G497" s="4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35"/>
      <c r="S497" s="12"/>
      <c r="T497" s="12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>
      <c r="A498" s="4"/>
      <c r="B498" s="4"/>
      <c r="C498" s="4"/>
      <c r="D498" s="4"/>
      <c r="E498" s="4"/>
      <c r="F498" s="4"/>
      <c r="G498" s="4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35"/>
      <c r="S498" s="12"/>
      <c r="T498" s="12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>
      <c r="A499" s="4"/>
      <c r="B499" s="4"/>
      <c r="C499" s="4"/>
      <c r="D499" s="4"/>
      <c r="E499" s="4"/>
      <c r="F499" s="4"/>
      <c r="G499" s="4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35"/>
      <c r="S499" s="12"/>
      <c r="T499" s="12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>
      <c r="A500" s="4"/>
      <c r="B500" s="4"/>
      <c r="C500" s="4"/>
      <c r="D500" s="4"/>
      <c r="E500" s="4"/>
      <c r="F500" s="4"/>
      <c r="G500" s="4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35"/>
      <c r="S500" s="12"/>
      <c r="T500" s="12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>
      <c r="A501" s="4"/>
      <c r="B501" s="4"/>
      <c r="C501" s="4"/>
      <c r="D501" s="4"/>
      <c r="E501" s="4"/>
      <c r="F501" s="4"/>
      <c r="G501" s="4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35"/>
      <c r="S501" s="12"/>
      <c r="T501" s="12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>
      <c r="A502" s="4"/>
      <c r="B502" s="4"/>
      <c r="C502" s="4"/>
      <c r="D502" s="4"/>
      <c r="E502" s="4"/>
      <c r="F502" s="4"/>
      <c r="G502" s="4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35"/>
      <c r="S502" s="12"/>
      <c r="T502" s="12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>
      <c r="A503" s="4"/>
      <c r="B503" s="4"/>
      <c r="C503" s="4"/>
      <c r="D503" s="4"/>
      <c r="E503" s="4"/>
      <c r="F503" s="4"/>
      <c r="G503" s="4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35"/>
      <c r="S503" s="12"/>
      <c r="T503" s="12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>
      <c r="A504" s="4"/>
      <c r="B504" s="4"/>
      <c r="C504" s="4"/>
      <c r="D504" s="4"/>
      <c r="E504" s="4"/>
      <c r="F504" s="4"/>
      <c r="G504" s="4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35"/>
      <c r="S504" s="12"/>
      <c r="T504" s="12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>
      <c r="A505" s="4"/>
      <c r="B505" s="4"/>
      <c r="C505" s="4"/>
      <c r="D505" s="4"/>
      <c r="E505" s="4"/>
      <c r="F505" s="4"/>
      <c r="G505" s="4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35"/>
      <c r="S505" s="12"/>
      <c r="T505" s="12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>
      <c r="A506" s="4"/>
      <c r="B506" s="4"/>
      <c r="C506" s="4"/>
      <c r="D506" s="4"/>
      <c r="E506" s="4"/>
      <c r="F506" s="4"/>
      <c r="G506" s="4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35"/>
      <c r="S506" s="12"/>
      <c r="T506" s="12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>
      <c r="A507" s="4"/>
      <c r="B507" s="4"/>
      <c r="C507" s="4"/>
      <c r="D507" s="4"/>
      <c r="E507" s="4"/>
      <c r="F507" s="4"/>
      <c r="G507" s="4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35"/>
      <c r="S507" s="12"/>
      <c r="T507" s="12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>
      <c r="A508" s="4"/>
      <c r="B508" s="4"/>
      <c r="C508" s="4"/>
      <c r="D508" s="4"/>
      <c r="E508" s="4"/>
      <c r="F508" s="4"/>
      <c r="G508" s="4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35"/>
      <c r="S508" s="12"/>
      <c r="T508" s="12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>
      <c r="A509" s="4"/>
      <c r="B509" s="4"/>
      <c r="C509" s="4"/>
      <c r="D509" s="4"/>
      <c r="E509" s="4"/>
      <c r="F509" s="4"/>
      <c r="G509" s="4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35"/>
      <c r="S509" s="12"/>
      <c r="T509" s="12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>
      <c r="A510" s="4"/>
      <c r="B510" s="4"/>
      <c r="C510" s="4"/>
      <c r="D510" s="4"/>
      <c r="E510" s="4"/>
      <c r="F510" s="4"/>
      <c r="G510" s="4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35"/>
      <c r="S510" s="12"/>
      <c r="T510" s="12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>
      <c r="A511" s="4"/>
      <c r="B511" s="4"/>
      <c r="C511" s="4"/>
      <c r="D511" s="4"/>
      <c r="E511" s="4"/>
      <c r="F511" s="4"/>
      <c r="G511" s="4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35"/>
      <c r="S511" s="12"/>
      <c r="T511" s="12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>
      <c r="A512" s="4"/>
      <c r="B512" s="4"/>
      <c r="C512" s="4"/>
      <c r="D512" s="4"/>
      <c r="E512" s="4"/>
      <c r="F512" s="4"/>
      <c r="G512" s="4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35"/>
      <c r="S512" s="12"/>
      <c r="T512" s="12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>
      <c r="A513" s="4"/>
      <c r="B513" s="4"/>
      <c r="C513" s="4"/>
      <c r="D513" s="4"/>
      <c r="E513" s="4"/>
      <c r="F513" s="4"/>
      <c r="G513" s="4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35"/>
      <c r="S513" s="12"/>
      <c r="T513" s="12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>
      <c r="A514" s="4"/>
      <c r="B514" s="4"/>
      <c r="C514" s="4"/>
      <c r="D514" s="4"/>
      <c r="E514" s="4"/>
      <c r="F514" s="4"/>
      <c r="G514" s="4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35"/>
      <c r="S514" s="12"/>
      <c r="T514" s="12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>
      <c r="A515" s="4"/>
      <c r="B515" s="4"/>
      <c r="C515" s="4"/>
      <c r="D515" s="4"/>
      <c r="E515" s="4"/>
      <c r="F515" s="4"/>
      <c r="G515" s="4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35"/>
      <c r="S515" s="12"/>
      <c r="T515" s="12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>
      <c r="A516" s="4"/>
      <c r="B516" s="4"/>
      <c r="C516" s="4"/>
      <c r="D516" s="4"/>
      <c r="E516" s="4"/>
      <c r="F516" s="4"/>
      <c r="G516" s="4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35"/>
      <c r="S516" s="12"/>
      <c r="T516" s="12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>
      <c r="A517" s="4"/>
      <c r="B517" s="4"/>
      <c r="C517" s="4"/>
      <c r="D517" s="4"/>
      <c r="E517" s="4"/>
      <c r="F517" s="4"/>
      <c r="G517" s="4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35"/>
      <c r="S517" s="12"/>
      <c r="T517" s="12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>
      <c r="A518" s="4"/>
      <c r="B518" s="4"/>
      <c r="C518" s="4"/>
      <c r="D518" s="4"/>
      <c r="E518" s="4"/>
      <c r="F518" s="4"/>
      <c r="G518" s="4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35"/>
      <c r="S518" s="12"/>
      <c r="T518" s="12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>
      <c r="A519" s="4"/>
      <c r="B519" s="4"/>
      <c r="C519" s="4"/>
      <c r="D519" s="4"/>
      <c r="E519" s="4"/>
      <c r="F519" s="4"/>
      <c r="G519" s="4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35"/>
      <c r="S519" s="12"/>
      <c r="T519" s="12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>
      <c r="A520" s="4"/>
      <c r="B520" s="4"/>
      <c r="C520" s="4"/>
      <c r="D520" s="4"/>
      <c r="E520" s="4"/>
      <c r="F520" s="4"/>
      <c r="G520" s="4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35"/>
      <c r="S520" s="12"/>
      <c r="T520" s="12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>
      <c r="A521" s="4"/>
      <c r="B521" s="4"/>
      <c r="C521" s="4"/>
      <c r="D521" s="4"/>
      <c r="E521" s="4"/>
      <c r="F521" s="4"/>
      <c r="G521" s="4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35"/>
      <c r="S521" s="12"/>
      <c r="T521" s="12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>
      <c r="A522" s="4"/>
      <c r="B522" s="4"/>
      <c r="C522" s="4"/>
      <c r="D522" s="4"/>
      <c r="E522" s="4"/>
      <c r="F522" s="4"/>
      <c r="G522" s="4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35"/>
      <c r="S522" s="12"/>
      <c r="T522" s="12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>
      <c r="A523" s="4"/>
      <c r="B523" s="4"/>
      <c r="C523" s="4"/>
      <c r="D523" s="4"/>
      <c r="E523" s="4"/>
      <c r="F523" s="4"/>
      <c r="G523" s="4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35"/>
      <c r="S523" s="12"/>
      <c r="T523" s="12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>
      <c r="A524" s="4"/>
      <c r="B524" s="4"/>
      <c r="C524" s="4"/>
      <c r="D524" s="4"/>
      <c r="E524" s="4"/>
      <c r="F524" s="4"/>
      <c r="G524" s="4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35"/>
      <c r="S524" s="12"/>
      <c r="T524" s="12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>
      <c r="A525" s="4"/>
      <c r="B525" s="4"/>
      <c r="C525" s="4"/>
      <c r="D525" s="4"/>
      <c r="E525" s="4"/>
      <c r="F525" s="4"/>
      <c r="G525" s="4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35"/>
      <c r="S525" s="12"/>
      <c r="T525" s="12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>
      <c r="A526" s="4"/>
      <c r="B526" s="4"/>
      <c r="C526" s="4"/>
      <c r="D526" s="4"/>
      <c r="E526" s="4"/>
      <c r="F526" s="4"/>
      <c r="G526" s="4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35"/>
      <c r="S526" s="12"/>
      <c r="T526" s="12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>
      <c r="A527" s="4"/>
      <c r="B527" s="4"/>
      <c r="C527" s="4"/>
      <c r="D527" s="4"/>
      <c r="E527" s="4"/>
      <c r="F527" s="4"/>
      <c r="G527" s="4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35"/>
      <c r="S527" s="12"/>
      <c r="T527" s="12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>
      <c r="A528" s="4"/>
      <c r="B528" s="4"/>
      <c r="C528" s="4"/>
      <c r="D528" s="4"/>
      <c r="E528" s="4"/>
      <c r="F528" s="4"/>
      <c r="G528" s="4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35"/>
      <c r="S528" s="12"/>
      <c r="T528" s="12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>
      <c r="A529" s="4"/>
      <c r="B529" s="4"/>
      <c r="C529" s="4"/>
      <c r="D529" s="4"/>
      <c r="E529" s="4"/>
      <c r="F529" s="4"/>
      <c r="G529" s="4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35"/>
      <c r="S529" s="12"/>
      <c r="T529" s="12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>
      <c r="A530" s="4"/>
      <c r="B530" s="4"/>
      <c r="C530" s="4"/>
      <c r="D530" s="4"/>
      <c r="E530" s="4"/>
      <c r="F530" s="4"/>
      <c r="G530" s="4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35"/>
      <c r="S530" s="12"/>
      <c r="T530" s="12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>
      <c r="A531" s="4"/>
      <c r="B531" s="4"/>
      <c r="C531" s="4"/>
      <c r="D531" s="4"/>
      <c r="E531" s="4"/>
      <c r="F531" s="4"/>
      <c r="G531" s="4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35"/>
      <c r="S531" s="12"/>
      <c r="T531" s="12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>
      <c r="A532" s="4"/>
      <c r="B532" s="4"/>
      <c r="C532" s="4"/>
      <c r="D532" s="4"/>
      <c r="E532" s="4"/>
      <c r="F532" s="4"/>
      <c r="G532" s="4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35"/>
      <c r="S532" s="12"/>
      <c r="T532" s="12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>
      <c r="A533" s="4"/>
      <c r="B533" s="4"/>
      <c r="C533" s="4"/>
      <c r="D533" s="4"/>
      <c r="E533" s="4"/>
      <c r="F533" s="4"/>
      <c r="G533" s="4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35"/>
      <c r="S533" s="12"/>
      <c r="T533" s="12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>
      <c r="A534" s="4"/>
      <c r="B534" s="4"/>
      <c r="C534" s="4"/>
      <c r="D534" s="4"/>
      <c r="E534" s="4"/>
      <c r="F534" s="4"/>
      <c r="G534" s="4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35"/>
      <c r="S534" s="12"/>
      <c r="T534" s="12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>
      <c r="A535" s="4"/>
      <c r="B535" s="4"/>
      <c r="C535" s="4"/>
      <c r="D535" s="4"/>
      <c r="E535" s="4"/>
      <c r="F535" s="4"/>
      <c r="G535" s="4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35"/>
      <c r="S535" s="12"/>
      <c r="T535" s="12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>
      <c r="A536" s="4"/>
      <c r="B536" s="4"/>
      <c r="C536" s="4"/>
      <c r="D536" s="4"/>
      <c r="E536" s="4"/>
      <c r="F536" s="4"/>
      <c r="G536" s="4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35"/>
      <c r="S536" s="12"/>
      <c r="T536" s="12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>
      <c r="A537" s="4"/>
      <c r="B537" s="4"/>
      <c r="C537" s="4"/>
      <c r="D537" s="4"/>
      <c r="E537" s="4"/>
      <c r="F537" s="4"/>
      <c r="G537" s="4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35"/>
      <c r="S537" s="12"/>
      <c r="T537" s="12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>
      <c r="A538" s="4"/>
      <c r="B538" s="4"/>
      <c r="C538" s="4"/>
      <c r="D538" s="4"/>
      <c r="E538" s="4"/>
      <c r="F538" s="4"/>
      <c r="G538" s="4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35"/>
      <c r="S538" s="12"/>
      <c r="T538" s="12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>
      <c r="A539" s="4"/>
      <c r="B539" s="4"/>
      <c r="C539" s="4"/>
      <c r="D539" s="4"/>
      <c r="E539" s="4"/>
      <c r="F539" s="4"/>
      <c r="G539" s="4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35"/>
      <c r="S539" s="12"/>
      <c r="T539" s="12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>
      <c r="A540" s="4"/>
      <c r="B540" s="4"/>
      <c r="C540" s="4"/>
      <c r="D540" s="4"/>
      <c r="E540" s="4"/>
      <c r="F540" s="4"/>
      <c r="G540" s="4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35"/>
      <c r="S540" s="12"/>
      <c r="T540" s="12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>
      <c r="A541" s="4"/>
      <c r="B541" s="4"/>
      <c r="C541" s="4"/>
      <c r="D541" s="4"/>
      <c r="E541" s="4"/>
      <c r="F541" s="4"/>
      <c r="G541" s="4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35"/>
      <c r="S541" s="12"/>
      <c r="T541" s="12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>
      <c r="A542" s="4"/>
      <c r="B542" s="4"/>
      <c r="C542" s="4"/>
      <c r="D542" s="4"/>
      <c r="E542" s="4"/>
      <c r="F542" s="4"/>
      <c r="G542" s="4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35"/>
      <c r="S542" s="12"/>
      <c r="T542" s="12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>
      <c r="A543" s="4"/>
      <c r="B543" s="4"/>
      <c r="C543" s="4"/>
      <c r="D543" s="4"/>
      <c r="E543" s="4"/>
      <c r="F543" s="4"/>
      <c r="G543" s="4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35"/>
      <c r="S543" s="12"/>
      <c r="T543" s="12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>
      <c r="A544" s="4"/>
      <c r="B544" s="4"/>
      <c r="C544" s="4"/>
      <c r="D544" s="4"/>
      <c r="E544" s="4"/>
      <c r="F544" s="4"/>
      <c r="G544" s="4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35"/>
      <c r="S544" s="12"/>
      <c r="T544" s="12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>
      <c r="A545" s="4"/>
      <c r="B545" s="4"/>
      <c r="C545" s="4"/>
      <c r="D545" s="4"/>
      <c r="E545" s="4"/>
      <c r="F545" s="4"/>
      <c r="G545" s="4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35"/>
      <c r="S545" s="12"/>
      <c r="T545" s="12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>
      <c r="A546" s="4"/>
      <c r="B546" s="4"/>
      <c r="C546" s="4"/>
      <c r="D546" s="4"/>
      <c r="E546" s="4"/>
      <c r="F546" s="4"/>
      <c r="G546" s="4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35"/>
      <c r="S546" s="12"/>
      <c r="T546" s="12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>
      <c r="A547" s="4"/>
      <c r="B547" s="4"/>
      <c r="C547" s="4"/>
      <c r="D547" s="4"/>
      <c r="E547" s="4"/>
      <c r="F547" s="4"/>
      <c r="G547" s="4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35"/>
      <c r="S547" s="12"/>
      <c r="T547" s="12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>
      <c r="A548" s="4"/>
      <c r="B548" s="4"/>
      <c r="C548" s="4"/>
      <c r="D548" s="4"/>
      <c r="E548" s="4"/>
      <c r="F548" s="4"/>
      <c r="G548" s="4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35"/>
      <c r="S548" s="12"/>
      <c r="T548" s="12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>
      <c r="A549" s="4"/>
      <c r="B549" s="4"/>
      <c r="C549" s="4"/>
      <c r="D549" s="4"/>
      <c r="E549" s="4"/>
      <c r="F549" s="4"/>
      <c r="G549" s="4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35"/>
      <c r="S549" s="12"/>
      <c r="T549" s="12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>
      <c r="A550" s="4"/>
      <c r="B550" s="4"/>
      <c r="C550" s="4"/>
      <c r="D550" s="4"/>
      <c r="E550" s="4"/>
      <c r="F550" s="4"/>
      <c r="G550" s="4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35"/>
      <c r="S550" s="12"/>
      <c r="T550" s="12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>
      <c r="A551" s="4"/>
      <c r="B551" s="4"/>
      <c r="C551" s="4"/>
      <c r="D551" s="4"/>
      <c r="E551" s="4"/>
      <c r="F551" s="4"/>
      <c r="G551" s="4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35"/>
      <c r="S551" s="12"/>
      <c r="T551" s="12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>
      <c r="A552" s="4"/>
      <c r="B552" s="4"/>
      <c r="C552" s="4"/>
      <c r="D552" s="4"/>
      <c r="E552" s="4"/>
      <c r="F552" s="4"/>
      <c r="G552" s="4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35"/>
      <c r="S552" s="12"/>
      <c r="T552" s="12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>
      <c r="A553" s="4"/>
      <c r="B553" s="4"/>
      <c r="C553" s="4"/>
      <c r="D553" s="4"/>
      <c r="E553" s="4"/>
      <c r="F553" s="4"/>
      <c r="G553" s="4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35"/>
      <c r="S553" s="12"/>
      <c r="T553" s="12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>
      <c r="A554" s="4"/>
      <c r="B554" s="4"/>
      <c r="C554" s="4"/>
      <c r="D554" s="4"/>
      <c r="E554" s="4"/>
      <c r="F554" s="4"/>
      <c r="G554" s="4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35"/>
      <c r="S554" s="12"/>
      <c r="T554" s="12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>
      <c r="A555" s="4"/>
      <c r="B555" s="4"/>
      <c r="C555" s="4"/>
      <c r="D555" s="4"/>
      <c r="E555" s="4"/>
      <c r="F555" s="4"/>
      <c r="G555" s="4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35"/>
      <c r="S555" s="12"/>
      <c r="T555" s="12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>
      <c r="A556" s="4"/>
      <c r="B556" s="4"/>
      <c r="C556" s="4"/>
      <c r="D556" s="4"/>
      <c r="E556" s="4"/>
      <c r="F556" s="4"/>
      <c r="G556" s="4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35"/>
      <c r="S556" s="12"/>
      <c r="T556" s="12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>
      <c r="A557" s="4"/>
      <c r="B557" s="4"/>
      <c r="C557" s="4"/>
      <c r="D557" s="4"/>
      <c r="E557" s="4"/>
      <c r="F557" s="4"/>
      <c r="G557" s="4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35"/>
      <c r="S557" s="12"/>
      <c r="T557" s="12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>
      <c r="A558" s="4"/>
      <c r="B558" s="4"/>
      <c r="C558" s="4"/>
      <c r="D558" s="4"/>
      <c r="E558" s="4"/>
      <c r="F558" s="4"/>
      <c r="G558" s="4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35"/>
      <c r="S558" s="12"/>
      <c r="T558" s="12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>
      <c r="A559" s="4"/>
      <c r="B559" s="4"/>
      <c r="C559" s="4"/>
      <c r="D559" s="4"/>
      <c r="E559" s="4"/>
      <c r="F559" s="4"/>
      <c r="G559" s="4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35"/>
      <c r="S559" s="12"/>
      <c r="T559" s="12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>
      <c r="A560" s="4"/>
      <c r="B560" s="4"/>
      <c r="C560" s="4"/>
      <c r="D560" s="4"/>
      <c r="E560" s="4"/>
      <c r="F560" s="4"/>
      <c r="G560" s="4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35"/>
      <c r="S560" s="12"/>
      <c r="T560" s="12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>
      <c r="A561" s="4"/>
      <c r="B561" s="4"/>
      <c r="C561" s="4"/>
      <c r="D561" s="4"/>
      <c r="E561" s="4"/>
      <c r="F561" s="4"/>
      <c r="G561" s="4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35"/>
      <c r="S561" s="12"/>
      <c r="T561" s="12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>
      <c r="A562" s="4"/>
      <c r="B562" s="4"/>
      <c r="C562" s="4"/>
      <c r="D562" s="4"/>
      <c r="E562" s="4"/>
      <c r="F562" s="4"/>
      <c r="G562" s="4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35"/>
      <c r="S562" s="12"/>
      <c r="T562" s="12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>
      <c r="A563" s="4"/>
      <c r="B563" s="4"/>
      <c r="C563" s="4"/>
      <c r="D563" s="4"/>
      <c r="E563" s="4"/>
      <c r="F563" s="4"/>
      <c r="G563" s="4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35"/>
      <c r="S563" s="12"/>
      <c r="T563" s="12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>
      <c r="A564" s="4"/>
      <c r="B564" s="4"/>
      <c r="C564" s="4"/>
      <c r="D564" s="4"/>
      <c r="E564" s="4"/>
      <c r="F564" s="4"/>
      <c r="G564" s="4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35"/>
      <c r="S564" s="12"/>
      <c r="T564" s="12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>
      <c r="A565" s="4"/>
      <c r="B565" s="4"/>
      <c r="C565" s="4"/>
      <c r="D565" s="4"/>
      <c r="E565" s="4"/>
      <c r="F565" s="4"/>
      <c r="G565" s="4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35"/>
      <c r="S565" s="12"/>
      <c r="T565" s="12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>
      <c r="A566" s="4"/>
      <c r="B566" s="4"/>
      <c r="C566" s="4"/>
      <c r="D566" s="4"/>
      <c r="E566" s="4"/>
      <c r="F566" s="4"/>
      <c r="G566" s="4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35"/>
      <c r="S566" s="12"/>
      <c r="T566" s="12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>
      <c r="A567" s="4"/>
      <c r="B567" s="4"/>
      <c r="C567" s="4"/>
      <c r="D567" s="4"/>
      <c r="E567" s="4"/>
      <c r="F567" s="4"/>
      <c r="G567" s="4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35"/>
      <c r="S567" s="12"/>
      <c r="T567" s="12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>
      <c r="A568" s="4"/>
      <c r="B568" s="4"/>
      <c r="C568" s="4"/>
      <c r="D568" s="4"/>
      <c r="E568" s="4"/>
      <c r="F568" s="4"/>
      <c r="G568" s="4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35"/>
      <c r="S568" s="12"/>
      <c r="T568" s="12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>
      <c r="A569" s="4"/>
      <c r="B569" s="4"/>
      <c r="C569" s="4"/>
      <c r="D569" s="4"/>
      <c r="E569" s="4"/>
      <c r="F569" s="4"/>
      <c r="G569" s="4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35"/>
      <c r="S569" s="12"/>
      <c r="T569" s="12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>
      <c r="A570" s="4"/>
      <c r="B570" s="4"/>
      <c r="C570" s="4"/>
      <c r="D570" s="4"/>
      <c r="E570" s="4"/>
      <c r="F570" s="4"/>
      <c r="G570" s="4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35"/>
      <c r="S570" s="12"/>
      <c r="T570" s="12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>
      <c r="A571" s="4"/>
      <c r="B571" s="4"/>
      <c r="C571" s="4"/>
      <c r="D571" s="4"/>
      <c r="E571" s="4"/>
      <c r="F571" s="4"/>
      <c r="G571" s="4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35"/>
      <c r="S571" s="12"/>
      <c r="T571" s="12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>
      <c r="A572" s="4"/>
      <c r="B572" s="4"/>
      <c r="C572" s="4"/>
      <c r="D572" s="4"/>
      <c r="E572" s="4"/>
      <c r="F572" s="4"/>
      <c r="G572" s="4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35"/>
      <c r="S572" s="12"/>
      <c r="T572" s="12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>
      <c r="A573" s="4"/>
      <c r="B573" s="4"/>
      <c r="C573" s="4"/>
      <c r="D573" s="4"/>
      <c r="E573" s="4"/>
      <c r="F573" s="4"/>
      <c r="G573" s="4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35"/>
      <c r="S573" s="12"/>
      <c r="T573" s="12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>
      <c r="A574" s="4"/>
      <c r="B574" s="4"/>
      <c r="C574" s="4"/>
      <c r="D574" s="4"/>
      <c r="E574" s="4"/>
      <c r="F574" s="4"/>
      <c r="G574" s="4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35"/>
      <c r="S574" s="12"/>
      <c r="T574" s="12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>
      <c r="A575" s="4"/>
      <c r="B575" s="4"/>
      <c r="C575" s="4"/>
      <c r="D575" s="4"/>
      <c r="E575" s="4"/>
      <c r="F575" s="4"/>
      <c r="G575" s="4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35"/>
      <c r="S575" s="12"/>
      <c r="T575" s="12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>
      <c r="A576" s="4"/>
      <c r="B576" s="4"/>
      <c r="C576" s="4"/>
      <c r="D576" s="4"/>
      <c r="E576" s="4"/>
      <c r="F576" s="4"/>
      <c r="G576" s="4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35"/>
      <c r="S576" s="12"/>
      <c r="T576" s="12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>
      <c r="A577" s="4"/>
      <c r="B577" s="4"/>
      <c r="C577" s="4"/>
      <c r="D577" s="4"/>
      <c r="E577" s="4"/>
      <c r="F577" s="4"/>
      <c r="G577" s="4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35"/>
      <c r="S577" s="12"/>
      <c r="T577" s="12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>
      <c r="A578" s="4"/>
      <c r="B578" s="4"/>
      <c r="C578" s="4"/>
      <c r="D578" s="4"/>
      <c r="E578" s="4"/>
      <c r="F578" s="4"/>
      <c r="G578" s="4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35"/>
      <c r="S578" s="12"/>
      <c r="T578" s="12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>
      <c r="A579" s="4"/>
      <c r="B579" s="4"/>
      <c r="C579" s="4"/>
      <c r="D579" s="4"/>
      <c r="E579" s="4"/>
      <c r="F579" s="4"/>
      <c r="G579" s="4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35"/>
      <c r="S579" s="12"/>
      <c r="T579" s="12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>
      <c r="A580" s="4"/>
      <c r="B580" s="4"/>
      <c r="C580" s="4"/>
      <c r="D580" s="4"/>
      <c r="E580" s="4"/>
      <c r="F580" s="4"/>
      <c r="G580" s="4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35"/>
      <c r="S580" s="12"/>
      <c r="T580" s="12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>
      <c r="A581" s="4"/>
      <c r="B581" s="4"/>
      <c r="C581" s="4"/>
      <c r="D581" s="4"/>
      <c r="E581" s="4"/>
      <c r="F581" s="4"/>
      <c r="G581" s="4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35"/>
      <c r="S581" s="12"/>
      <c r="T581" s="12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>
      <c r="A582" s="4"/>
      <c r="B582" s="4"/>
      <c r="C582" s="4"/>
      <c r="D582" s="4"/>
      <c r="E582" s="4"/>
      <c r="F582" s="4"/>
      <c r="G582" s="4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35"/>
      <c r="S582" s="12"/>
      <c r="T582" s="12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>
      <c r="A583" s="4"/>
      <c r="B583" s="4"/>
      <c r="C583" s="4"/>
      <c r="D583" s="4"/>
      <c r="E583" s="4"/>
      <c r="F583" s="4"/>
      <c r="G583" s="4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35"/>
      <c r="S583" s="12"/>
      <c r="T583" s="12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>
      <c r="A584" s="4"/>
      <c r="B584" s="4"/>
      <c r="C584" s="4"/>
      <c r="D584" s="4"/>
      <c r="E584" s="4"/>
      <c r="F584" s="4"/>
      <c r="G584" s="4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35"/>
      <c r="S584" s="12"/>
      <c r="T584" s="12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>
      <c r="A585" s="4"/>
      <c r="B585" s="4"/>
      <c r="C585" s="4"/>
      <c r="D585" s="4"/>
      <c r="E585" s="4"/>
      <c r="F585" s="4"/>
      <c r="G585" s="4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35"/>
      <c r="S585" s="12"/>
      <c r="T585" s="12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>
      <c r="A586" s="4"/>
      <c r="B586" s="4"/>
      <c r="C586" s="4"/>
      <c r="D586" s="4"/>
      <c r="E586" s="4"/>
      <c r="F586" s="4"/>
      <c r="G586" s="4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35"/>
      <c r="S586" s="12"/>
      <c r="T586" s="12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>
      <c r="A587" s="4"/>
      <c r="B587" s="4"/>
      <c r="C587" s="4"/>
      <c r="D587" s="4"/>
      <c r="E587" s="4"/>
      <c r="F587" s="4"/>
      <c r="G587" s="4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35"/>
      <c r="S587" s="12"/>
      <c r="T587" s="12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>
      <c r="A588" s="4"/>
      <c r="B588" s="4"/>
      <c r="C588" s="4"/>
      <c r="D588" s="4"/>
      <c r="E588" s="4"/>
      <c r="F588" s="4"/>
      <c r="G588" s="4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35"/>
      <c r="S588" s="12"/>
      <c r="T588" s="12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>
      <c r="A589" s="4"/>
      <c r="B589" s="4"/>
      <c r="C589" s="4"/>
      <c r="D589" s="4"/>
      <c r="E589" s="4"/>
      <c r="F589" s="4"/>
      <c r="G589" s="4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35"/>
      <c r="S589" s="12"/>
      <c r="T589" s="12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>
      <c r="A590" s="4"/>
      <c r="B590" s="4"/>
      <c r="C590" s="4"/>
      <c r="D590" s="4"/>
      <c r="E590" s="4"/>
      <c r="F590" s="4"/>
      <c r="G590" s="4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35"/>
      <c r="S590" s="12"/>
      <c r="T590" s="12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>
      <c r="A591" s="4"/>
      <c r="B591" s="4"/>
      <c r="C591" s="4"/>
      <c r="D591" s="4"/>
      <c r="E591" s="4"/>
      <c r="F591" s="4"/>
      <c r="G591" s="4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35"/>
      <c r="S591" s="12"/>
      <c r="T591" s="12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>
      <c r="A592" s="4"/>
      <c r="B592" s="4"/>
      <c r="C592" s="4"/>
      <c r="D592" s="4"/>
      <c r="E592" s="4"/>
      <c r="F592" s="4"/>
      <c r="G592" s="4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35"/>
      <c r="S592" s="12"/>
      <c r="T592" s="12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>
      <c r="A593" s="4"/>
      <c r="B593" s="4"/>
      <c r="C593" s="4"/>
      <c r="D593" s="4"/>
      <c r="E593" s="4"/>
      <c r="F593" s="4"/>
      <c r="G593" s="4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35"/>
      <c r="S593" s="12"/>
      <c r="T593" s="12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>
      <c r="A594" s="4"/>
      <c r="B594" s="4"/>
      <c r="C594" s="4"/>
      <c r="D594" s="4"/>
      <c r="E594" s="4"/>
      <c r="F594" s="4"/>
      <c r="G594" s="4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35"/>
      <c r="S594" s="12"/>
      <c r="T594" s="12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>
      <c r="A595" s="4"/>
      <c r="B595" s="4"/>
      <c r="C595" s="4"/>
      <c r="D595" s="4"/>
      <c r="E595" s="4"/>
      <c r="F595" s="4"/>
      <c r="G595" s="4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35"/>
      <c r="S595" s="12"/>
      <c r="T595" s="12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>
      <c r="A596" s="4"/>
      <c r="B596" s="4"/>
      <c r="C596" s="4"/>
      <c r="D596" s="4"/>
      <c r="E596" s="4"/>
      <c r="F596" s="4"/>
      <c r="G596" s="4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35"/>
      <c r="S596" s="12"/>
      <c r="T596" s="12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>
      <c r="A597" s="4"/>
      <c r="B597" s="4"/>
      <c r="C597" s="4"/>
      <c r="D597" s="4"/>
      <c r="E597" s="4"/>
      <c r="F597" s="4"/>
      <c r="G597" s="4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35"/>
      <c r="S597" s="12"/>
      <c r="T597" s="12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>
      <c r="A598" s="4"/>
      <c r="B598" s="4"/>
      <c r="C598" s="4"/>
      <c r="D598" s="4"/>
      <c r="E598" s="4"/>
      <c r="F598" s="4"/>
      <c r="G598" s="4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35"/>
      <c r="S598" s="12"/>
      <c r="T598" s="12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>
      <c r="A599" s="4"/>
      <c r="B599" s="4"/>
      <c r="C599" s="4"/>
      <c r="D599" s="4"/>
      <c r="E599" s="4"/>
      <c r="F599" s="4"/>
      <c r="G599" s="4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35"/>
      <c r="S599" s="12"/>
      <c r="T599" s="12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>
      <c r="A600" s="4"/>
      <c r="B600" s="4"/>
      <c r="C600" s="4"/>
      <c r="D600" s="4"/>
      <c r="E600" s="4"/>
      <c r="F600" s="4"/>
      <c r="G600" s="4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35"/>
      <c r="S600" s="12"/>
      <c r="T600" s="12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>
      <c r="A601" s="4"/>
      <c r="B601" s="4"/>
      <c r="C601" s="4"/>
      <c r="D601" s="4"/>
      <c r="E601" s="4"/>
      <c r="F601" s="4"/>
      <c r="G601" s="4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35"/>
      <c r="S601" s="12"/>
      <c r="T601" s="12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>
      <c r="A602" s="4"/>
      <c r="B602" s="4"/>
      <c r="C602" s="4"/>
      <c r="D602" s="4"/>
      <c r="E602" s="4"/>
      <c r="F602" s="4"/>
      <c r="G602" s="4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35"/>
      <c r="S602" s="12"/>
      <c r="T602" s="12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>
      <c r="A603" s="4"/>
      <c r="B603" s="4"/>
      <c r="C603" s="4"/>
      <c r="D603" s="4"/>
      <c r="E603" s="4"/>
      <c r="F603" s="4"/>
      <c r="G603" s="4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35"/>
      <c r="S603" s="12"/>
      <c r="T603" s="12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>
      <c r="A604" s="4"/>
      <c r="B604" s="4"/>
      <c r="C604" s="4"/>
      <c r="D604" s="4"/>
      <c r="E604" s="4"/>
      <c r="F604" s="4"/>
      <c r="G604" s="4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35"/>
      <c r="S604" s="12"/>
      <c r="T604" s="12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>
      <c r="A605" s="4"/>
      <c r="B605" s="4"/>
      <c r="C605" s="4"/>
      <c r="D605" s="4"/>
      <c r="E605" s="4"/>
      <c r="F605" s="4"/>
      <c r="G605" s="4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35"/>
      <c r="S605" s="12"/>
      <c r="T605" s="12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>
      <c r="A606" s="4"/>
      <c r="B606" s="4"/>
      <c r="C606" s="4"/>
      <c r="D606" s="4"/>
      <c r="E606" s="4"/>
      <c r="F606" s="4"/>
      <c r="G606" s="4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35"/>
      <c r="S606" s="12"/>
      <c r="T606" s="12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>
      <c r="A607" s="4"/>
      <c r="B607" s="4"/>
      <c r="C607" s="4"/>
      <c r="D607" s="4"/>
      <c r="E607" s="4"/>
      <c r="F607" s="4"/>
      <c r="G607" s="4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35"/>
      <c r="S607" s="12"/>
      <c r="T607" s="12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>
      <c r="A608" s="4"/>
      <c r="B608" s="4"/>
      <c r="C608" s="4"/>
      <c r="D608" s="4"/>
      <c r="E608" s="4"/>
      <c r="F608" s="4"/>
      <c r="G608" s="4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35"/>
      <c r="S608" s="12"/>
      <c r="T608" s="12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>
      <c r="A609" s="4"/>
      <c r="B609" s="4"/>
      <c r="C609" s="4"/>
      <c r="D609" s="4"/>
      <c r="E609" s="4"/>
      <c r="F609" s="4"/>
      <c r="G609" s="4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35"/>
      <c r="S609" s="12"/>
      <c r="T609" s="12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>
      <c r="A610" s="4"/>
      <c r="B610" s="4"/>
      <c r="C610" s="4"/>
      <c r="D610" s="4"/>
      <c r="E610" s="4"/>
      <c r="F610" s="4"/>
      <c r="G610" s="4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35"/>
      <c r="S610" s="12"/>
      <c r="T610" s="12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>
      <c r="A611" s="4"/>
      <c r="B611" s="4"/>
      <c r="C611" s="4"/>
      <c r="D611" s="4"/>
      <c r="E611" s="4"/>
      <c r="F611" s="4"/>
      <c r="G611" s="4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35"/>
      <c r="S611" s="12"/>
      <c r="T611" s="12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>
      <c r="A612" s="4"/>
      <c r="B612" s="4"/>
      <c r="C612" s="4"/>
      <c r="D612" s="4"/>
      <c r="E612" s="4"/>
      <c r="F612" s="4"/>
      <c r="G612" s="4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35"/>
      <c r="S612" s="12"/>
      <c r="T612" s="12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>
      <c r="A613" s="4"/>
      <c r="B613" s="4"/>
      <c r="C613" s="4"/>
      <c r="D613" s="4"/>
      <c r="E613" s="4"/>
      <c r="F613" s="4"/>
      <c r="G613" s="4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35"/>
      <c r="S613" s="12"/>
      <c r="T613" s="12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>
      <c r="A614" s="4"/>
      <c r="B614" s="4"/>
      <c r="C614" s="4"/>
      <c r="D614" s="4"/>
      <c r="E614" s="4"/>
      <c r="F614" s="4"/>
      <c r="G614" s="4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35"/>
      <c r="S614" s="12"/>
      <c r="T614" s="12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>
      <c r="A615" s="4"/>
      <c r="B615" s="4"/>
      <c r="C615" s="4"/>
      <c r="D615" s="4"/>
      <c r="E615" s="4"/>
      <c r="F615" s="4"/>
      <c r="G615" s="4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35"/>
      <c r="S615" s="12"/>
      <c r="T615" s="12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>
      <c r="A616" s="4"/>
      <c r="B616" s="4"/>
      <c r="C616" s="4"/>
      <c r="D616" s="4"/>
      <c r="E616" s="4"/>
      <c r="F616" s="4"/>
      <c r="G616" s="4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35"/>
      <c r="S616" s="12"/>
      <c r="T616" s="12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>
      <c r="A617" s="4"/>
      <c r="B617" s="4"/>
      <c r="C617" s="4"/>
      <c r="D617" s="4"/>
      <c r="E617" s="4"/>
      <c r="F617" s="4"/>
      <c r="G617" s="4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35"/>
      <c r="S617" s="12"/>
      <c r="T617" s="12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>
      <c r="A618" s="4"/>
      <c r="B618" s="4"/>
      <c r="C618" s="4"/>
      <c r="D618" s="4"/>
      <c r="E618" s="4"/>
      <c r="F618" s="4"/>
      <c r="G618" s="4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35"/>
      <c r="S618" s="12"/>
      <c r="T618" s="12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>
      <c r="A619" s="4"/>
      <c r="B619" s="4"/>
      <c r="C619" s="4"/>
      <c r="D619" s="4"/>
      <c r="E619" s="4"/>
      <c r="F619" s="4"/>
      <c r="G619" s="4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35"/>
      <c r="S619" s="12"/>
      <c r="T619" s="12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>
      <c r="A620" s="4"/>
      <c r="B620" s="4"/>
      <c r="C620" s="4"/>
      <c r="D620" s="4"/>
      <c r="E620" s="4"/>
      <c r="F620" s="4"/>
      <c r="G620" s="4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35"/>
      <c r="S620" s="12"/>
      <c r="T620" s="12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>
      <c r="A621" s="4"/>
      <c r="B621" s="4"/>
      <c r="C621" s="4"/>
      <c r="D621" s="4"/>
      <c r="E621" s="4"/>
      <c r="F621" s="4"/>
      <c r="G621" s="4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35"/>
      <c r="S621" s="12"/>
      <c r="T621" s="12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>
      <c r="A622" s="4"/>
      <c r="B622" s="4"/>
      <c r="C622" s="4"/>
      <c r="D622" s="4"/>
      <c r="E622" s="4"/>
      <c r="F622" s="4"/>
      <c r="G622" s="4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35"/>
      <c r="S622" s="12"/>
      <c r="T622" s="12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>
      <c r="A623" s="4"/>
      <c r="B623" s="4"/>
      <c r="C623" s="4"/>
      <c r="D623" s="4"/>
      <c r="E623" s="4"/>
      <c r="F623" s="4"/>
      <c r="G623" s="4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35"/>
      <c r="S623" s="12"/>
      <c r="T623" s="12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>
      <c r="A624" s="4"/>
      <c r="B624" s="4"/>
      <c r="C624" s="4"/>
      <c r="D624" s="4"/>
      <c r="E624" s="4"/>
      <c r="F624" s="4"/>
      <c r="G624" s="4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35"/>
      <c r="S624" s="12"/>
      <c r="T624" s="12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>
      <c r="A625" s="4"/>
      <c r="B625" s="4"/>
      <c r="C625" s="4"/>
      <c r="D625" s="4"/>
      <c r="E625" s="4"/>
      <c r="F625" s="4"/>
      <c r="G625" s="4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35"/>
      <c r="S625" s="12"/>
      <c r="T625" s="12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>
      <c r="A626" s="4"/>
      <c r="B626" s="4"/>
      <c r="C626" s="4"/>
      <c r="D626" s="4"/>
      <c r="E626" s="4"/>
      <c r="F626" s="4"/>
      <c r="G626" s="4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35"/>
      <c r="S626" s="12"/>
      <c r="T626" s="12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>
      <c r="A627" s="4"/>
      <c r="B627" s="4"/>
      <c r="C627" s="4"/>
      <c r="D627" s="4"/>
      <c r="E627" s="4"/>
      <c r="F627" s="4"/>
      <c r="G627" s="4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35"/>
      <c r="S627" s="12"/>
      <c r="T627" s="12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>
      <c r="A628" s="4"/>
      <c r="B628" s="4"/>
      <c r="C628" s="4"/>
      <c r="D628" s="4"/>
      <c r="E628" s="4"/>
      <c r="F628" s="4"/>
      <c r="G628" s="4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35"/>
      <c r="S628" s="12"/>
      <c r="T628" s="12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>
      <c r="A629" s="4"/>
      <c r="B629" s="4"/>
      <c r="C629" s="4"/>
      <c r="D629" s="4"/>
      <c r="E629" s="4"/>
      <c r="F629" s="4"/>
      <c r="G629" s="4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35"/>
      <c r="S629" s="12"/>
      <c r="T629" s="12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>
      <c r="A630" s="4"/>
      <c r="B630" s="4"/>
      <c r="C630" s="4"/>
      <c r="D630" s="4"/>
      <c r="E630" s="4"/>
      <c r="F630" s="4"/>
      <c r="G630" s="4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35"/>
      <c r="S630" s="12"/>
      <c r="T630" s="12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>
      <c r="A631" s="4"/>
      <c r="B631" s="4"/>
      <c r="C631" s="4"/>
      <c r="D631" s="4"/>
      <c r="E631" s="4"/>
      <c r="F631" s="4"/>
      <c r="G631" s="4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35"/>
      <c r="S631" s="12"/>
      <c r="T631" s="12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>
      <c r="A632" s="4"/>
      <c r="B632" s="4"/>
      <c r="C632" s="4"/>
      <c r="D632" s="4"/>
      <c r="E632" s="4"/>
      <c r="F632" s="4"/>
      <c r="G632" s="4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35"/>
      <c r="S632" s="12"/>
      <c r="T632" s="12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>
      <c r="A633" s="4"/>
      <c r="B633" s="4"/>
      <c r="C633" s="4"/>
      <c r="D633" s="4"/>
      <c r="E633" s="4"/>
      <c r="F633" s="4"/>
      <c r="G633" s="4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35"/>
      <c r="S633" s="12"/>
      <c r="T633" s="12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>
      <c r="A634" s="4"/>
      <c r="B634" s="4"/>
      <c r="C634" s="4"/>
      <c r="D634" s="4"/>
      <c r="E634" s="4"/>
      <c r="F634" s="4"/>
      <c r="G634" s="4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35"/>
      <c r="S634" s="12"/>
      <c r="T634" s="12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>
      <c r="A635" s="4"/>
      <c r="B635" s="4"/>
      <c r="C635" s="4"/>
      <c r="D635" s="4"/>
      <c r="E635" s="4"/>
      <c r="F635" s="4"/>
      <c r="G635" s="4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35"/>
      <c r="S635" s="12"/>
      <c r="T635" s="12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>
      <c r="A636" s="4"/>
      <c r="B636" s="4"/>
      <c r="C636" s="4"/>
      <c r="D636" s="4"/>
      <c r="E636" s="4"/>
      <c r="F636" s="4"/>
      <c r="G636" s="4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35"/>
      <c r="S636" s="12"/>
      <c r="T636" s="12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>
      <c r="A637" s="4"/>
      <c r="B637" s="4"/>
      <c r="C637" s="4"/>
      <c r="D637" s="4"/>
      <c r="E637" s="4"/>
      <c r="F637" s="4"/>
      <c r="G637" s="4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35"/>
      <c r="S637" s="12"/>
      <c r="T637" s="12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>
      <c r="A638" s="4"/>
      <c r="B638" s="4"/>
      <c r="C638" s="4"/>
      <c r="D638" s="4"/>
      <c r="E638" s="4"/>
      <c r="F638" s="4"/>
      <c r="G638" s="4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35"/>
      <c r="S638" s="12"/>
      <c r="T638" s="12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>
      <c r="A639" s="4"/>
      <c r="B639" s="4"/>
      <c r="C639" s="4"/>
      <c r="D639" s="4"/>
      <c r="E639" s="4"/>
      <c r="F639" s="4"/>
      <c r="G639" s="4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35"/>
      <c r="S639" s="12"/>
      <c r="T639" s="12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>
      <c r="A640" s="4"/>
      <c r="B640" s="4"/>
      <c r="C640" s="4"/>
      <c r="D640" s="4"/>
      <c r="E640" s="4"/>
      <c r="F640" s="4"/>
      <c r="G640" s="4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35"/>
      <c r="S640" s="12"/>
      <c r="T640" s="12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>
      <c r="A641" s="4"/>
      <c r="B641" s="4"/>
      <c r="C641" s="4"/>
      <c r="D641" s="4"/>
      <c r="E641" s="4"/>
      <c r="F641" s="4"/>
      <c r="G641" s="4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35"/>
      <c r="S641" s="12"/>
      <c r="T641" s="12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>
      <c r="A642" s="4"/>
      <c r="B642" s="4"/>
      <c r="C642" s="4"/>
      <c r="D642" s="4"/>
      <c r="E642" s="4"/>
      <c r="F642" s="4"/>
      <c r="G642" s="4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35"/>
      <c r="S642" s="12"/>
      <c r="T642" s="12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>
      <c r="A643" s="4"/>
      <c r="B643" s="4"/>
      <c r="C643" s="4"/>
      <c r="D643" s="4"/>
      <c r="E643" s="4"/>
      <c r="F643" s="4"/>
      <c r="G643" s="4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35"/>
      <c r="S643" s="12"/>
      <c r="T643" s="12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>
      <c r="A644" s="4"/>
      <c r="B644" s="4"/>
      <c r="C644" s="4"/>
      <c r="D644" s="4"/>
      <c r="E644" s="4"/>
      <c r="F644" s="4"/>
      <c r="G644" s="4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35"/>
      <c r="S644" s="12"/>
      <c r="T644" s="12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>
      <c r="A645" s="4"/>
      <c r="B645" s="4"/>
      <c r="C645" s="4"/>
      <c r="D645" s="4"/>
      <c r="E645" s="4"/>
      <c r="F645" s="4"/>
      <c r="G645" s="4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35"/>
      <c r="S645" s="12"/>
      <c r="T645" s="12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>
      <c r="A646" s="4"/>
      <c r="B646" s="4"/>
      <c r="C646" s="4"/>
      <c r="D646" s="4"/>
      <c r="E646" s="4"/>
      <c r="F646" s="4"/>
      <c r="G646" s="4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35"/>
      <c r="S646" s="12"/>
      <c r="T646" s="12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>
      <c r="A647" s="4"/>
      <c r="B647" s="4"/>
      <c r="C647" s="4"/>
      <c r="D647" s="4"/>
      <c r="E647" s="4"/>
      <c r="F647" s="4"/>
      <c r="G647" s="4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35"/>
      <c r="S647" s="12"/>
      <c r="T647" s="12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>
      <c r="A648" s="4"/>
      <c r="B648" s="4"/>
      <c r="C648" s="4"/>
      <c r="D648" s="4"/>
      <c r="E648" s="4"/>
      <c r="F648" s="4"/>
      <c r="G648" s="4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35"/>
      <c r="S648" s="12"/>
      <c r="T648" s="12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>
      <c r="A649" s="4"/>
      <c r="B649" s="4"/>
      <c r="C649" s="4"/>
      <c r="D649" s="4"/>
      <c r="E649" s="4"/>
      <c r="F649" s="4"/>
      <c r="G649" s="4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35"/>
      <c r="S649" s="12"/>
      <c r="T649" s="12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>
      <c r="A650" s="4"/>
      <c r="B650" s="4"/>
      <c r="C650" s="4"/>
      <c r="D650" s="4"/>
      <c r="E650" s="4"/>
      <c r="F650" s="4"/>
      <c r="G650" s="4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35"/>
      <c r="S650" s="12"/>
      <c r="T650" s="12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>
      <c r="A651" s="4"/>
      <c r="B651" s="4"/>
      <c r="C651" s="4"/>
      <c r="D651" s="4"/>
      <c r="E651" s="4"/>
      <c r="F651" s="4"/>
      <c r="G651" s="4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35"/>
      <c r="S651" s="12"/>
      <c r="T651" s="12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>
      <c r="A652" s="4"/>
      <c r="B652" s="4"/>
      <c r="C652" s="4"/>
      <c r="D652" s="4"/>
      <c r="E652" s="4"/>
      <c r="F652" s="4"/>
      <c r="G652" s="4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35"/>
      <c r="S652" s="12"/>
      <c r="T652" s="12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>
      <c r="A653" s="4"/>
      <c r="B653" s="4"/>
      <c r="C653" s="4"/>
      <c r="D653" s="4"/>
      <c r="E653" s="4"/>
      <c r="F653" s="4"/>
      <c r="G653" s="4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35"/>
      <c r="S653" s="12"/>
      <c r="T653" s="12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>
      <c r="A654" s="4"/>
      <c r="B654" s="4"/>
      <c r="C654" s="4"/>
      <c r="D654" s="4"/>
      <c r="E654" s="4"/>
      <c r="F654" s="4"/>
      <c r="G654" s="4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35"/>
      <c r="S654" s="12"/>
      <c r="T654" s="12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>
      <c r="A655" s="4"/>
      <c r="B655" s="4"/>
      <c r="C655" s="4"/>
      <c r="D655" s="4"/>
      <c r="E655" s="4"/>
      <c r="F655" s="4"/>
      <c r="G655" s="4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35"/>
      <c r="S655" s="12"/>
      <c r="T655" s="12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>
      <c r="A656" s="4"/>
      <c r="B656" s="4"/>
      <c r="C656" s="4"/>
      <c r="D656" s="4"/>
      <c r="E656" s="4"/>
      <c r="F656" s="4"/>
      <c r="G656" s="4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35"/>
      <c r="S656" s="12"/>
      <c r="T656" s="12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>
      <c r="A657" s="4"/>
      <c r="B657" s="4"/>
      <c r="C657" s="4"/>
      <c r="D657" s="4"/>
      <c r="E657" s="4"/>
      <c r="F657" s="4"/>
      <c r="G657" s="4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35"/>
      <c r="S657" s="12"/>
      <c r="T657" s="12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>
      <c r="A658" s="4"/>
      <c r="B658" s="4"/>
      <c r="C658" s="4"/>
      <c r="D658" s="4"/>
      <c r="E658" s="4"/>
      <c r="F658" s="4"/>
      <c r="G658" s="4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35"/>
      <c r="S658" s="12"/>
      <c r="T658" s="12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>
      <c r="A659" s="4"/>
      <c r="B659" s="4"/>
      <c r="C659" s="4"/>
      <c r="D659" s="4"/>
      <c r="E659" s="4"/>
      <c r="F659" s="4"/>
      <c r="G659" s="4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35"/>
      <c r="S659" s="12"/>
      <c r="T659" s="12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>
      <c r="A660" s="4"/>
      <c r="B660" s="4"/>
      <c r="C660" s="4"/>
      <c r="D660" s="4"/>
      <c r="E660" s="4"/>
      <c r="F660" s="4"/>
      <c r="G660" s="4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35"/>
      <c r="S660" s="12"/>
      <c r="T660" s="12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>
      <c r="A661" s="4"/>
      <c r="B661" s="4"/>
      <c r="C661" s="4"/>
      <c r="D661" s="4"/>
      <c r="E661" s="4"/>
      <c r="F661" s="4"/>
      <c r="G661" s="4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35"/>
      <c r="S661" s="12"/>
      <c r="T661" s="12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>
      <c r="A662" s="4"/>
      <c r="B662" s="4"/>
      <c r="C662" s="4"/>
      <c r="D662" s="4"/>
      <c r="E662" s="4"/>
      <c r="F662" s="4"/>
      <c r="G662" s="4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35"/>
      <c r="S662" s="12"/>
      <c r="T662" s="12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>
      <c r="A663" s="4"/>
      <c r="B663" s="4"/>
      <c r="C663" s="4"/>
      <c r="D663" s="4"/>
      <c r="E663" s="4"/>
      <c r="F663" s="4"/>
      <c r="G663" s="4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35"/>
      <c r="S663" s="12"/>
      <c r="T663" s="12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>
      <c r="A664" s="4"/>
      <c r="B664" s="4"/>
      <c r="C664" s="4"/>
      <c r="D664" s="4"/>
      <c r="E664" s="4"/>
      <c r="F664" s="4"/>
      <c r="G664" s="4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35"/>
      <c r="S664" s="12"/>
      <c r="T664" s="12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>
      <c r="A665" s="4"/>
      <c r="B665" s="4"/>
      <c r="C665" s="4"/>
      <c r="D665" s="4"/>
      <c r="E665" s="4"/>
      <c r="F665" s="4"/>
      <c r="G665" s="4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35"/>
      <c r="S665" s="12"/>
      <c r="T665" s="12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>
      <c r="A666" s="4"/>
      <c r="B666" s="4"/>
      <c r="C666" s="4"/>
      <c r="D666" s="4"/>
      <c r="E666" s="4"/>
      <c r="F666" s="4"/>
      <c r="G666" s="4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35"/>
      <c r="S666" s="12"/>
      <c r="T666" s="12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>
      <c r="A667" s="4"/>
      <c r="B667" s="4"/>
      <c r="C667" s="4"/>
      <c r="D667" s="4"/>
      <c r="E667" s="4"/>
      <c r="F667" s="4"/>
      <c r="G667" s="4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35"/>
      <c r="S667" s="12"/>
      <c r="T667" s="12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>
      <c r="A668" s="4"/>
      <c r="B668" s="4"/>
      <c r="C668" s="4"/>
      <c r="D668" s="4"/>
      <c r="E668" s="4"/>
      <c r="F668" s="4"/>
      <c r="G668" s="4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35"/>
      <c r="S668" s="12"/>
      <c r="T668" s="12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>
      <c r="A669" s="4"/>
      <c r="B669" s="4"/>
      <c r="C669" s="4"/>
      <c r="D669" s="4"/>
      <c r="E669" s="4"/>
      <c r="F669" s="4"/>
      <c r="G669" s="4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35"/>
      <c r="S669" s="12"/>
      <c r="T669" s="12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>
      <c r="A670" s="4"/>
      <c r="B670" s="4"/>
      <c r="C670" s="4"/>
      <c r="D670" s="4"/>
      <c r="E670" s="4"/>
      <c r="F670" s="4"/>
      <c r="G670" s="4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35"/>
      <c r="S670" s="12"/>
      <c r="T670" s="12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>
      <c r="A671" s="4"/>
      <c r="B671" s="4"/>
      <c r="C671" s="4"/>
      <c r="D671" s="4"/>
      <c r="E671" s="4"/>
      <c r="F671" s="4"/>
      <c r="G671" s="4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35"/>
      <c r="S671" s="12"/>
      <c r="T671" s="12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>
      <c r="A672" s="4"/>
      <c r="B672" s="4"/>
      <c r="C672" s="4"/>
      <c r="D672" s="4"/>
      <c r="E672" s="4"/>
      <c r="F672" s="4"/>
      <c r="G672" s="4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35"/>
      <c r="S672" s="12"/>
      <c r="T672" s="12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>
      <c r="A673" s="4"/>
      <c r="B673" s="4"/>
      <c r="C673" s="4"/>
      <c r="D673" s="4"/>
      <c r="E673" s="4"/>
      <c r="F673" s="4"/>
      <c r="G673" s="4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35"/>
      <c r="S673" s="12"/>
      <c r="T673" s="12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>
      <c r="A674" s="4"/>
      <c r="B674" s="4"/>
      <c r="C674" s="4"/>
      <c r="D674" s="4"/>
      <c r="E674" s="4"/>
      <c r="F674" s="4"/>
      <c r="G674" s="4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35"/>
      <c r="S674" s="12"/>
      <c r="T674" s="12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>
      <c r="A675" s="4"/>
      <c r="B675" s="4"/>
      <c r="C675" s="4"/>
      <c r="D675" s="4"/>
      <c r="E675" s="4"/>
      <c r="F675" s="4"/>
      <c r="G675" s="4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35"/>
      <c r="S675" s="12"/>
      <c r="T675" s="12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>
      <c r="A676" s="4"/>
      <c r="B676" s="4"/>
      <c r="C676" s="4"/>
      <c r="D676" s="4"/>
      <c r="E676" s="4"/>
      <c r="F676" s="4"/>
      <c r="G676" s="4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35"/>
      <c r="S676" s="12"/>
      <c r="T676" s="12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>
      <c r="A677" s="4"/>
      <c r="B677" s="4"/>
      <c r="C677" s="4"/>
      <c r="D677" s="4"/>
      <c r="E677" s="4"/>
      <c r="F677" s="4"/>
      <c r="G677" s="4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35"/>
      <c r="S677" s="12"/>
      <c r="T677" s="12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>
      <c r="A678" s="4"/>
      <c r="B678" s="4"/>
      <c r="C678" s="4"/>
      <c r="D678" s="4"/>
      <c r="E678" s="4"/>
      <c r="F678" s="4"/>
      <c r="G678" s="4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35"/>
      <c r="S678" s="12"/>
      <c r="T678" s="12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>
      <c r="A679" s="4"/>
      <c r="B679" s="4"/>
      <c r="C679" s="4"/>
      <c r="D679" s="4"/>
      <c r="E679" s="4"/>
      <c r="F679" s="4"/>
      <c r="G679" s="4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35"/>
      <c r="S679" s="12"/>
      <c r="T679" s="12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>
      <c r="A680" s="4"/>
      <c r="B680" s="4"/>
      <c r="C680" s="4"/>
      <c r="D680" s="4"/>
      <c r="E680" s="4"/>
      <c r="F680" s="4"/>
      <c r="G680" s="4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35"/>
      <c r="S680" s="12"/>
      <c r="T680" s="12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>
      <c r="A681" s="4"/>
      <c r="B681" s="4"/>
      <c r="C681" s="4"/>
      <c r="D681" s="4"/>
      <c r="E681" s="4"/>
      <c r="F681" s="4"/>
      <c r="G681" s="4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35"/>
      <c r="S681" s="12"/>
      <c r="T681" s="12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>
      <c r="A682" s="4"/>
      <c r="B682" s="4"/>
      <c r="C682" s="4"/>
      <c r="D682" s="4"/>
      <c r="E682" s="4"/>
      <c r="F682" s="4"/>
      <c r="G682" s="4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35"/>
      <c r="S682" s="12"/>
      <c r="T682" s="12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>
      <c r="A683" s="4"/>
      <c r="B683" s="4"/>
      <c r="C683" s="4"/>
      <c r="D683" s="4"/>
      <c r="E683" s="4"/>
      <c r="F683" s="4"/>
      <c r="G683" s="4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35"/>
      <c r="S683" s="12"/>
      <c r="T683" s="12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>
      <c r="A684" s="4"/>
      <c r="B684" s="4"/>
      <c r="C684" s="4"/>
      <c r="D684" s="4"/>
      <c r="E684" s="4"/>
      <c r="F684" s="4"/>
      <c r="G684" s="4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35"/>
      <c r="S684" s="12"/>
      <c r="T684" s="12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>
      <c r="A685" s="4"/>
      <c r="B685" s="4"/>
      <c r="C685" s="4"/>
      <c r="D685" s="4"/>
      <c r="E685" s="4"/>
      <c r="F685" s="4"/>
      <c r="G685" s="4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35"/>
      <c r="S685" s="12"/>
      <c r="T685" s="12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>
      <c r="A686" s="4"/>
      <c r="B686" s="4"/>
      <c r="C686" s="4"/>
      <c r="D686" s="4"/>
      <c r="E686" s="4"/>
      <c r="F686" s="4"/>
      <c r="G686" s="4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35"/>
      <c r="S686" s="12"/>
      <c r="T686" s="12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>
      <c r="A687" s="4"/>
      <c r="B687" s="4"/>
      <c r="C687" s="4"/>
      <c r="D687" s="4"/>
      <c r="E687" s="4"/>
      <c r="F687" s="4"/>
      <c r="G687" s="4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35"/>
      <c r="S687" s="12"/>
      <c r="T687" s="12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>
      <c r="A688" s="4"/>
      <c r="B688" s="4"/>
      <c r="C688" s="4"/>
      <c r="D688" s="4"/>
      <c r="E688" s="4"/>
      <c r="F688" s="4"/>
      <c r="G688" s="4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35"/>
      <c r="S688" s="12"/>
      <c r="T688" s="12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>
      <c r="A689" s="4"/>
      <c r="B689" s="4"/>
      <c r="C689" s="4"/>
      <c r="D689" s="4"/>
      <c r="E689" s="4"/>
      <c r="F689" s="4"/>
      <c r="G689" s="4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35"/>
      <c r="S689" s="12"/>
      <c r="T689" s="12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>
      <c r="A690" s="4"/>
      <c r="B690" s="4"/>
      <c r="C690" s="4"/>
      <c r="D690" s="4"/>
      <c r="E690" s="4"/>
      <c r="F690" s="4"/>
      <c r="G690" s="4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35"/>
      <c r="S690" s="12"/>
      <c r="T690" s="12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>
      <c r="A691" s="4"/>
      <c r="B691" s="4"/>
      <c r="C691" s="4"/>
      <c r="D691" s="4"/>
      <c r="E691" s="4"/>
      <c r="F691" s="4"/>
      <c r="G691" s="4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35"/>
      <c r="S691" s="12"/>
      <c r="T691" s="12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>
      <c r="A692" s="4"/>
      <c r="B692" s="4"/>
      <c r="C692" s="4"/>
      <c r="D692" s="4"/>
      <c r="E692" s="4"/>
      <c r="F692" s="4"/>
      <c r="G692" s="4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35"/>
      <c r="S692" s="12"/>
      <c r="T692" s="12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>
      <c r="A693" s="4"/>
      <c r="B693" s="4"/>
      <c r="C693" s="4"/>
      <c r="D693" s="4"/>
      <c r="E693" s="4"/>
      <c r="F693" s="4"/>
      <c r="G693" s="4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35"/>
      <c r="S693" s="12"/>
      <c r="T693" s="12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>
      <c r="A694" s="4"/>
      <c r="B694" s="4"/>
      <c r="C694" s="4"/>
      <c r="D694" s="4"/>
      <c r="E694" s="4"/>
      <c r="F694" s="4"/>
      <c r="G694" s="4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35"/>
      <c r="S694" s="12"/>
      <c r="T694" s="12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>
      <c r="A695" s="4"/>
      <c r="B695" s="4"/>
      <c r="C695" s="4"/>
      <c r="D695" s="4"/>
      <c r="E695" s="4"/>
      <c r="F695" s="4"/>
      <c r="G695" s="4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35"/>
      <c r="S695" s="12"/>
      <c r="T695" s="12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>
      <c r="A696" s="4"/>
      <c r="B696" s="4"/>
      <c r="C696" s="4"/>
      <c r="D696" s="4"/>
      <c r="E696" s="4"/>
      <c r="F696" s="4"/>
      <c r="G696" s="4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35"/>
      <c r="S696" s="12"/>
      <c r="T696" s="12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>
      <c r="A697" s="4"/>
      <c r="B697" s="4"/>
      <c r="C697" s="4"/>
      <c r="D697" s="4"/>
      <c r="E697" s="4"/>
      <c r="F697" s="4"/>
      <c r="G697" s="4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35"/>
      <c r="S697" s="12"/>
      <c r="T697" s="12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>
      <c r="A698" s="4"/>
      <c r="B698" s="4"/>
      <c r="C698" s="4"/>
      <c r="D698" s="4"/>
      <c r="E698" s="4"/>
      <c r="F698" s="4"/>
      <c r="G698" s="4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35"/>
      <c r="S698" s="12"/>
      <c r="T698" s="12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>
      <c r="A699" s="4"/>
      <c r="B699" s="4"/>
      <c r="C699" s="4"/>
      <c r="D699" s="4"/>
      <c r="E699" s="4"/>
      <c r="F699" s="4"/>
      <c r="G699" s="4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35"/>
      <c r="S699" s="12"/>
      <c r="T699" s="12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>
      <c r="A700" s="4"/>
      <c r="B700" s="4"/>
      <c r="C700" s="4"/>
      <c r="D700" s="4"/>
      <c r="E700" s="4"/>
      <c r="F700" s="4"/>
      <c r="G700" s="4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35"/>
      <c r="S700" s="12"/>
      <c r="T700" s="12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>
      <c r="A701" s="4"/>
      <c r="B701" s="4"/>
      <c r="C701" s="4"/>
      <c r="D701" s="4"/>
      <c r="E701" s="4"/>
      <c r="F701" s="4"/>
      <c r="G701" s="4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35"/>
      <c r="S701" s="12"/>
      <c r="T701" s="12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>
      <c r="A702" s="4"/>
      <c r="B702" s="4"/>
      <c r="C702" s="4"/>
      <c r="D702" s="4"/>
      <c r="E702" s="4"/>
      <c r="F702" s="4"/>
      <c r="G702" s="4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35"/>
      <c r="S702" s="12"/>
      <c r="T702" s="12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>
      <c r="A703" s="4"/>
      <c r="B703" s="4"/>
      <c r="C703" s="4"/>
      <c r="D703" s="4"/>
      <c r="E703" s="4"/>
      <c r="F703" s="4"/>
      <c r="G703" s="4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35"/>
      <c r="S703" s="12"/>
      <c r="T703" s="12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>
      <c r="A704" s="4"/>
      <c r="B704" s="4"/>
      <c r="C704" s="4"/>
      <c r="D704" s="4"/>
      <c r="E704" s="4"/>
      <c r="F704" s="4"/>
      <c r="G704" s="4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35"/>
      <c r="S704" s="12"/>
      <c r="T704" s="12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>
      <c r="A705" s="4"/>
      <c r="B705" s="4"/>
      <c r="C705" s="4"/>
      <c r="D705" s="4"/>
      <c r="E705" s="4"/>
      <c r="F705" s="4"/>
      <c r="G705" s="4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35"/>
      <c r="S705" s="12"/>
      <c r="T705" s="12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>
      <c r="A706" s="4"/>
      <c r="B706" s="4"/>
      <c r="C706" s="4"/>
      <c r="D706" s="4"/>
      <c r="E706" s="4"/>
      <c r="F706" s="4"/>
      <c r="G706" s="4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35"/>
      <c r="S706" s="12"/>
      <c r="T706" s="12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>
      <c r="A707" s="4"/>
      <c r="B707" s="4"/>
      <c r="C707" s="4"/>
      <c r="D707" s="4"/>
      <c r="E707" s="4"/>
      <c r="F707" s="4"/>
      <c r="G707" s="4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35"/>
      <c r="S707" s="12"/>
      <c r="T707" s="12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>
      <c r="A708" s="4"/>
      <c r="B708" s="4"/>
      <c r="C708" s="4"/>
      <c r="D708" s="4"/>
      <c r="E708" s="4"/>
      <c r="F708" s="4"/>
      <c r="G708" s="4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35"/>
      <c r="S708" s="12"/>
      <c r="T708" s="12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>
      <c r="A709" s="4"/>
      <c r="B709" s="4"/>
      <c r="C709" s="4"/>
      <c r="D709" s="4"/>
      <c r="E709" s="4"/>
      <c r="F709" s="4"/>
      <c r="G709" s="4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35"/>
      <c r="S709" s="12"/>
      <c r="T709" s="12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>
      <c r="A710" s="4"/>
      <c r="B710" s="4"/>
      <c r="C710" s="4"/>
      <c r="D710" s="4"/>
      <c r="E710" s="4"/>
      <c r="F710" s="4"/>
      <c r="G710" s="4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35"/>
      <c r="S710" s="12"/>
      <c r="T710" s="12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>
      <c r="A711" s="4"/>
      <c r="B711" s="4"/>
      <c r="C711" s="4"/>
      <c r="D711" s="4"/>
      <c r="E711" s="4"/>
      <c r="F711" s="4"/>
      <c r="G711" s="4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35"/>
      <c r="S711" s="12"/>
      <c r="T711" s="12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>
      <c r="A712" s="4"/>
      <c r="B712" s="4"/>
      <c r="C712" s="4"/>
      <c r="D712" s="4"/>
      <c r="E712" s="4"/>
      <c r="F712" s="4"/>
      <c r="G712" s="4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35"/>
      <c r="S712" s="12"/>
      <c r="T712" s="12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>
      <c r="A713" s="4"/>
      <c r="B713" s="4"/>
      <c r="C713" s="4"/>
      <c r="D713" s="4"/>
      <c r="E713" s="4"/>
      <c r="F713" s="4"/>
      <c r="G713" s="4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35"/>
      <c r="S713" s="12"/>
      <c r="T713" s="12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>
      <c r="A714" s="4"/>
      <c r="B714" s="4"/>
      <c r="C714" s="4"/>
      <c r="D714" s="4"/>
      <c r="E714" s="4"/>
      <c r="F714" s="4"/>
      <c r="G714" s="4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35"/>
      <c r="S714" s="12"/>
      <c r="T714" s="12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>
      <c r="A715" s="4"/>
      <c r="B715" s="4"/>
      <c r="C715" s="4"/>
      <c r="D715" s="4"/>
      <c r="E715" s="4"/>
      <c r="F715" s="4"/>
      <c r="G715" s="4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35"/>
      <c r="S715" s="12"/>
      <c r="T715" s="12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>
      <c r="A716" s="4"/>
      <c r="B716" s="4"/>
      <c r="C716" s="4"/>
      <c r="D716" s="4"/>
      <c r="E716" s="4"/>
      <c r="F716" s="4"/>
      <c r="G716" s="4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35"/>
      <c r="S716" s="12"/>
      <c r="T716" s="12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>
      <c r="A717" s="4"/>
      <c r="B717" s="4"/>
      <c r="C717" s="4"/>
      <c r="D717" s="4"/>
      <c r="E717" s="4"/>
      <c r="F717" s="4"/>
      <c r="G717" s="4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35"/>
      <c r="S717" s="12"/>
      <c r="T717" s="12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>
      <c r="A718" s="4"/>
      <c r="B718" s="4"/>
      <c r="C718" s="4"/>
      <c r="D718" s="4"/>
      <c r="E718" s="4"/>
      <c r="F718" s="4"/>
      <c r="G718" s="4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35"/>
      <c r="S718" s="12"/>
      <c r="T718" s="12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>
      <c r="A719" s="4"/>
      <c r="B719" s="4"/>
      <c r="C719" s="4"/>
      <c r="D719" s="4"/>
      <c r="E719" s="4"/>
      <c r="F719" s="4"/>
      <c r="G719" s="4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35"/>
      <c r="S719" s="12"/>
      <c r="T719" s="12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>
      <c r="A720" s="4"/>
      <c r="B720" s="4"/>
      <c r="C720" s="4"/>
      <c r="D720" s="4"/>
      <c r="E720" s="4"/>
      <c r="F720" s="4"/>
      <c r="G720" s="4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35"/>
      <c r="S720" s="12"/>
      <c r="T720" s="12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>
      <c r="A721" s="4"/>
      <c r="B721" s="4"/>
      <c r="C721" s="4"/>
      <c r="D721" s="4"/>
      <c r="E721" s="4"/>
      <c r="F721" s="4"/>
      <c r="G721" s="4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35"/>
      <c r="S721" s="12"/>
      <c r="T721" s="12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>
      <c r="A722" s="4"/>
      <c r="B722" s="4"/>
      <c r="C722" s="4"/>
      <c r="D722" s="4"/>
      <c r="E722" s="4"/>
      <c r="F722" s="4"/>
      <c r="G722" s="4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35"/>
      <c r="S722" s="12"/>
      <c r="T722" s="12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>
      <c r="A723" s="4"/>
      <c r="B723" s="4"/>
      <c r="C723" s="4"/>
      <c r="D723" s="4"/>
      <c r="E723" s="4"/>
      <c r="F723" s="4"/>
      <c r="G723" s="4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35"/>
      <c r="S723" s="12"/>
      <c r="T723" s="12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>
      <c r="A724" s="4"/>
      <c r="B724" s="4"/>
      <c r="C724" s="4"/>
      <c r="D724" s="4"/>
      <c r="E724" s="4"/>
      <c r="F724" s="4"/>
      <c r="G724" s="4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35"/>
      <c r="S724" s="12"/>
      <c r="T724" s="12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>
      <c r="A725" s="4"/>
      <c r="B725" s="4"/>
      <c r="C725" s="4"/>
      <c r="D725" s="4"/>
      <c r="E725" s="4"/>
      <c r="F725" s="4"/>
      <c r="G725" s="4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35"/>
      <c r="S725" s="12"/>
      <c r="T725" s="12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>
      <c r="A726" s="4"/>
      <c r="B726" s="4"/>
      <c r="C726" s="4"/>
      <c r="D726" s="4"/>
      <c r="E726" s="4"/>
      <c r="F726" s="4"/>
      <c r="G726" s="4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35"/>
      <c r="S726" s="12"/>
      <c r="T726" s="12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>
      <c r="A727" s="4"/>
      <c r="B727" s="4"/>
      <c r="C727" s="4"/>
      <c r="D727" s="4"/>
      <c r="E727" s="4"/>
      <c r="F727" s="4"/>
      <c r="G727" s="4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35"/>
      <c r="S727" s="12"/>
      <c r="T727" s="12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>
      <c r="A728" s="4"/>
      <c r="B728" s="4"/>
      <c r="C728" s="4"/>
      <c r="D728" s="4"/>
      <c r="E728" s="4"/>
      <c r="F728" s="4"/>
      <c r="G728" s="4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35"/>
      <c r="S728" s="12"/>
      <c r="T728" s="12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>
      <c r="A729" s="4"/>
      <c r="B729" s="4"/>
      <c r="C729" s="4"/>
      <c r="D729" s="4"/>
      <c r="E729" s="4"/>
      <c r="F729" s="4"/>
      <c r="G729" s="4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35"/>
      <c r="S729" s="12"/>
      <c r="T729" s="12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>
      <c r="A730" s="4"/>
      <c r="B730" s="4"/>
      <c r="C730" s="4"/>
      <c r="D730" s="4"/>
      <c r="E730" s="4"/>
      <c r="F730" s="4"/>
      <c r="G730" s="4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35"/>
      <c r="S730" s="12"/>
      <c r="T730" s="12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>
      <c r="A731" s="4"/>
      <c r="B731" s="4"/>
      <c r="C731" s="4"/>
      <c r="D731" s="4"/>
      <c r="E731" s="4"/>
      <c r="F731" s="4"/>
      <c r="G731" s="4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35"/>
      <c r="S731" s="12"/>
      <c r="T731" s="12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>
      <c r="A732" s="4"/>
      <c r="B732" s="4"/>
      <c r="C732" s="4"/>
      <c r="D732" s="4"/>
      <c r="E732" s="4"/>
      <c r="F732" s="4"/>
      <c r="G732" s="4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35"/>
      <c r="S732" s="12"/>
      <c r="T732" s="12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>
      <c r="A733" s="4"/>
      <c r="B733" s="4"/>
      <c r="C733" s="4"/>
      <c r="D733" s="4"/>
      <c r="E733" s="4"/>
      <c r="F733" s="4"/>
      <c r="G733" s="4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35"/>
      <c r="S733" s="12"/>
      <c r="T733" s="12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>
      <c r="A734" s="4"/>
      <c r="B734" s="4"/>
      <c r="C734" s="4"/>
      <c r="D734" s="4"/>
      <c r="E734" s="4"/>
      <c r="F734" s="4"/>
      <c r="G734" s="4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35"/>
      <c r="S734" s="12"/>
      <c r="T734" s="12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>
      <c r="A735" s="4"/>
      <c r="B735" s="4"/>
      <c r="C735" s="4"/>
      <c r="D735" s="4"/>
      <c r="E735" s="4"/>
      <c r="F735" s="4"/>
      <c r="G735" s="4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35"/>
      <c r="S735" s="12"/>
      <c r="T735" s="12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>
      <c r="A736" s="4"/>
      <c r="B736" s="4"/>
      <c r="C736" s="4"/>
      <c r="D736" s="4"/>
      <c r="E736" s="4"/>
      <c r="F736" s="4"/>
      <c r="G736" s="4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35"/>
      <c r="S736" s="12"/>
      <c r="T736" s="12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>
      <c r="A737" s="4"/>
      <c r="B737" s="4"/>
      <c r="C737" s="4"/>
      <c r="D737" s="4"/>
      <c r="E737" s="4"/>
      <c r="F737" s="4"/>
      <c r="G737" s="4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35"/>
      <c r="S737" s="12"/>
      <c r="T737" s="12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>
      <c r="A738" s="4"/>
      <c r="B738" s="4"/>
      <c r="C738" s="4"/>
      <c r="D738" s="4"/>
      <c r="E738" s="4"/>
      <c r="F738" s="4"/>
      <c r="G738" s="4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35"/>
      <c r="S738" s="12"/>
      <c r="T738" s="12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>
      <c r="A739" s="4"/>
      <c r="B739" s="4"/>
      <c r="C739" s="4"/>
      <c r="D739" s="4"/>
      <c r="E739" s="4"/>
      <c r="F739" s="4"/>
      <c r="G739" s="4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35"/>
      <c r="S739" s="12"/>
      <c r="T739" s="12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>
      <c r="A740" s="4"/>
      <c r="B740" s="4"/>
      <c r="C740" s="4"/>
      <c r="D740" s="4"/>
      <c r="E740" s="4"/>
      <c r="F740" s="4"/>
      <c r="G740" s="4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35"/>
      <c r="S740" s="12"/>
      <c r="T740" s="12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>
      <c r="A741" s="4"/>
      <c r="B741" s="4"/>
      <c r="C741" s="4"/>
      <c r="D741" s="4"/>
      <c r="E741" s="4"/>
      <c r="F741" s="4"/>
      <c r="G741" s="4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35"/>
      <c r="S741" s="12"/>
      <c r="T741" s="12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>
      <c r="A742" s="4"/>
      <c r="B742" s="4"/>
      <c r="C742" s="4"/>
      <c r="D742" s="4"/>
      <c r="E742" s="4"/>
      <c r="F742" s="4"/>
      <c r="G742" s="4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35"/>
      <c r="S742" s="12"/>
      <c r="T742" s="12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>
      <c r="A743" s="4"/>
      <c r="B743" s="4"/>
      <c r="C743" s="4"/>
      <c r="D743" s="4"/>
      <c r="E743" s="4"/>
      <c r="F743" s="4"/>
      <c r="G743" s="4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35"/>
      <c r="S743" s="12"/>
      <c r="T743" s="12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>
      <c r="A744" s="4"/>
      <c r="B744" s="4"/>
      <c r="C744" s="4"/>
      <c r="D744" s="4"/>
      <c r="E744" s="4"/>
      <c r="F744" s="4"/>
      <c r="G744" s="4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35"/>
      <c r="S744" s="12"/>
      <c r="T744" s="12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>
      <c r="A745" s="4"/>
      <c r="B745" s="4"/>
      <c r="C745" s="4"/>
      <c r="D745" s="4"/>
      <c r="E745" s="4"/>
      <c r="F745" s="4"/>
      <c r="G745" s="4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35"/>
      <c r="S745" s="12"/>
      <c r="T745" s="12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>
      <c r="A746" s="4"/>
      <c r="B746" s="4"/>
      <c r="C746" s="4"/>
      <c r="D746" s="4"/>
      <c r="E746" s="4"/>
      <c r="F746" s="4"/>
      <c r="G746" s="4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35"/>
      <c r="S746" s="12"/>
      <c r="T746" s="12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>
      <c r="A747" s="4"/>
      <c r="B747" s="4"/>
      <c r="C747" s="4"/>
      <c r="D747" s="4"/>
      <c r="E747" s="4"/>
      <c r="F747" s="4"/>
      <c r="G747" s="4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35"/>
      <c r="S747" s="12"/>
      <c r="T747" s="12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>
      <c r="A748" s="4"/>
      <c r="B748" s="4"/>
      <c r="C748" s="4"/>
      <c r="D748" s="4"/>
      <c r="E748" s="4"/>
      <c r="F748" s="4"/>
      <c r="G748" s="4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35"/>
      <c r="S748" s="12"/>
      <c r="T748" s="12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>
      <c r="A749" s="4"/>
      <c r="B749" s="4"/>
      <c r="C749" s="4"/>
      <c r="D749" s="4"/>
      <c r="E749" s="4"/>
      <c r="F749" s="4"/>
      <c r="G749" s="4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35"/>
      <c r="S749" s="12"/>
      <c r="T749" s="12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>
      <c r="A750" s="4"/>
      <c r="B750" s="4"/>
      <c r="C750" s="4"/>
      <c r="D750" s="4"/>
      <c r="E750" s="4"/>
      <c r="F750" s="4"/>
      <c r="G750" s="4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35"/>
      <c r="S750" s="12"/>
      <c r="T750" s="12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>
      <c r="A751" s="4"/>
      <c r="B751" s="4"/>
      <c r="C751" s="4"/>
      <c r="D751" s="4"/>
      <c r="E751" s="4"/>
      <c r="F751" s="4"/>
      <c r="G751" s="4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35"/>
      <c r="S751" s="12"/>
      <c r="T751" s="12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>
      <c r="A752" s="4"/>
      <c r="B752" s="4"/>
      <c r="C752" s="4"/>
      <c r="D752" s="4"/>
      <c r="E752" s="4"/>
      <c r="F752" s="4"/>
      <c r="G752" s="4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35"/>
      <c r="S752" s="12"/>
      <c r="T752" s="12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>
      <c r="A753" s="4"/>
      <c r="B753" s="4"/>
      <c r="C753" s="4"/>
      <c r="D753" s="4"/>
      <c r="E753" s="4"/>
      <c r="F753" s="4"/>
      <c r="G753" s="4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35"/>
      <c r="S753" s="12"/>
      <c r="T753" s="12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>
      <c r="A754" s="4"/>
      <c r="B754" s="4"/>
      <c r="C754" s="4"/>
      <c r="D754" s="4"/>
      <c r="E754" s="4"/>
      <c r="F754" s="4"/>
      <c r="G754" s="4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35"/>
      <c r="S754" s="12"/>
      <c r="T754" s="12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>
      <c r="A755" s="4"/>
      <c r="B755" s="4"/>
      <c r="C755" s="4"/>
      <c r="D755" s="4"/>
      <c r="E755" s="4"/>
      <c r="F755" s="4"/>
      <c r="G755" s="4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35"/>
      <c r="S755" s="12"/>
      <c r="T755" s="12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>
      <c r="A756" s="4"/>
      <c r="B756" s="4"/>
      <c r="C756" s="4"/>
      <c r="D756" s="4"/>
      <c r="E756" s="4"/>
      <c r="F756" s="4"/>
      <c r="G756" s="4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35"/>
      <c r="S756" s="12"/>
      <c r="T756" s="12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>
      <c r="A757" s="4"/>
      <c r="B757" s="4"/>
      <c r="C757" s="4"/>
      <c r="D757" s="4"/>
      <c r="E757" s="4"/>
      <c r="F757" s="4"/>
      <c r="G757" s="4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35"/>
      <c r="S757" s="12"/>
      <c r="T757" s="12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>
      <c r="A758" s="4"/>
      <c r="B758" s="4"/>
      <c r="C758" s="4"/>
      <c r="D758" s="4"/>
      <c r="E758" s="4"/>
      <c r="F758" s="4"/>
      <c r="G758" s="4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35"/>
      <c r="S758" s="12"/>
      <c r="T758" s="12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>
      <c r="A759" s="4"/>
      <c r="B759" s="4"/>
      <c r="C759" s="4"/>
      <c r="D759" s="4"/>
      <c r="E759" s="4"/>
      <c r="F759" s="4"/>
      <c r="G759" s="4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35"/>
      <c r="S759" s="12"/>
      <c r="T759" s="12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>
      <c r="A760" s="4"/>
      <c r="B760" s="4"/>
      <c r="C760" s="4"/>
      <c r="D760" s="4"/>
      <c r="E760" s="4"/>
      <c r="F760" s="4"/>
      <c r="G760" s="4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35"/>
      <c r="S760" s="12"/>
      <c r="T760" s="12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>
      <c r="A761" s="4"/>
      <c r="B761" s="4"/>
      <c r="C761" s="4"/>
      <c r="D761" s="4"/>
      <c r="E761" s="4"/>
      <c r="F761" s="4"/>
      <c r="G761" s="4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35"/>
      <c r="S761" s="12"/>
      <c r="T761" s="12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>
      <c r="A762" s="4"/>
      <c r="B762" s="4"/>
      <c r="C762" s="4"/>
      <c r="D762" s="4"/>
      <c r="E762" s="4"/>
      <c r="F762" s="4"/>
      <c r="G762" s="4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35"/>
      <c r="S762" s="12"/>
      <c r="T762" s="12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>
      <c r="A763" s="4"/>
      <c r="B763" s="4"/>
      <c r="C763" s="4"/>
      <c r="D763" s="4"/>
      <c r="E763" s="4"/>
      <c r="F763" s="4"/>
      <c r="G763" s="4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35"/>
      <c r="S763" s="12"/>
      <c r="T763" s="12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>
      <c r="A764" s="4"/>
      <c r="B764" s="4"/>
      <c r="C764" s="4"/>
      <c r="D764" s="4"/>
      <c r="E764" s="4"/>
      <c r="F764" s="4"/>
      <c r="G764" s="4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35"/>
      <c r="S764" s="12"/>
      <c r="T764" s="12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>
      <c r="A765" s="4"/>
      <c r="B765" s="4"/>
      <c r="C765" s="4"/>
      <c r="D765" s="4"/>
      <c r="E765" s="4"/>
      <c r="F765" s="4"/>
      <c r="G765" s="4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35"/>
      <c r="S765" s="12"/>
      <c r="T765" s="12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>
      <c r="A766" s="4"/>
      <c r="B766" s="4"/>
      <c r="C766" s="4"/>
      <c r="D766" s="4"/>
      <c r="E766" s="4"/>
      <c r="F766" s="4"/>
      <c r="G766" s="4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35"/>
      <c r="S766" s="12"/>
      <c r="T766" s="12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>
      <c r="A767" s="4"/>
      <c r="B767" s="4"/>
      <c r="C767" s="4"/>
      <c r="D767" s="4"/>
      <c r="E767" s="4"/>
      <c r="F767" s="4"/>
      <c r="G767" s="4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35"/>
      <c r="S767" s="12"/>
      <c r="T767" s="12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>
      <c r="A768" s="4"/>
      <c r="B768" s="4"/>
      <c r="C768" s="4"/>
      <c r="D768" s="4"/>
      <c r="E768" s="4"/>
      <c r="F768" s="4"/>
      <c r="G768" s="4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35"/>
      <c r="S768" s="12"/>
      <c r="T768" s="12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>
      <c r="A769" s="4"/>
      <c r="B769" s="4"/>
      <c r="C769" s="4"/>
      <c r="D769" s="4"/>
      <c r="E769" s="4"/>
      <c r="F769" s="4"/>
      <c r="G769" s="4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35"/>
      <c r="S769" s="12"/>
      <c r="T769" s="12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>
      <c r="A770" s="4"/>
      <c r="B770" s="4"/>
      <c r="C770" s="4"/>
      <c r="D770" s="4"/>
      <c r="E770" s="4"/>
      <c r="F770" s="4"/>
      <c r="G770" s="4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35"/>
      <c r="S770" s="12"/>
      <c r="T770" s="12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>
      <c r="A771" s="4"/>
      <c r="B771" s="4"/>
      <c r="C771" s="4"/>
      <c r="D771" s="4"/>
      <c r="E771" s="4"/>
      <c r="F771" s="4"/>
      <c r="G771" s="4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35"/>
      <c r="S771" s="12"/>
      <c r="T771" s="12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>
      <c r="A772" s="4"/>
      <c r="B772" s="4"/>
      <c r="C772" s="4"/>
      <c r="D772" s="4"/>
      <c r="E772" s="4"/>
      <c r="F772" s="4"/>
      <c r="G772" s="4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35"/>
      <c r="S772" s="12"/>
      <c r="T772" s="12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>
      <c r="A773" s="4"/>
      <c r="B773" s="4"/>
      <c r="C773" s="4"/>
      <c r="D773" s="4"/>
      <c r="E773" s="4"/>
      <c r="F773" s="4"/>
      <c r="G773" s="4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35"/>
      <c r="S773" s="12"/>
      <c r="T773" s="12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>
      <c r="A774" s="4"/>
      <c r="B774" s="4"/>
      <c r="C774" s="4"/>
      <c r="D774" s="4"/>
      <c r="E774" s="4"/>
      <c r="F774" s="4"/>
      <c r="G774" s="4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35"/>
      <c r="S774" s="12"/>
      <c r="T774" s="12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>
      <c r="A775" s="4"/>
      <c r="B775" s="4"/>
      <c r="C775" s="4"/>
      <c r="D775" s="4"/>
      <c r="E775" s="4"/>
      <c r="F775" s="4"/>
      <c r="G775" s="4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35"/>
      <c r="S775" s="12"/>
      <c r="T775" s="12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>
      <c r="A776" s="4"/>
      <c r="B776" s="4"/>
      <c r="C776" s="4"/>
      <c r="D776" s="4"/>
      <c r="E776" s="4"/>
      <c r="F776" s="4"/>
      <c r="G776" s="4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35"/>
      <c r="S776" s="12"/>
      <c r="T776" s="12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>
      <c r="A777" s="4"/>
      <c r="B777" s="4"/>
      <c r="C777" s="4"/>
      <c r="D777" s="4"/>
      <c r="E777" s="4"/>
      <c r="F777" s="4"/>
      <c r="G777" s="4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35"/>
      <c r="S777" s="12"/>
      <c r="T777" s="12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>
      <c r="A778" s="4"/>
      <c r="B778" s="4"/>
      <c r="C778" s="4"/>
      <c r="D778" s="4"/>
      <c r="E778" s="4"/>
      <c r="F778" s="4"/>
      <c r="G778" s="4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35"/>
      <c r="S778" s="12"/>
      <c r="T778" s="12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>
      <c r="A779" s="4"/>
      <c r="B779" s="4"/>
      <c r="C779" s="4"/>
      <c r="D779" s="4"/>
      <c r="E779" s="4"/>
      <c r="F779" s="4"/>
      <c r="G779" s="4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35"/>
      <c r="S779" s="12"/>
      <c r="T779" s="12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>
      <c r="A780" s="4"/>
      <c r="B780" s="4"/>
      <c r="C780" s="4"/>
      <c r="D780" s="4"/>
      <c r="E780" s="4"/>
      <c r="F780" s="4"/>
      <c r="G780" s="4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35"/>
      <c r="S780" s="12"/>
      <c r="T780" s="12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>
      <c r="A781" s="4"/>
      <c r="B781" s="4"/>
      <c r="C781" s="4"/>
      <c r="D781" s="4"/>
      <c r="E781" s="4"/>
      <c r="F781" s="4"/>
      <c r="G781" s="4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35"/>
      <c r="S781" s="12"/>
      <c r="T781" s="12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>
      <c r="A782" s="4"/>
      <c r="B782" s="4"/>
      <c r="C782" s="4"/>
      <c r="D782" s="4"/>
      <c r="E782" s="4"/>
      <c r="F782" s="4"/>
      <c r="G782" s="4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35"/>
      <c r="S782" s="12"/>
      <c r="T782" s="12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>
      <c r="A783" s="4"/>
      <c r="B783" s="4"/>
      <c r="C783" s="4"/>
      <c r="D783" s="4"/>
      <c r="E783" s="4"/>
      <c r="F783" s="4"/>
      <c r="G783" s="4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35"/>
      <c r="S783" s="12"/>
      <c r="T783" s="12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>
      <c r="A784" s="4"/>
      <c r="B784" s="4"/>
      <c r="C784" s="4"/>
      <c r="D784" s="4"/>
      <c r="E784" s="4"/>
      <c r="F784" s="4"/>
      <c r="G784" s="4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35"/>
      <c r="S784" s="12"/>
      <c r="T784" s="12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>
      <c r="A785" s="4"/>
      <c r="B785" s="4"/>
      <c r="C785" s="4"/>
      <c r="D785" s="4"/>
      <c r="E785" s="4"/>
      <c r="F785" s="4"/>
      <c r="G785" s="4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35"/>
      <c r="S785" s="12"/>
      <c r="T785" s="12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>
      <c r="A786" s="4"/>
      <c r="B786" s="4"/>
      <c r="C786" s="4"/>
      <c r="D786" s="4"/>
      <c r="E786" s="4"/>
      <c r="F786" s="4"/>
      <c r="G786" s="4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35"/>
      <c r="S786" s="12"/>
      <c r="T786" s="12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>
      <c r="A787" s="4"/>
      <c r="B787" s="4"/>
      <c r="C787" s="4"/>
      <c r="D787" s="4"/>
      <c r="E787" s="4"/>
      <c r="F787" s="4"/>
      <c r="G787" s="4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35"/>
      <c r="S787" s="12"/>
      <c r="T787" s="12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>
      <c r="A788" s="4"/>
      <c r="B788" s="4"/>
      <c r="C788" s="4"/>
      <c r="D788" s="4"/>
      <c r="E788" s="4"/>
      <c r="F788" s="4"/>
      <c r="G788" s="4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35"/>
      <c r="S788" s="12"/>
      <c r="T788" s="12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>
      <c r="A789" s="4"/>
      <c r="B789" s="4"/>
      <c r="C789" s="4"/>
      <c r="D789" s="4"/>
      <c r="E789" s="4"/>
      <c r="F789" s="4"/>
      <c r="G789" s="4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35"/>
      <c r="S789" s="12"/>
      <c r="T789" s="12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>
      <c r="A790" s="4"/>
      <c r="B790" s="4"/>
      <c r="C790" s="4"/>
      <c r="D790" s="4"/>
      <c r="E790" s="4"/>
      <c r="F790" s="4"/>
      <c r="G790" s="4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35"/>
      <c r="S790" s="12"/>
      <c r="T790" s="12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>
      <c r="A791" s="4"/>
      <c r="B791" s="4"/>
      <c r="C791" s="4"/>
      <c r="D791" s="4"/>
      <c r="E791" s="4"/>
      <c r="F791" s="4"/>
      <c r="G791" s="4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35"/>
      <c r="S791" s="12"/>
      <c r="T791" s="12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>
      <c r="A792" s="4"/>
      <c r="B792" s="4"/>
      <c r="C792" s="4"/>
      <c r="D792" s="4"/>
      <c r="E792" s="4"/>
      <c r="F792" s="4"/>
      <c r="G792" s="4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35"/>
      <c r="S792" s="12"/>
      <c r="T792" s="12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>
      <c r="A793" s="4"/>
      <c r="B793" s="4"/>
      <c r="C793" s="4"/>
      <c r="D793" s="4"/>
      <c r="E793" s="4"/>
      <c r="F793" s="4"/>
      <c r="G793" s="4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35"/>
      <c r="S793" s="12"/>
      <c r="T793" s="12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>
      <c r="A794" s="4"/>
      <c r="B794" s="4"/>
      <c r="C794" s="4"/>
      <c r="D794" s="4"/>
      <c r="E794" s="4"/>
      <c r="F794" s="4"/>
      <c r="G794" s="4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35"/>
      <c r="S794" s="12"/>
      <c r="T794" s="12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>
      <c r="A795" s="4"/>
      <c r="B795" s="4"/>
      <c r="C795" s="4"/>
      <c r="D795" s="4"/>
      <c r="E795" s="4"/>
      <c r="F795" s="4"/>
      <c r="G795" s="4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35"/>
      <c r="S795" s="12"/>
      <c r="T795" s="12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>
      <c r="A796" s="4"/>
      <c r="B796" s="4"/>
      <c r="C796" s="4"/>
      <c r="D796" s="4"/>
      <c r="E796" s="4"/>
      <c r="F796" s="4"/>
      <c r="G796" s="4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35"/>
      <c r="S796" s="12"/>
      <c r="T796" s="12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>
      <c r="A797" s="4"/>
      <c r="B797" s="4"/>
      <c r="C797" s="4"/>
      <c r="D797" s="4"/>
      <c r="E797" s="4"/>
      <c r="F797" s="4"/>
      <c r="G797" s="4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35"/>
      <c r="S797" s="12"/>
      <c r="T797" s="12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>
      <c r="A798" s="4"/>
      <c r="B798" s="4"/>
      <c r="C798" s="4"/>
      <c r="D798" s="4"/>
      <c r="E798" s="4"/>
      <c r="F798" s="4"/>
      <c r="G798" s="4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35"/>
      <c r="S798" s="12"/>
      <c r="T798" s="12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>
      <c r="A799" s="4"/>
      <c r="B799" s="4"/>
      <c r="C799" s="4"/>
      <c r="D799" s="4"/>
      <c r="E799" s="4"/>
      <c r="F799" s="4"/>
      <c r="G799" s="4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35"/>
      <c r="S799" s="12"/>
      <c r="T799" s="12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>
      <c r="A800" s="4"/>
      <c r="B800" s="4"/>
      <c r="C800" s="4"/>
      <c r="D800" s="4"/>
      <c r="E800" s="4"/>
      <c r="F800" s="4"/>
      <c r="G800" s="4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35"/>
      <c r="S800" s="12"/>
      <c r="T800" s="12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>
      <c r="A801" s="4"/>
      <c r="B801" s="4"/>
      <c r="C801" s="4"/>
      <c r="D801" s="4"/>
      <c r="E801" s="4"/>
      <c r="F801" s="4"/>
      <c r="G801" s="4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35"/>
      <c r="S801" s="12"/>
      <c r="T801" s="12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>
      <c r="A802" s="4"/>
      <c r="B802" s="4"/>
      <c r="C802" s="4"/>
      <c r="D802" s="4"/>
      <c r="E802" s="4"/>
      <c r="F802" s="4"/>
      <c r="G802" s="4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35"/>
      <c r="S802" s="12"/>
      <c r="T802" s="12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>
      <c r="A803" s="4"/>
      <c r="B803" s="4"/>
      <c r="C803" s="4"/>
      <c r="D803" s="4"/>
      <c r="E803" s="4"/>
      <c r="F803" s="4"/>
      <c r="G803" s="4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35"/>
      <c r="S803" s="12"/>
      <c r="T803" s="12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>
      <c r="A804" s="4"/>
      <c r="B804" s="4"/>
      <c r="C804" s="4"/>
      <c r="D804" s="4"/>
      <c r="E804" s="4"/>
      <c r="F804" s="4"/>
      <c r="G804" s="4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35"/>
      <c r="S804" s="12"/>
      <c r="T804" s="12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>
      <c r="A805" s="4"/>
      <c r="B805" s="4"/>
      <c r="C805" s="4"/>
      <c r="D805" s="4"/>
      <c r="E805" s="4"/>
      <c r="F805" s="4"/>
      <c r="G805" s="4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35"/>
      <c r="S805" s="12"/>
      <c r="T805" s="12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>
      <c r="A806" s="4"/>
      <c r="B806" s="4"/>
      <c r="C806" s="4"/>
      <c r="D806" s="4"/>
      <c r="E806" s="4"/>
      <c r="F806" s="4"/>
      <c r="G806" s="4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35"/>
      <c r="S806" s="12"/>
      <c r="T806" s="12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>
      <c r="A807" s="4"/>
      <c r="B807" s="4"/>
      <c r="C807" s="4"/>
      <c r="D807" s="4"/>
      <c r="E807" s="4"/>
      <c r="F807" s="4"/>
      <c r="G807" s="4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35"/>
      <c r="S807" s="12"/>
      <c r="T807" s="12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>
      <c r="A808" s="4"/>
      <c r="B808" s="4"/>
      <c r="C808" s="4"/>
      <c r="D808" s="4"/>
      <c r="E808" s="4"/>
      <c r="F808" s="4"/>
      <c r="G808" s="4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35"/>
      <c r="S808" s="12"/>
      <c r="T808" s="12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>
      <c r="A809" s="4"/>
      <c r="B809" s="4"/>
      <c r="C809" s="4"/>
      <c r="D809" s="4"/>
      <c r="E809" s="4"/>
      <c r="F809" s="4"/>
      <c r="G809" s="4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35"/>
      <c r="S809" s="12"/>
      <c r="T809" s="12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>
      <c r="A810" s="4"/>
      <c r="B810" s="4"/>
      <c r="C810" s="4"/>
      <c r="D810" s="4"/>
      <c r="E810" s="4"/>
      <c r="F810" s="4"/>
      <c r="G810" s="4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35"/>
      <c r="S810" s="12"/>
      <c r="T810" s="12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>
      <c r="A811" s="4"/>
      <c r="B811" s="4"/>
      <c r="C811" s="4"/>
      <c r="D811" s="4"/>
      <c r="E811" s="4"/>
      <c r="F811" s="4"/>
      <c r="G811" s="4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35"/>
      <c r="S811" s="12"/>
      <c r="T811" s="12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>
      <c r="A812" s="4"/>
      <c r="B812" s="4"/>
      <c r="C812" s="4"/>
      <c r="D812" s="4"/>
      <c r="E812" s="4"/>
      <c r="F812" s="4"/>
      <c r="G812" s="4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35"/>
      <c r="S812" s="12"/>
      <c r="T812" s="12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>
      <c r="A813" s="4"/>
      <c r="B813" s="4"/>
      <c r="C813" s="4"/>
      <c r="D813" s="4"/>
      <c r="E813" s="4"/>
      <c r="F813" s="4"/>
      <c r="G813" s="4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35"/>
      <c r="S813" s="12"/>
      <c r="T813" s="12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>
      <c r="A814" s="4"/>
      <c r="B814" s="4"/>
      <c r="C814" s="4"/>
      <c r="D814" s="4"/>
      <c r="E814" s="4"/>
      <c r="F814" s="4"/>
      <c r="G814" s="4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35"/>
      <c r="S814" s="12"/>
      <c r="T814" s="12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>
      <c r="A815" s="4"/>
      <c r="B815" s="4"/>
      <c r="C815" s="4"/>
      <c r="D815" s="4"/>
      <c r="E815" s="4"/>
      <c r="F815" s="4"/>
      <c r="G815" s="4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35"/>
      <c r="S815" s="12"/>
      <c r="T815" s="12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>
      <c r="A816" s="4"/>
      <c r="B816" s="4"/>
      <c r="C816" s="4"/>
      <c r="D816" s="4"/>
      <c r="E816" s="4"/>
      <c r="F816" s="4"/>
      <c r="G816" s="4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35"/>
      <c r="S816" s="12"/>
      <c r="T816" s="12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>
      <c r="A817" s="4"/>
      <c r="B817" s="4"/>
      <c r="C817" s="4"/>
      <c r="D817" s="4"/>
      <c r="E817" s="4"/>
      <c r="F817" s="4"/>
      <c r="G817" s="4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35"/>
      <c r="S817" s="12"/>
      <c r="T817" s="12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>
      <c r="A818" s="4"/>
      <c r="B818" s="4"/>
      <c r="C818" s="4"/>
      <c r="D818" s="4"/>
      <c r="E818" s="4"/>
      <c r="F818" s="4"/>
      <c r="G818" s="4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35"/>
      <c r="S818" s="12"/>
      <c r="T818" s="12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>
      <c r="A819" s="4"/>
      <c r="B819" s="4"/>
      <c r="C819" s="4"/>
      <c r="D819" s="4"/>
      <c r="E819" s="4"/>
      <c r="F819" s="4"/>
      <c r="G819" s="4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35"/>
      <c r="S819" s="12"/>
      <c r="T819" s="12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>
      <c r="A820" s="4"/>
      <c r="B820" s="4"/>
      <c r="C820" s="4"/>
      <c r="D820" s="4"/>
      <c r="E820" s="4"/>
      <c r="F820" s="4"/>
      <c r="G820" s="4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35"/>
      <c r="S820" s="12"/>
      <c r="T820" s="12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>
      <c r="A821" s="4"/>
      <c r="B821" s="4"/>
      <c r="C821" s="4"/>
      <c r="D821" s="4"/>
      <c r="E821" s="4"/>
      <c r="F821" s="4"/>
      <c r="G821" s="4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35"/>
      <c r="S821" s="12"/>
      <c r="T821" s="12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>
      <c r="A822" s="4"/>
      <c r="B822" s="4"/>
      <c r="C822" s="4"/>
      <c r="D822" s="4"/>
      <c r="E822" s="4"/>
      <c r="F822" s="4"/>
      <c r="G822" s="4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35"/>
      <c r="S822" s="12"/>
      <c r="T822" s="12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>
      <c r="A823" s="4"/>
      <c r="B823" s="4"/>
      <c r="C823" s="4"/>
      <c r="D823" s="4"/>
      <c r="E823" s="4"/>
      <c r="F823" s="4"/>
      <c r="G823" s="4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35"/>
      <c r="S823" s="12"/>
      <c r="T823" s="12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>
      <c r="A824" s="4"/>
      <c r="B824" s="4"/>
      <c r="C824" s="4"/>
      <c r="D824" s="4"/>
      <c r="E824" s="4"/>
      <c r="F824" s="4"/>
      <c r="G824" s="4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35"/>
      <c r="S824" s="12"/>
      <c r="T824" s="12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>
      <c r="A825" s="4"/>
      <c r="B825" s="4"/>
      <c r="C825" s="4"/>
      <c r="D825" s="4"/>
      <c r="E825" s="4"/>
      <c r="F825" s="4"/>
      <c r="G825" s="4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35"/>
      <c r="S825" s="12"/>
      <c r="T825" s="12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>
      <c r="A826" s="4"/>
      <c r="B826" s="4"/>
      <c r="C826" s="4"/>
      <c r="D826" s="4"/>
      <c r="E826" s="4"/>
      <c r="F826" s="4"/>
      <c r="G826" s="4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35"/>
      <c r="S826" s="12"/>
      <c r="T826" s="12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>
      <c r="A827" s="4"/>
      <c r="B827" s="4"/>
      <c r="C827" s="4"/>
      <c r="D827" s="4"/>
      <c r="E827" s="4"/>
      <c r="F827" s="4"/>
      <c r="G827" s="4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35"/>
      <c r="S827" s="12"/>
      <c r="T827" s="12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>
      <c r="A828" s="4"/>
      <c r="B828" s="4"/>
      <c r="C828" s="4"/>
      <c r="D828" s="4"/>
      <c r="E828" s="4"/>
      <c r="F828" s="4"/>
      <c r="G828" s="4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35"/>
      <c r="S828" s="12"/>
      <c r="T828" s="12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>
      <c r="A829" s="4"/>
      <c r="B829" s="4"/>
      <c r="C829" s="4"/>
      <c r="D829" s="4"/>
      <c r="E829" s="4"/>
      <c r="F829" s="4"/>
      <c r="G829" s="4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35"/>
      <c r="S829" s="12"/>
      <c r="T829" s="12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>
      <c r="A830" s="4"/>
      <c r="B830" s="4"/>
      <c r="C830" s="4"/>
      <c r="D830" s="4"/>
      <c r="E830" s="4"/>
      <c r="F830" s="4"/>
      <c r="G830" s="4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35"/>
      <c r="S830" s="12"/>
      <c r="T830" s="12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>
      <c r="A831" s="4"/>
      <c r="B831" s="4"/>
      <c r="C831" s="4"/>
      <c r="D831" s="4"/>
      <c r="E831" s="4"/>
      <c r="F831" s="4"/>
      <c r="G831" s="4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35"/>
      <c r="S831" s="12"/>
      <c r="T831" s="12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>
      <c r="A832" s="4"/>
      <c r="B832" s="4"/>
      <c r="C832" s="4"/>
      <c r="D832" s="4"/>
      <c r="E832" s="4"/>
      <c r="F832" s="4"/>
      <c r="G832" s="4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35"/>
      <c r="S832" s="12"/>
      <c r="T832" s="12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>
      <c r="A833" s="4"/>
      <c r="B833" s="4"/>
      <c r="C833" s="4"/>
      <c r="D833" s="4"/>
      <c r="E833" s="4"/>
      <c r="F833" s="4"/>
      <c r="G833" s="4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35"/>
      <c r="S833" s="12"/>
      <c r="T833" s="12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>
      <c r="A834" s="4"/>
      <c r="B834" s="4"/>
      <c r="C834" s="4"/>
      <c r="D834" s="4"/>
      <c r="E834" s="4"/>
      <c r="F834" s="4"/>
      <c r="G834" s="4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35"/>
      <c r="S834" s="12"/>
      <c r="T834" s="12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>
      <c r="A835" s="4"/>
      <c r="B835" s="4"/>
      <c r="C835" s="4"/>
      <c r="D835" s="4"/>
      <c r="E835" s="4"/>
      <c r="F835" s="4"/>
      <c r="G835" s="4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35"/>
      <c r="S835" s="12"/>
      <c r="T835" s="12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>
      <c r="A836" s="4"/>
      <c r="B836" s="4"/>
      <c r="C836" s="4"/>
      <c r="D836" s="4"/>
      <c r="E836" s="4"/>
      <c r="F836" s="4"/>
      <c r="G836" s="4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35"/>
      <c r="S836" s="12"/>
      <c r="T836" s="12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>
      <c r="A837" s="4"/>
      <c r="B837" s="4"/>
      <c r="C837" s="4"/>
      <c r="D837" s="4"/>
      <c r="E837" s="4"/>
      <c r="F837" s="4"/>
      <c r="G837" s="4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35"/>
      <c r="S837" s="12"/>
      <c r="T837" s="12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>
      <c r="A838" s="4"/>
      <c r="B838" s="4"/>
      <c r="C838" s="4"/>
      <c r="D838" s="4"/>
      <c r="E838" s="4"/>
      <c r="F838" s="4"/>
      <c r="G838" s="4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35"/>
      <c r="S838" s="12"/>
      <c r="T838" s="12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>
      <c r="A839" s="4"/>
      <c r="B839" s="4"/>
      <c r="C839" s="4"/>
      <c r="D839" s="4"/>
      <c r="E839" s="4"/>
      <c r="F839" s="4"/>
      <c r="G839" s="4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35"/>
      <c r="S839" s="12"/>
      <c r="T839" s="12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>
      <c r="A840" s="4"/>
      <c r="B840" s="4"/>
      <c r="C840" s="4"/>
      <c r="D840" s="4"/>
      <c r="E840" s="4"/>
      <c r="F840" s="4"/>
      <c r="G840" s="4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35"/>
      <c r="S840" s="12"/>
      <c r="T840" s="12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>
      <c r="A841" s="4"/>
      <c r="B841" s="4"/>
      <c r="C841" s="4"/>
      <c r="D841" s="4"/>
      <c r="E841" s="4"/>
      <c r="F841" s="4"/>
      <c r="G841" s="4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35"/>
      <c r="S841" s="12"/>
      <c r="T841" s="12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>
      <c r="A842" s="4"/>
      <c r="B842" s="4"/>
      <c r="C842" s="4"/>
      <c r="D842" s="4"/>
      <c r="E842" s="4"/>
      <c r="F842" s="4"/>
      <c r="G842" s="4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35"/>
      <c r="S842" s="12"/>
      <c r="T842" s="12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>
      <c r="A843" s="4"/>
      <c r="B843" s="4"/>
      <c r="C843" s="4"/>
      <c r="D843" s="4"/>
      <c r="E843" s="4"/>
      <c r="F843" s="4"/>
      <c r="G843" s="4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35"/>
      <c r="S843" s="12"/>
      <c r="T843" s="12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>
      <c r="A844" s="4"/>
      <c r="B844" s="4"/>
      <c r="C844" s="4"/>
      <c r="D844" s="4"/>
      <c r="E844" s="4"/>
      <c r="F844" s="4"/>
      <c r="G844" s="4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35"/>
      <c r="S844" s="12"/>
      <c r="T844" s="12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>
      <c r="A845" s="4"/>
      <c r="B845" s="4"/>
      <c r="C845" s="4"/>
      <c r="D845" s="4"/>
      <c r="E845" s="4"/>
      <c r="F845" s="4"/>
      <c r="G845" s="4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35"/>
      <c r="S845" s="12"/>
      <c r="T845" s="12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>
      <c r="A846" s="4"/>
      <c r="B846" s="4"/>
      <c r="C846" s="4"/>
      <c r="D846" s="4"/>
      <c r="E846" s="4"/>
      <c r="F846" s="4"/>
      <c r="G846" s="4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35"/>
      <c r="S846" s="12"/>
      <c r="T846" s="12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>
      <c r="A847" s="4"/>
      <c r="B847" s="4"/>
      <c r="C847" s="4"/>
      <c r="D847" s="4"/>
      <c r="E847" s="4"/>
      <c r="F847" s="4"/>
      <c r="G847" s="4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35"/>
      <c r="S847" s="12"/>
      <c r="T847" s="12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>
      <c r="A848" s="4"/>
      <c r="B848" s="4"/>
      <c r="C848" s="4"/>
      <c r="D848" s="4"/>
      <c r="E848" s="4"/>
      <c r="F848" s="4"/>
      <c r="G848" s="4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35"/>
      <c r="S848" s="12"/>
      <c r="T848" s="12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>
      <c r="A849" s="4"/>
      <c r="B849" s="4"/>
      <c r="C849" s="4"/>
      <c r="D849" s="4"/>
      <c r="E849" s="4"/>
      <c r="F849" s="4"/>
      <c r="G849" s="4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35"/>
      <c r="S849" s="12"/>
      <c r="T849" s="12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>
      <c r="A850" s="4"/>
      <c r="B850" s="4"/>
      <c r="C850" s="4"/>
      <c r="D850" s="4"/>
      <c r="E850" s="4"/>
      <c r="F850" s="4"/>
      <c r="G850" s="4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35"/>
      <c r="S850" s="12"/>
      <c r="T850" s="12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>
      <c r="A851" s="4"/>
      <c r="B851" s="4"/>
      <c r="C851" s="4"/>
      <c r="D851" s="4"/>
      <c r="E851" s="4"/>
      <c r="F851" s="4"/>
      <c r="G851" s="4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35"/>
      <c r="S851" s="12"/>
      <c r="T851" s="12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>
      <c r="A852" s="4"/>
      <c r="B852" s="4"/>
      <c r="C852" s="4"/>
      <c r="D852" s="4"/>
      <c r="E852" s="4"/>
      <c r="F852" s="4"/>
      <c r="G852" s="4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35"/>
      <c r="S852" s="12"/>
      <c r="T852" s="12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>
      <c r="A853" s="4"/>
      <c r="B853" s="4"/>
      <c r="C853" s="4"/>
      <c r="D853" s="4"/>
      <c r="E853" s="4"/>
      <c r="F853" s="4"/>
      <c r="G853" s="4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35"/>
      <c r="S853" s="12"/>
      <c r="T853" s="12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>
      <c r="A854" s="4"/>
      <c r="B854" s="4"/>
      <c r="C854" s="4"/>
      <c r="D854" s="4"/>
      <c r="E854" s="4"/>
      <c r="F854" s="4"/>
      <c r="G854" s="4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35"/>
      <c r="S854" s="12"/>
      <c r="T854" s="12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>
      <c r="A855" s="4"/>
      <c r="B855" s="4"/>
      <c r="C855" s="4"/>
      <c r="D855" s="4"/>
      <c r="E855" s="4"/>
      <c r="F855" s="4"/>
      <c r="G855" s="4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35"/>
      <c r="S855" s="12"/>
      <c r="T855" s="12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>
      <c r="A856" s="4"/>
      <c r="B856" s="4"/>
      <c r="C856" s="4"/>
      <c r="D856" s="4"/>
      <c r="E856" s="4"/>
      <c r="F856" s="4"/>
      <c r="G856" s="4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35"/>
      <c r="S856" s="12"/>
      <c r="T856" s="12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>
      <c r="A857" s="4"/>
      <c r="B857" s="4"/>
      <c r="C857" s="4"/>
      <c r="D857" s="4"/>
      <c r="E857" s="4"/>
      <c r="F857" s="4"/>
      <c r="G857" s="4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35"/>
      <c r="S857" s="12"/>
      <c r="T857" s="12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>
      <c r="A858" s="4"/>
      <c r="B858" s="4"/>
      <c r="C858" s="4"/>
      <c r="D858" s="4"/>
      <c r="E858" s="4"/>
      <c r="F858" s="4"/>
      <c r="G858" s="4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35"/>
      <c r="S858" s="12"/>
      <c r="T858" s="12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>
      <c r="A859" s="4"/>
      <c r="B859" s="4"/>
      <c r="C859" s="4"/>
      <c r="D859" s="4"/>
      <c r="E859" s="4"/>
      <c r="F859" s="4"/>
      <c r="G859" s="4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35"/>
      <c r="S859" s="12"/>
      <c r="T859" s="12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>
      <c r="A860" s="4"/>
      <c r="B860" s="4"/>
      <c r="C860" s="4"/>
      <c r="D860" s="4"/>
      <c r="E860" s="4"/>
      <c r="F860" s="4"/>
      <c r="G860" s="4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35"/>
      <c r="S860" s="12"/>
      <c r="T860" s="12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>
      <c r="A861" s="4"/>
      <c r="B861" s="4"/>
      <c r="C861" s="4"/>
      <c r="D861" s="4"/>
      <c r="E861" s="4"/>
      <c r="F861" s="4"/>
      <c r="G861" s="4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35"/>
      <c r="S861" s="12"/>
      <c r="T861" s="12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>
      <c r="A862" s="4"/>
      <c r="B862" s="4"/>
      <c r="C862" s="4"/>
      <c r="D862" s="4"/>
      <c r="E862" s="4"/>
      <c r="F862" s="4"/>
      <c r="G862" s="4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35"/>
      <c r="S862" s="12"/>
      <c r="T862" s="12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>
      <c r="A863" s="4"/>
      <c r="B863" s="4"/>
      <c r="C863" s="4"/>
      <c r="D863" s="4"/>
      <c r="E863" s="4"/>
      <c r="F863" s="4"/>
      <c r="G863" s="4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35"/>
      <c r="S863" s="12"/>
      <c r="T863" s="12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>
      <c r="A864" s="4"/>
      <c r="B864" s="4"/>
      <c r="C864" s="4"/>
      <c r="D864" s="4"/>
      <c r="E864" s="4"/>
      <c r="F864" s="4"/>
      <c r="G864" s="4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35"/>
      <c r="S864" s="12"/>
      <c r="T864" s="12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>
      <c r="A865" s="4"/>
      <c r="B865" s="4"/>
      <c r="C865" s="4"/>
      <c r="D865" s="4"/>
      <c r="E865" s="4"/>
      <c r="F865" s="4"/>
      <c r="G865" s="4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35"/>
      <c r="S865" s="12"/>
      <c r="T865" s="12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>
      <c r="A866" s="4"/>
      <c r="B866" s="4"/>
      <c r="C866" s="4"/>
      <c r="D866" s="4"/>
      <c r="E866" s="4"/>
      <c r="F866" s="4"/>
      <c r="G866" s="4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35"/>
      <c r="S866" s="12"/>
      <c r="T866" s="12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>
      <c r="A867" s="4"/>
      <c r="B867" s="4"/>
      <c r="C867" s="4"/>
      <c r="D867" s="4"/>
      <c r="E867" s="4"/>
      <c r="F867" s="4"/>
      <c r="G867" s="4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35"/>
      <c r="S867" s="12"/>
      <c r="T867" s="12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>
      <c r="A868" s="4"/>
      <c r="B868" s="4"/>
      <c r="C868" s="4"/>
      <c r="D868" s="4"/>
      <c r="E868" s="4"/>
      <c r="F868" s="4"/>
      <c r="G868" s="4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35"/>
      <c r="S868" s="12"/>
      <c r="T868" s="12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>
      <c r="A869" s="4"/>
      <c r="B869" s="4"/>
      <c r="C869" s="4"/>
      <c r="D869" s="4"/>
      <c r="E869" s="4"/>
      <c r="F869" s="4"/>
      <c r="G869" s="4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35"/>
      <c r="S869" s="12"/>
      <c r="T869" s="12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>
      <c r="A870" s="4"/>
      <c r="B870" s="4"/>
      <c r="C870" s="4"/>
      <c r="D870" s="4"/>
      <c r="E870" s="4"/>
      <c r="F870" s="4"/>
      <c r="G870" s="4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35"/>
      <c r="S870" s="12"/>
      <c r="T870" s="12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>
      <c r="A871" s="4"/>
      <c r="B871" s="4"/>
      <c r="C871" s="4"/>
      <c r="D871" s="4"/>
      <c r="E871" s="4"/>
      <c r="F871" s="4"/>
      <c r="G871" s="4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35"/>
      <c r="S871" s="12"/>
      <c r="T871" s="12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>
      <c r="A872" s="4"/>
      <c r="B872" s="4"/>
      <c r="C872" s="4"/>
      <c r="D872" s="4"/>
      <c r="E872" s="4"/>
      <c r="F872" s="4"/>
      <c r="G872" s="4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35"/>
      <c r="S872" s="12"/>
      <c r="T872" s="12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>
      <c r="A873" s="4"/>
      <c r="B873" s="4"/>
      <c r="C873" s="4"/>
      <c r="D873" s="4"/>
      <c r="E873" s="4"/>
      <c r="F873" s="4"/>
      <c r="G873" s="4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35"/>
      <c r="S873" s="12"/>
      <c r="T873" s="12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>
      <c r="A874" s="4"/>
      <c r="B874" s="4"/>
      <c r="C874" s="4"/>
      <c r="D874" s="4"/>
      <c r="E874" s="4"/>
      <c r="F874" s="4"/>
      <c r="G874" s="4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35"/>
      <c r="S874" s="12"/>
      <c r="T874" s="12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>
      <c r="A875" s="4"/>
      <c r="B875" s="4"/>
      <c r="C875" s="4"/>
      <c r="D875" s="4"/>
      <c r="E875" s="4"/>
      <c r="F875" s="4"/>
      <c r="G875" s="4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35"/>
      <c r="S875" s="12"/>
      <c r="T875" s="12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>
      <c r="A876" s="4"/>
      <c r="B876" s="4"/>
      <c r="C876" s="4"/>
      <c r="D876" s="4"/>
      <c r="E876" s="4"/>
      <c r="F876" s="4"/>
      <c r="G876" s="4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35"/>
      <c r="S876" s="12"/>
      <c r="T876" s="12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>
      <c r="A877" s="4"/>
      <c r="B877" s="4"/>
      <c r="C877" s="4"/>
      <c r="D877" s="4"/>
      <c r="E877" s="4"/>
      <c r="F877" s="4"/>
      <c r="G877" s="4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35"/>
      <c r="S877" s="12"/>
      <c r="T877" s="12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>
      <c r="A878" s="4"/>
      <c r="B878" s="4"/>
      <c r="C878" s="4"/>
      <c r="D878" s="4"/>
      <c r="E878" s="4"/>
      <c r="F878" s="4"/>
      <c r="G878" s="4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35"/>
      <c r="S878" s="12"/>
      <c r="T878" s="12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>
      <c r="A879" s="4"/>
      <c r="B879" s="4"/>
      <c r="C879" s="4"/>
      <c r="D879" s="4"/>
      <c r="E879" s="4"/>
      <c r="F879" s="4"/>
      <c r="G879" s="4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35"/>
      <c r="S879" s="12"/>
      <c r="T879" s="12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>
      <c r="A880" s="4"/>
      <c r="B880" s="4"/>
      <c r="C880" s="4"/>
      <c r="D880" s="4"/>
      <c r="E880" s="4"/>
      <c r="F880" s="4"/>
      <c r="G880" s="4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35"/>
      <c r="S880" s="12"/>
      <c r="T880" s="12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>
      <c r="A881" s="4"/>
      <c r="B881" s="4"/>
      <c r="C881" s="4"/>
      <c r="D881" s="4"/>
      <c r="E881" s="4"/>
      <c r="F881" s="4"/>
      <c r="G881" s="4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35"/>
      <c r="S881" s="12"/>
      <c r="T881" s="12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>
      <c r="A882" s="4"/>
      <c r="B882" s="4"/>
      <c r="C882" s="4"/>
      <c r="D882" s="4"/>
      <c r="E882" s="4"/>
      <c r="F882" s="4"/>
      <c r="G882" s="4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35"/>
      <c r="S882" s="12"/>
      <c r="T882" s="12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>
      <c r="A883" s="4"/>
      <c r="B883" s="4"/>
      <c r="C883" s="4"/>
      <c r="D883" s="4"/>
      <c r="E883" s="4"/>
      <c r="F883" s="4"/>
      <c r="G883" s="4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35"/>
      <c r="S883" s="12"/>
      <c r="T883" s="12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>
      <c r="A884" s="4"/>
      <c r="B884" s="4"/>
      <c r="C884" s="4"/>
      <c r="D884" s="4"/>
      <c r="E884" s="4"/>
      <c r="F884" s="4"/>
      <c r="G884" s="4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35"/>
      <c r="S884" s="12"/>
      <c r="T884" s="12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>
      <c r="A885" s="4"/>
      <c r="B885" s="4"/>
      <c r="C885" s="4"/>
      <c r="D885" s="4"/>
      <c r="E885" s="4"/>
      <c r="F885" s="4"/>
      <c r="G885" s="4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35"/>
      <c r="S885" s="12"/>
      <c r="T885" s="12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>
      <c r="A886" s="4"/>
      <c r="B886" s="4"/>
      <c r="C886" s="4"/>
      <c r="D886" s="4"/>
      <c r="E886" s="4"/>
      <c r="F886" s="4"/>
      <c r="G886" s="4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35"/>
      <c r="S886" s="12"/>
      <c r="T886" s="12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>
      <c r="A887" s="4"/>
      <c r="B887" s="4"/>
      <c r="C887" s="4"/>
      <c r="D887" s="4"/>
      <c r="E887" s="4"/>
      <c r="F887" s="4"/>
      <c r="G887" s="4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35"/>
      <c r="S887" s="12"/>
      <c r="T887" s="12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>
      <c r="A888" s="4"/>
      <c r="B888" s="4"/>
      <c r="C888" s="4"/>
      <c r="D888" s="4"/>
      <c r="E888" s="4"/>
      <c r="F888" s="4"/>
      <c r="G888" s="4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35"/>
      <c r="S888" s="12"/>
      <c r="T888" s="12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>
      <c r="A889" s="4"/>
      <c r="B889" s="4"/>
      <c r="C889" s="4"/>
      <c r="D889" s="4"/>
      <c r="E889" s="4"/>
      <c r="F889" s="4"/>
      <c r="G889" s="4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35"/>
      <c r="S889" s="12"/>
      <c r="T889" s="12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>
      <c r="A890" s="4"/>
      <c r="B890" s="4"/>
      <c r="C890" s="4"/>
      <c r="D890" s="4"/>
      <c r="E890" s="4"/>
      <c r="F890" s="4"/>
      <c r="G890" s="4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35"/>
      <c r="S890" s="12"/>
      <c r="T890" s="12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>
      <c r="A891" s="4"/>
      <c r="B891" s="4"/>
      <c r="C891" s="4"/>
      <c r="D891" s="4"/>
      <c r="E891" s="4"/>
      <c r="F891" s="4"/>
      <c r="G891" s="4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35"/>
      <c r="S891" s="12"/>
      <c r="T891" s="12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>
      <c r="A892" s="4"/>
      <c r="B892" s="4"/>
      <c r="C892" s="4"/>
      <c r="D892" s="4"/>
      <c r="E892" s="4"/>
      <c r="F892" s="4"/>
      <c r="G892" s="4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35"/>
      <c r="S892" s="12"/>
      <c r="T892" s="12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>
      <c r="A893" s="4"/>
      <c r="B893" s="4"/>
      <c r="C893" s="4"/>
      <c r="D893" s="4"/>
      <c r="E893" s="4"/>
      <c r="F893" s="4"/>
      <c r="G893" s="4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35"/>
      <c r="S893" s="12"/>
      <c r="T893" s="12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>
      <c r="A894" s="4"/>
      <c r="B894" s="4"/>
      <c r="C894" s="4"/>
      <c r="D894" s="4"/>
      <c r="E894" s="4"/>
      <c r="F894" s="4"/>
      <c r="G894" s="4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35"/>
      <c r="S894" s="12"/>
      <c r="T894" s="12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>
      <c r="A895" s="4"/>
      <c r="B895" s="4"/>
      <c r="C895" s="4"/>
      <c r="D895" s="4"/>
      <c r="E895" s="4"/>
      <c r="F895" s="4"/>
      <c r="G895" s="4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35"/>
      <c r="S895" s="12"/>
      <c r="T895" s="12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>
      <c r="A896" s="4"/>
      <c r="B896" s="4"/>
      <c r="C896" s="4"/>
      <c r="D896" s="4"/>
      <c r="E896" s="4"/>
      <c r="F896" s="4"/>
      <c r="G896" s="4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35"/>
      <c r="S896" s="12"/>
      <c r="T896" s="12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>
      <c r="A897" s="4"/>
      <c r="B897" s="4"/>
      <c r="C897" s="4"/>
      <c r="D897" s="4"/>
      <c r="E897" s="4"/>
      <c r="F897" s="4"/>
      <c r="G897" s="4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35"/>
      <c r="S897" s="12"/>
      <c r="T897" s="12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>
      <c r="A898" s="4"/>
      <c r="B898" s="4"/>
      <c r="C898" s="4"/>
      <c r="D898" s="4"/>
      <c r="E898" s="4"/>
      <c r="F898" s="4"/>
      <c r="G898" s="4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35"/>
      <c r="S898" s="12"/>
      <c r="T898" s="12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>
      <c r="A899" s="4"/>
      <c r="B899" s="4"/>
      <c r="C899" s="4"/>
      <c r="D899" s="4"/>
      <c r="E899" s="4"/>
      <c r="F899" s="4"/>
      <c r="G899" s="4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35"/>
      <c r="S899" s="12"/>
      <c r="T899" s="12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>
      <c r="A900" s="4"/>
      <c r="B900" s="4"/>
      <c r="C900" s="4"/>
      <c r="D900" s="4"/>
      <c r="E900" s="4"/>
      <c r="F900" s="4"/>
      <c r="G900" s="4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35"/>
      <c r="S900" s="12"/>
      <c r="T900" s="12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>
      <c r="A901" s="4"/>
      <c r="B901" s="4"/>
      <c r="C901" s="4"/>
      <c r="D901" s="4"/>
      <c r="E901" s="4"/>
      <c r="F901" s="4"/>
      <c r="G901" s="4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35"/>
      <c r="S901" s="12"/>
      <c r="T901" s="12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>
      <c r="A902" s="4"/>
      <c r="B902" s="4"/>
      <c r="C902" s="4"/>
      <c r="D902" s="4"/>
      <c r="E902" s="4"/>
      <c r="F902" s="4"/>
      <c r="G902" s="4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35"/>
      <c r="S902" s="12"/>
      <c r="T902" s="12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>
      <c r="A903" s="4"/>
      <c r="B903" s="4"/>
      <c r="C903" s="4"/>
      <c r="D903" s="4"/>
      <c r="E903" s="4"/>
      <c r="F903" s="4"/>
      <c r="G903" s="4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35"/>
      <c r="S903" s="12"/>
      <c r="T903" s="12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>
      <c r="A904" s="4"/>
      <c r="B904" s="4"/>
      <c r="C904" s="4"/>
      <c r="D904" s="4"/>
      <c r="E904" s="4"/>
      <c r="F904" s="4"/>
      <c r="G904" s="4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35"/>
      <c r="S904" s="12"/>
      <c r="T904" s="12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>
      <c r="A905" s="4"/>
      <c r="B905" s="4"/>
      <c r="C905" s="4"/>
      <c r="D905" s="4"/>
      <c r="E905" s="4"/>
      <c r="F905" s="4"/>
      <c r="G905" s="4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35"/>
      <c r="S905" s="12"/>
      <c r="T905" s="12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>
      <c r="A906" s="4"/>
      <c r="B906" s="4"/>
      <c r="C906" s="4"/>
      <c r="D906" s="4"/>
      <c r="E906" s="4"/>
      <c r="F906" s="4"/>
      <c r="G906" s="4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35"/>
      <c r="S906" s="12"/>
      <c r="T906" s="12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>
      <c r="A907" s="4"/>
      <c r="B907" s="4"/>
      <c r="C907" s="4"/>
      <c r="D907" s="4"/>
      <c r="E907" s="4"/>
      <c r="F907" s="4"/>
      <c r="G907" s="4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35"/>
      <c r="S907" s="12"/>
      <c r="T907" s="12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>
      <c r="A908" s="4"/>
      <c r="B908" s="4"/>
      <c r="C908" s="4"/>
      <c r="D908" s="4"/>
      <c r="E908" s="4"/>
      <c r="F908" s="4"/>
      <c r="G908" s="4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35"/>
      <c r="S908" s="12"/>
      <c r="T908" s="12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>
      <c r="A909" s="4"/>
      <c r="B909" s="4"/>
      <c r="C909" s="4"/>
      <c r="D909" s="4"/>
      <c r="E909" s="4"/>
      <c r="F909" s="4"/>
      <c r="G909" s="4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35"/>
      <c r="S909" s="12"/>
      <c r="T909" s="12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>
      <c r="A910" s="4"/>
      <c r="B910" s="4"/>
      <c r="C910" s="4"/>
      <c r="D910" s="4"/>
      <c r="E910" s="4"/>
      <c r="F910" s="4"/>
      <c r="G910" s="4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35"/>
      <c r="S910" s="12"/>
      <c r="T910" s="12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>
      <c r="A911" s="4"/>
      <c r="B911" s="4"/>
      <c r="C911" s="4"/>
      <c r="D911" s="4"/>
      <c r="E911" s="4"/>
      <c r="F911" s="4"/>
      <c r="G911" s="4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35"/>
      <c r="S911" s="12"/>
      <c r="T911" s="12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>
      <c r="A912" s="4"/>
      <c r="B912" s="4"/>
      <c r="C912" s="4"/>
      <c r="D912" s="4"/>
      <c r="E912" s="4"/>
      <c r="F912" s="4"/>
      <c r="G912" s="4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35"/>
      <c r="S912" s="12"/>
      <c r="T912" s="12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>
      <c r="A913" s="4"/>
      <c r="B913" s="4"/>
      <c r="C913" s="4"/>
      <c r="D913" s="4"/>
      <c r="E913" s="4"/>
      <c r="F913" s="4"/>
      <c r="G913" s="4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35"/>
      <c r="S913" s="12"/>
      <c r="T913" s="12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>
      <c r="A914" s="4"/>
      <c r="B914" s="4"/>
      <c r="C914" s="4"/>
      <c r="D914" s="4"/>
      <c r="E914" s="4"/>
      <c r="F914" s="4"/>
      <c r="G914" s="4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35"/>
      <c r="S914" s="12"/>
      <c r="T914" s="12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>
      <c r="A915" s="4"/>
      <c r="B915" s="4"/>
      <c r="C915" s="4"/>
      <c r="D915" s="4"/>
      <c r="E915" s="4"/>
      <c r="F915" s="4"/>
      <c r="G915" s="4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35"/>
      <c r="S915" s="12"/>
      <c r="T915" s="12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>
      <c r="A916" s="4"/>
      <c r="B916" s="4"/>
      <c r="C916" s="4"/>
      <c r="D916" s="4"/>
      <c r="E916" s="4"/>
      <c r="F916" s="4"/>
      <c r="G916" s="4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35"/>
      <c r="S916" s="12"/>
      <c r="T916" s="12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>
      <c r="A917" s="4"/>
      <c r="B917" s="4"/>
      <c r="C917" s="4"/>
      <c r="D917" s="4"/>
      <c r="E917" s="4"/>
      <c r="F917" s="4"/>
      <c r="G917" s="4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35"/>
      <c r="S917" s="12"/>
      <c r="T917" s="12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>
      <c r="A918" s="4"/>
      <c r="B918" s="4"/>
      <c r="C918" s="4"/>
      <c r="D918" s="4"/>
      <c r="E918" s="4"/>
      <c r="F918" s="4"/>
      <c r="G918" s="4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35"/>
      <c r="S918" s="12"/>
      <c r="T918" s="12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>
      <c r="A919" s="4"/>
      <c r="B919" s="4"/>
      <c r="C919" s="4"/>
      <c r="D919" s="4"/>
      <c r="E919" s="4"/>
      <c r="F919" s="4"/>
      <c r="G919" s="4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35"/>
      <c r="S919" s="12"/>
      <c r="T919" s="12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>
      <c r="A920" s="4"/>
      <c r="B920" s="4"/>
      <c r="C920" s="4"/>
      <c r="D920" s="4"/>
      <c r="E920" s="4"/>
      <c r="F920" s="4"/>
      <c r="G920" s="4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35"/>
      <c r="S920" s="12"/>
      <c r="T920" s="12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>
      <c r="A921" s="4"/>
      <c r="B921" s="4"/>
      <c r="C921" s="4"/>
      <c r="D921" s="4"/>
      <c r="E921" s="4"/>
      <c r="F921" s="4"/>
      <c r="G921" s="4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35"/>
      <c r="S921" s="12"/>
      <c r="T921" s="12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>
      <c r="A922" s="4"/>
      <c r="B922" s="4"/>
      <c r="C922" s="4"/>
      <c r="D922" s="4"/>
      <c r="E922" s="4"/>
      <c r="F922" s="4"/>
      <c r="G922" s="4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35"/>
      <c r="S922" s="12"/>
      <c r="T922" s="12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>
      <c r="A923" s="4"/>
      <c r="B923" s="4"/>
      <c r="C923" s="4"/>
      <c r="D923" s="4"/>
      <c r="E923" s="4"/>
      <c r="F923" s="4"/>
      <c r="G923" s="4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35"/>
      <c r="S923" s="12"/>
      <c r="T923" s="12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>
      <c r="A924" s="4"/>
      <c r="B924" s="4"/>
      <c r="C924" s="4"/>
      <c r="D924" s="4"/>
      <c r="E924" s="4"/>
      <c r="F924" s="4"/>
      <c r="G924" s="4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35"/>
      <c r="S924" s="12"/>
      <c r="T924" s="12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>
      <c r="A925" s="4"/>
      <c r="B925" s="4"/>
      <c r="C925" s="4"/>
      <c r="D925" s="4"/>
      <c r="E925" s="4"/>
      <c r="F925" s="4"/>
      <c r="G925" s="4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35"/>
      <c r="S925" s="12"/>
      <c r="T925" s="12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>
      <c r="A926" s="4"/>
      <c r="B926" s="4"/>
      <c r="C926" s="4"/>
      <c r="D926" s="4"/>
      <c r="E926" s="4"/>
      <c r="F926" s="4"/>
      <c r="G926" s="4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35"/>
      <c r="S926" s="12"/>
      <c r="T926" s="12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>
      <c r="A927" s="4"/>
      <c r="B927" s="4"/>
      <c r="C927" s="4"/>
      <c r="D927" s="4"/>
      <c r="E927" s="4"/>
      <c r="F927" s="4"/>
      <c r="G927" s="4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35"/>
      <c r="S927" s="12"/>
      <c r="T927" s="12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>
      <c r="A928" s="4"/>
      <c r="B928" s="4"/>
      <c r="C928" s="4"/>
      <c r="D928" s="4"/>
      <c r="E928" s="4"/>
      <c r="F928" s="4"/>
      <c r="G928" s="4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35"/>
      <c r="S928" s="12"/>
      <c r="T928" s="12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>
      <c r="A929" s="4"/>
      <c r="B929" s="4"/>
      <c r="C929" s="4"/>
      <c r="D929" s="4"/>
      <c r="E929" s="4"/>
      <c r="F929" s="4"/>
      <c r="G929" s="4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35"/>
      <c r="S929" s="12"/>
      <c r="T929" s="12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>
      <c r="A930" s="4"/>
      <c r="B930" s="4"/>
      <c r="C930" s="4"/>
      <c r="D930" s="4"/>
      <c r="E930" s="4"/>
      <c r="F930" s="4"/>
      <c r="G930" s="4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35"/>
      <c r="S930" s="12"/>
      <c r="T930" s="12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>
      <c r="A931" s="4"/>
      <c r="B931" s="4"/>
      <c r="C931" s="4"/>
      <c r="D931" s="4"/>
      <c r="E931" s="4"/>
      <c r="F931" s="4"/>
      <c r="G931" s="4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35"/>
      <c r="S931" s="12"/>
      <c r="T931" s="12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>
      <c r="A932" s="4"/>
      <c r="B932" s="4"/>
      <c r="C932" s="4"/>
      <c r="D932" s="4"/>
      <c r="E932" s="4"/>
      <c r="F932" s="4"/>
      <c r="G932" s="4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35"/>
      <c r="S932" s="12"/>
      <c r="T932" s="12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>
      <c r="A933" s="4"/>
      <c r="B933" s="4"/>
      <c r="C933" s="4"/>
      <c r="D933" s="4"/>
      <c r="E933" s="4"/>
      <c r="F933" s="4"/>
      <c r="G933" s="4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35"/>
      <c r="S933" s="12"/>
      <c r="T933" s="12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>
      <c r="A934" s="4"/>
      <c r="B934" s="4"/>
      <c r="C934" s="4"/>
      <c r="D934" s="4"/>
      <c r="E934" s="4"/>
      <c r="F934" s="4"/>
      <c r="G934" s="4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35"/>
      <c r="S934" s="12"/>
      <c r="T934" s="12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>
      <c r="A935" s="4"/>
      <c r="B935" s="4"/>
      <c r="C935" s="4"/>
      <c r="D935" s="4"/>
      <c r="E935" s="4"/>
      <c r="F935" s="4"/>
      <c r="G935" s="4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35"/>
      <c r="S935" s="12"/>
      <c r="T935" s="12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>
      <c r="A936" s="4"/>
      <c r="B936" s="4"/>
      <c r="C936" s="4"/>
      <c r="D936" s="4"/>
      <c r="E936" s="4"/>
      <c r="F936" s="4"/>
      <c r="G936" s="4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35"/>
      <c r="S936" s="12"/>
      <c r="T936" s="12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>
      <c r="A937" s="4"/>
      <c r="B937" s="4"/>
      <c r="C937" s="4"/>
      <c r="D937" s="4"/>
      <c r="E937" s="4"/>
      <c r="F937" s="4"/>
      <c r="G937" s="4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35"/>
      <c r="S937" s="12"/>
      <c r="T937" s="12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>
      <c r="A938" s="4"/>
      <c r="B938" s="4"/>
      <c r="C938" s="4"/>
      <c r="D938" s="4"/>
      <c r="E938" s="4"/>
      <c r="F938" s="4"/>
      <c r="G938" s="4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35"/>
      <c r="S938" s="12"/>
      <c r="T938" s="12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>
      <c r="A939" s="4"/>
      <c r="B939" s="4"/>
      <c r="C939" s="4"/>
      <c r="D939" s="4"/>
      <c r="E939" s="4"/>
      <c r="F939" s="4"/>
      <c r="G939" s="4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35"/>
      <c r="S939" s="12"/>
      <c r="T939" s="12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>
      <c r="A940" s="4"/>
      <c r="B940" s="4"/>
      <c r="C940" s="4"/>
      <c r="D940" s="4"/>
      <c r="E940" s="4"/>
      <c r="F940" s="4"/>
      <c r="G940" s="4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35"/>
      <c r="S940" s="12"/>
      <c r="T940" s="12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>
      <c r="A941" s="4"/>
      <c r="B941" s="4"/>
      <c r="C941" s="4"/>
      <c r="D941" s="4"/>
      <c r="E941" s="4"/>
      <c r="F941" s="4"/>
      <c r="G941" s="4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35"/>
      <c r="S941" s="12"/>
      <c r="T941" s="12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>
      <c r="A942" s="4"/>
      <c r="B942" s="4"/>
      <c r="C942" s="4"/>
      <c r="D942" s="4"/>
      <c r="E942" s="4"/>
      <c r="F942" s="4"/>
      <c r="G942" s="4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35"/>
      <c r="S942" s="12"/>
      <c r="T942" s="12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>
      <c r="A943" s="4"/>
      <c r="B943" s="4"/>
      <c r="C943" s="4"/>
      <c r="D943" s="4"/>
      <c r="E943" s="4"/>
      <c r="F943" s="4"/>
      <c r="G943" s="4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35"/>
      <c r="S943" s="12"/>
      <c r="T943" s="12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>
      <c r="A944" s="4"/>
      <c r="B944" s="4"/>
      <c r="C944" s="4"/>
      <c r="D944" s="4"/>
      <c r="E944" s="4"/>
      <c r="F944" s="4"/>
      <c r="G944" s="4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35"/>
      <c r="S944" s="12"/>
      <c r="T944" s="12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>
      <c r="A945" s="4"/>
      <c r="B945" s="4"/>
      <c r="C945" s="4"/>
      <c r="D945" s="4"/>
      <c r="E945" s="4"/>
      <c r="F945" s="4"/>
      <c r="G945" s="4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35"/>
      <c r="S945" s="12"/>
      <c r="T945" s="12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>
      <c r="A946" s="4"/>
      <c r="B946" s="4"/>
      <c r="C946" s="4"/>
      <c r="D946" s="4"/>
      <c r="E946" s="4"/>
      <c r="F946" s="4"/>
      <c r="G946" s="4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35"/>
      <c r="S946" s="12"/>
      <c r="T946" s="12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>
      <c r="A947" s="4"/>
      <c r="B947" s="4"/>
      <c r="C947" s="4"/>
      <c r="D947" s="4"/>
      <c r="E947" s="4"/>
      <c r="F947" s="4"/>
      <c r="G947" s="4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35"/>
      <c r="S947" s="12"/>
      <c r="T947" s="12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>
      <c r="A948" s="4"/>
      <c r="B948" s="4"/>
      <c r="C948" s="4"/>
      <c r="D948" s="4"/>
      <c r="E948" s="4"/>
      <c r="F948" s="4"/>
      <c r="G948" s="4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35"/>
      <c r="S948" s="12"/>
      <c r="T948" s="12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>
      <c r="A949" s="4"/>
      <c r="B949" s="4"/>
      <c r="C949" s="4"/>
      <c r="D949" s="4"/>
      <c r="E949" s="4"/>
      <c r="F949" s="4"/>
      <c r="G949" s="4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35"/>
      <c r="S949" s="12"/>
      <c r="T949" s="12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>
      <c r="A950" s="4"/>
      <c r="B950" s="4"/>
      <c r="C950" s="4"/>
      <c r="D950" s="4"/>
      <c r="E950" s="4"/>
      <c r="F950" s="4"/>
      <c r="G950" s="4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35"/>
      <c r="S950" s="12"/>
      <c r="T950" s="12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>
      <c r="A951" s="4"/>
      <c r="B951" s="4"/>
      <c r="C951" s="4"/>
      <c r="D951" s="4"/>
      <c r="E951" s="4"/>
      <c r="F951" s="4"/>
      <c r="G951" s="4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35"/>
      <c r="S951" s="12"/>
      <c r="T951" s="12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>
      <c r="A952" s="4"/>
      <c r="B952" s="4"/>
      <c r="C952" s="4"/>
      <c r="D952" s="4"/>
      <c r="E952" s="4"/>
      <c r="F952" s="4"/>
      <c r="G952" s="4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35"/>
      <c r="S952" s="12"/>
      <c r="T952" s="12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>
      <c r="A953" s="4"/>
      <c r="B953" s="4"/>
      <c r="C953" s="4"/>
      <c r="D953" s="4"/>
      <c r="E953" s="4"/>
      <c r="F953" s="4"/>
      <c r="G953" s="4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35"/>
      <c r="S953" s="12"/>
      <c r="T953" s="12"/>
      <c r="U953" s="4"/>
      <c r="V953" s="4"/>
      <c r="W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>
      <c r="A954" s="4"/>
      <c r="B954" s="4"/>
      <c r="C954" s="4"/>
      <c r="D954" s="4"/>
      <c r="E954" s="4"/>
      <c r="F954" s="4"/>
      <c r="G954" s="4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35"/>
      <c r="S954" s="12"/>
      <c r="T954" s="12"/>
      <c r="U954" s="4"/>
      <c r="V954" s="4"/>
      <c r="W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</sheetData>
  <autoFilter ref="$A$1:$AA$80"/>
  <mergeCells count="5">
    <mergeCell ref="A9:C9"/>
    <mergeCell ref="A25:C25"/>
    <mergeCell ref="A34:C34"/>
    <mergeCell ref="A40:C40"/>
    <mergeCell ref="A59:C59"/>
  </mergeCells>
  <dataValidations>
    <dataValidation type="list" allowBlank="1" showErrorMessage="1" sqref="M2:M8 M10:M24 M26:M33 M35:M39 M41:M58 M60:M79">
      <formula1>"BAJAJ,FLASHAID,INSTALLMENT,UPFRONT"</formula1>
    </dataValidation>
    <dataValidation type="list" allowBlank="1" showErrorMessage="1" sqref="F5">
      <formula1>"Mech Combo,AutoCAD,CATIA,CREO,SOLIDWORKS,CIVIL ,Civil Combo,DA,P-FSD,J-FSD,DM,DS,DADS,ST,CYBER-S"</formula1>
    </dataValidation>
    <dataValidation type="list" allowBlank="1" showErrorMessage="1" sqref="P2:P8 P10:P24 P26:P33 P35:P39 P41:P58 P60:P79">
      <formula1>"GANDHIPURAM,Head Office"</formula1>
    </dataValidation>
    <dataValidation type="list" allowBlank="1" showErrorMessage="1" sqref="Q2:Q8 Q10:Q24 Q26:Q33 Q35:Q39 Q41:Q58 Q60:Q79">
      <formula1>"ONLINE,OFFLINE"</formula1>
    </dataValidation>
    <dataValidation type="list" allowBlank="1" showErrorMessage="1" sqref="V2:V8 V10:V24 V26:V33 V35:V39 V41:V58 V60:V79">
      <formula1>"Completed,On-Going,Dropped,Pending"</formula1>
    </dataValidation>
    <dataValidation type="list" allowBlank="1" showErrorMessage="1" sqref="F2:F4 F6:F8 F10:F24 F26:F33 F35:F39 F41:F58 F60:F79">
      <formula1>"Mech Combo,AutoCAD,CATIA,CREO,SOLIDWORKS,CIVIL ,DA,P-FSD,J-FSD,DM,DS,DADS,ST,CYBER-S,Scrum Master,AIML"</formula1>
    </dataValidation>
    <dataValidation type="list" allowBlank="1" showErrorMessage="1" sqref="G2:G8 G10:G24 G26:G33 G35:G39 G41:G58 G60:G79">
      <formula1>"Enrolled_Registered,Enrolled_EMI,Enrolled_Installment,Enrolled_Fully Paid"</formula1>
    </dataValidation>
    <dataValidation type="list" allowBlank="1" showErrorMessage="1" sqref="A2:A8 A10:A24 A26:A33 A35:A39 A41:A58 A60:A79">
      <formula1>"Sasi,Brindha,Dustin,Lakshmanan,Nithish,Jayashree"</formula1>
    </dataValidation>
    <dataValidation type="list" allowBlank="1" showErrorMessage="1" sqref="S2:S8 S10:S24 S26:S33 S35:S39 S41:S58 S60:S79">
      <formula1>"SASI,BRINDHA,SHAMILI,KARTHIK,ELAVARASAN,Monica,DUSTIN"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8.88"/>
    <col customWidth="1" min="3" max="3" width="16.25"/>
    <col customWidth="1" min="4" max="4" width="15.38"/>
    <col customWidth="1" min="5" max="5" width="14.75"/>
    <col customWidth="1" min="6" max="6" width="11.0"/>
    <col customWidth="1" min="7" max="7" width="2.75"/>
    <col customWidth="1" min="9" max="9" width="24.13"/>
    <col customWidth="1" min="10" max="10" width="2.5"/>
    <col customWidth="1" min="11" max="11" width="2.63"/>
    <col customWidth="1" min="12" max="13" width="2.5"/>
    <col customWidth="1" min="14" max="14" width="2.75"/>
    <col customWidth="1" min="15" max="15" width="2.63"/>
    <col customWidth="1" min="16" max="16" width="2.75"/>
    <col customWidth="1" min="17" max="17" width="2.63"/>
    <col customWidth="1" min="18" max="18" width="2.88"/>
    <col customWidth="1" min="19" max="19" width="2.75"/>
    <col customWidth="1" min="20" max="20" width="8.13"/>
    <col customWidth="1" min="21" max="21" width="20.5"/>
    <col customWidth="1" hidden="1" min="22" max="22" width="16.25"/>
    <col customWidth="1" min="23" max="23" width="3.25"/>
    <col customWidth="1" hidden="1" min="24" max="24" width="31.25"/>
    <col customWidth="1" hidden="1" min="25" max="25" width="17.63"/>
    <col customWidth="1" hidden="1" min="26" max="26" width="18.5"/>
    <col customWidth="1" hidden="1" min="27" max="27" width="413.75"/>
    <col customWidth="1" min="28" max="28" width="24.0"/>
    <col customWidth="1" min="29" max="29" width="8.13"/>
    <col customWidth="1" min="30" max="30" width="17.63"/>
    <col customWidth="1" min="31" max="31" width="18.5"/>
  </cols>
  <sheetData>
    <row r="1">
      <c r="A1" s="1">
        <v>86670.0</v>
      </c>
      <c r="B1" s="50" t="s">
        <v>157</v>
      </c>
      <c r="C1" s="50" t="s">
        <v>334</v>
      </c>
      <c r="D1" s="50" t="s">
        <v>335</v>
      </c>
      <c r="E1" s="50" t="s">
        <v>336</v>
      </c>
      <c r="F1" s="50" t="s">
        <v>337</v>
      </c>
      <c r="G1" s="50" t="s">
        <v>338</v>
      </c>
      <c r="H1" s="50" t="s">
        <v>339</v>
      </c>
      <c r="I1" s="50" t="s">
        <v>340</v>
      </c>
      <c r="J1" s="50">
        <v>1.0</v>
      </c>
      <c r="K1" s="50">
        <v>2.0</v>
      </c>
      <c r="L1" s="50">
        <v>3.0</v>
      </c>
      <c r="M1" s="50">
        <v>4.0</v>
      </c>
      <c r="N1" s="50">
        <v>5.0</v>
      </c>
      <c r="O1" s="50">
        <v>6.0</v>
      </c>
      <c r="P1" s="50">
        <v>7.0</v>
      </c>
      <c r="Q1" s="1">
        <v>8.0</v>
      </c>
      <c r="R1" s="1">
        <v>9.0</v>
      </c>
      <c r="S1" s="1">
        <v>10.0</v>
      </c>
      <c r="T1" s="1" t="s">
        <v>341</v>
      </c>
      <c r="U1" s="1"/>
      <c r="V1" s="51" t="s">
        <v>342</v>
      </c>
      <c r="W1" s="1" t="s">
        <v>343</v>
      </c>
      <c r="X1" s="52" t="s">
        <v>344</v>
      </c>
      <c r="Y1" s="51" t="s">
        <v>345</v>
      </c>
      <c r="Z1" s="3" t="s">
        <v>342</v>
      </c>
      <c r="AA1" s="3" t="s">
        <v>346</v>
      </c>
      <c r="AB1" s="3" t="s">
        <v>347</v>
      </c>
      <c r="AC1" s="1" t="s">
        <v>341</v>
      </c>
      <c r="AD1" s="51" t="s">
        <v>348</v>
      </c>
      <c r="AE1" s="3" t="s">
        <v>342</v>
      </c>
    </row>
    <row r="2">
      <c r="A2" s="5" t="s">
        <v>22</v>
      </c>
      <c r="B2" s="53" t="s">
        <v>349</v>
      </c>
      <c r="C2" s="53" t="s">
        <v>350</v>
      </c>
      <c r="D2" s="53" t="s">
        <v>351</v>
      </c>
      <c r="E2" s="53" t="s">
        <v>352</v>
      </c>
      <c r="F2" s="53" t="s">
        <v>353</v>
      </c>
      <c r="G2" s="53" t="s">
        <v>354</v>
      </c>
      <c r="H2" s="53" t="s">
        <v>355</v>
      </c>
      <c r="I2" s="53" t="s">
        <v>356</v>
      </c>
      <c r="J2" s="12" t="b">
        <v>1</v>
      </c>
      <c r="K2" s="12" t="b">
        <v>1</v>
      </c>
      <c r="L2" s="12" t="b">
        <v>1</v>
      </c>
      <c r="M2" s="54" t="b">
        <v>1</v>
      </c>
      <c r="N2" s="12" t="b">
        <v>0</v>
      </c>
      <c r="O2" s="12" t="b">
        <v>0</v>
      </c>
      <c r="P2" s="12" t="b">
        <v>0</v>
      </c>
      <c r="Q2" s="10" t="b">
        <v>0</v>
      </c>
      <c r="R2" s="10" t="b">
        <v>0</v>
      </c>
      <c r="S2" s="10" t="b">
        <v>0</v>
      </c>
      <c r="T2" s="55">
        <v>46027.0</v>
      </c>
      <c r="U2" s="9" t="s">
        <v>357</v>
      </c>
      <c r="V2" s="56" t="s">
        <v>358</v>
      </c>
      <c r="W2" s="57" t="b">
        <v>0</v>
      </c>
      <c r="X2" s="56" t="s">
        <v>359</v>
      </c>
      <c r="Y2" s="53"/>
      <c r="Z2" s="58"/>
      <c r="AA2" s="4"/>
      <c r="AB2" s="9" t="s">
        <v>360</v>
      </c>
      <c r="AC2" s="55">
        <v>46112.0</v>
      </c>
      <c r="AD2" s="6" t="s">
        <v>361</v>
      </c>
      <c r="AE2" s="56" t="s">
        <v>362</v>
      </c>
    </row>
    <row r="3">
      <c r="A3" s="5" t="s">
        <v>22</v>
      </c>
      <c r="B3" s="53" t="s">
        <v>363</v>
      </c>
      <c r="C3" s="53" t="s">
        <v>364</v>
      </c>
      <c r="D3" s="53" t="s">
        <v>365</v>
      </c>
      <c r="E3" s="53" t="s">
        <v>366</v>
      </c>
      <c r="F3" s="53" t="s">
        <v>367</v>
      </c>
      <c r="G3" s="53" t="s">
        <v>354</v>
      </c>
      <c r="H3" s="53" t="s">
        <v>368</v>
      </c>
      <c r="I3" s="53" t="s">
        <v>356</v>
      </c>
      <c r="J3" s="12" t="b">
        <v>1</v>
      </c>
      <c r="K3" s="12" t="b">
        <v>1</v>
      </c>
      <c r="L3" s="10" t="b">
        <v>1</v>
      </c>
      <c r="M3" s="10" t="b">
        <v>1</v>
      </c>
      <c r="N3" s="10" t="b">
        <v>1</v>
      </c>
      <c r="O3" s="54" t="b">
        <v>1</v>
      </c>
      <c r="P3" s="12" t="b">
        <v>0</v>
      </c>
      <c r="Q3" s="10" t="b">
        <v>0</v>
      </c>
      <c r="R3" s="10" t="b">
        <v>0</v>
      </c>
      <c r="S3" s="10" t="b">
        <v>0</v>
      </c>
      <c r="T3" s="55">
        <v>46058.0</v>
      </c>
      <c r="U3" s="9" t="s">
        <v>357</v>
      </c>
      <c r="V3" s="56" t="s">
        <v>358</v>
      </c>
      <c r="W3" s="57" t="b">
        <v>0</v>
      </c>
      <c r="X3" s="56" t="s">
        <v>369</v>
      </c>
      <c r="Y3" s="53"/>
      <c r="Z3" s="58"/>
      <c r="AA3" s="4"/>
      <c r="AB3" s="9" t="s">
        <v>360</v>
      </c>
      <c r="AC3" s="55">
        <v>46112.0</v>
      </c>
      <c r="AD3" s="6" t="s">
        <v>361</v>
      </c>
      <c r="AE3" s="56" t="s">
        <v>362</v>
      </c>
    </row>
    <row r="4">
      <c r="A4" s="5" t="s">
        <v>22</v>
      </c>
      <c r="B4" s="53" t="s">
        <v>370</v>
      </c>
      <c r="C4" s="53" t="s">
        <v>371</v>
      </c>
      <c r="D4" s="53" t="s">
        <v>351</v>
      </c>
      <c r="E4" s="53" t="s">
        <v>372</v>
      </c>
      <c r="F4" s="53" t="s">
        <v>373</v>
      </c>
      <c r="G4" s="53" t="s">
        <v>354</v>
      </c>
      <c r="H4" s="53" t="s">
        <v>374</v>
      </c>
      <c r="I4" s="53" t="s">
        <v>356</v>
      </c>
      <c r="J4" s="12" t="b">
        <v>1</v>
      </c>
      <c r="K4" s="12" t="b">
        <v>1</v>
      </c>
      <c r="L4" s="12" t="b">
        <v>1</v>
      </c>
      <c r="M4" s="54" t="b">
        <v>1</v>
      </c>
      <c r="N4" s="12" t="b">
        <v>0</v>
      </c>
      <c r="O4" s="12" t="b">
        <v>0</v>
      </c>
      <c r="P4" s="12" t="b">
        <v>0</v>
      </c>
      <c r="Q4" s="10" t="b">
        <v>0</v>
      </c>
      <c r="R4" s="10" t="b">
        <v>0</v>
      </c>
      <c r="S4" s="10" t="b">
        <v>0</v>
      </c>
      <c r="T4" s="59">
        <v>46024.0</v>
      </c>
      <c r="U4" s="9" t="s">
        <v>375</v>
      </c>
      <c r="V4" s="56" t="s">
        <v>358</v>
      </c>
      <c r="W4" s="57" t="b">
        <v>0</v>
      </c>
      <c r="X4" s="58" t="s">
        <v>376</v>
      </c>
      <c r="Y4" s="53"/>
      <c r="Z4" s="58"/>
      <c r="AA4" s="4"/>
      <c r="AB4" s="4"/>
      <c r="AC4" s="4"/>
      <c r="AD4" s="4"/>
      <c r="AE4" s="4"/>
    </row>
    <row r="5">
      <c r="A5" s="5" t="s">
        <v>22</v>
      </c>
      <c r="B5" s="53" t="s">
        <v>377</v>
      </c>
      <c r="C5" s="60">
        <v>9.952351409E9</v>
      </c>
      <c r="D5" s="53" t="s">
        <v>351</v>
      </c>
      <c r="E5" s="53" t="s">
        <v>378</v>
      </c>
      <c r="F5" s="53" t="s">
        <v>379</v>
      </c>
      <c r="G5" s="53" t="s">
        <v>354</v>
      </c>
      <c r="H5" s="53" t="s">
        <v>368</v>
      </c>
      <c r="I5" s="53" t="s">
        <v>380</v>
      </c>
      <c r="J5" s="12" t="b">
        <v>1</v>
      </c>
      <c r="K5" s="12" t="b">
        <v>1</v>
      </c>
      <c r="L5" s="12" t="b">
        <v>1</v>
      </c>
      <c r="M5" s="10" t="b">
        <v>1</v>
      </c>
      <c r="N5" s="10" t="b">
        <v>1</v>
      </c>
      <c r="O5" s="10" t="b">
        <v>1</v>
      </c>
      <c r="P5" s="10" t="b">
        <v>1</v>
      </c>
      <c r="Q5" s="57" t="b">
        <v>1</v>
      </c>
      <c r="R5" s="57" t="b">
        <v>1</v>
      </c>
      <c r="S5" s="54" t="b">
        <v>1</v>
      </c>
      <c r="T5" s="55">
        <v>46059.0</v>
      </c>
      <c r="U5" s="9" t="s">
        <v>357</v>
      </c>
      <c r="V5" s="56" t="s">
        <v>358</v>
      </c>
      <c r="W5" s="54" t="b">
        <v>1</v>
      </c>
      <c r="X5" s="56" t="s">
        <v>381</v>
      </c>
      <c r="Y5" s="6" t="s">
        <v>382</v>
      </c>
      <c r="Z5" s="56" t="s">
        <v>358</v>
      </c>
      <c r="AA5" s="9" t="s">
        <v>383</v>
      </c>
      <c r="AB5" s="9" t="s">
        <v>384</v>
      </c>
      <c r="AC5" s="55">
        <v>46112.0</v>
      </c>
      <c r="AD5" s="6" t="s">
        <v>357</v>
      </c>
      <c r="AE5" s="56" t="s">
        <v>358</v>
      </c>
    </row>
    <row r="6">
      <c r="A6" s="5" t="s">
        <v>22</v>
      </c>
      <c r="B6" s="53" t="s">
        <v>385</v>
      </c>
      <c r="C6" s="53" t="s">
        <v>386</v>
      </c>
      <c r="D6" s="53" t="s">
        <v>351</v>
      </c>
      <c r="E6" s="53" t="s">
        <v>387</v>
      </c>
      <c r="F6" s="53" t="s">
        <v>388</v>
      </c>
      <c r="G6" s="53" t="s">
        <v>354</v>
      </c>
      <c r="H6" s="53" t="s">
        <v>368</v>
      </c>
      <c r="I6" s="53" t="s">
        <v>356</v>
      </c>
      <c r="J6" s="12" t="b">
        <v>1</v>
      </c>
      <c r="K6" s="12" t="b">
        <v>1</v>
      </c>
      <c r="L6" s="12" t="b">
        <v>1</v>
      </c>
      <c r="M6" s="54" t="b">
        <v>1</v>
      </c>
      <c r="N6" s="12" t="b">
        <v>0</v>
      </c>
      <c r="O6" s="12" t="b">
        <v>0</v>
      </c>
      <c r="P6" s="12" t="b">
        <v>0</v>
      </c>
      <c r="Q6" s="10" t="b">
        <v>0</v>
      </c>
      <c r="R6" s="10" t="b">
        <v>0</v>
      </c>
      <c r="S6" s="10" t="b">
        <v>0</v>
      </c>
      <c r="T6" s="59">
        <v>46024.0</v>
      </c>
      <c r="U6" s="9" t="s">
        <v>357</v>
      </c>
      <c r="V6" s="56" t="s">
        <v>358</v>
      </c>
      <c r="W6" s="57" t="b">
        <v>0</v>
      </c>
      <c r="X6" s="58" t="s">
        <v>389</v>
      </c>
      <c r="Y6" s="53"/>
      <c r="Z6" s="58"/>
      <c r="AA6" s="4"/>
      <c r="AB6" s="9" t="s">
        <v>360</v>
      </c>
      <c r="AC6" s="55">
        <v>46112.0</v>
      </c>
      <c r="AD6" s="6" t="s">
        <v>361</v>
      </c>
      <c r="AE6" s="56" t="s">
        <v>362</v>
      </c>
    </row>
    <row r="7">
      <c r="A7" s="5" t="s">
        <v>22</v>
      </c>
      <c r="B7" s="61" t="s">
        <v>390</v>
      </c>
      <c r="C7" s="53" t="s">
        <v>391</v>
      </c>
      <c r="D7" s="53" t="s">
        <v>351</v>
      </c>
      <c r="E7" s="53" t="s">
        <v>392</v>
      </c>
      <c r="F7" s="53" t="s">
        <v>393</v>
      </c>
      <c r="G7" s="53" t="s">
        <v>354</v>
      </c>
      <c r="H7" s="53" t="s">
        <v>368</v>
      </c>
      <c r="I7" s="53" t="s">
        <v>380</v>
      </c>
      <c r="J7" s="12" t="b">
        <v>1</v>
      </c>
      <c r="K7" s="12" t="b">
        <v>1</v>
      </c>
      <c r="L7" s="12" t="b">
        <v>1</v>
      </c>
      <c r="M7" s="12" t="b">
        <v>1</v>
      </c>
      <c r="N7" s="57" t="b">
        <v>1</v>
      </c>
      <c r="O7" s="54" t="b">
        <v>1</v>
      </c>
      <c r="P7" s="12" t="b">
        <v>0</v>
      </c>
      <c r="Q7" s="10" t="b">
        <v>0</v>
      </c>
      <c r="R7" s="10" t="b">
        <v>0</v>
      </c>
      <c r="S7" s="10" t="b">
        <v>0</v>
      </c>
      <c r="T7" s="55">
        <v>46034.0</v>
      </c>
      <c r="U7" s="9" t="s">
        <v>357</v>
      </c>
      <c r="V7" s="56" t="s">
        <v>358</v>
      </c>
      <c r="W7" s="54" t="b">
        <v>1</v>
      </c>
      <c r="X7" s="58" t="s">
        <v>394</v>
      </c>
      <c r="Y7" s="6" t="s">
        <v>382</v>
      </c>
      <c r="Z7" s="56" t="s">
        <v>358</v>
      </c>
      <c r="AA7" s="9" t="s">
        <v>395</v>
      </c>
      <c r="AB7" s="9" t="s">
        <v>360</v>
      </c>
      <c r="AC7" s="55">
        <v>46112.0</v>
      </c>
      <c r="AD7" s="6" t="s">
        <v>361</v>
      </c>
      <c r="AE7" s="56" t="s">
        <v>362</v>
      </c>
    </row>
    <row r="8">
      <c r="A8" s="5" t="s">
        <v>22</v>
      </c>
      <c r="B8" s="53" t="s">
        <v>396</v>
      </c>
      <c r="C8" s="53" t="s">
        <v>397</v>
      </c>
      <c r="D8" s="53" t="s">
        <v>351</v>
      </c>
      <c r="E8" s="53" t="s">
        <v>398</v>
      </c>
      <c r="F8" s="53" t="s">
        <v>399</v>
      </c>
      <c r="G8" s="53" t="s">
        <v>354</v>
      </c>
      <c r="H8" s="53" t="s">
        <v>400</v>
      </c>
      <c r="I8" s="53" t="s">
        <v>356</v>
      </c>
      <c r="J8" s="12" t="b">
        <v>1</v>
      </c>
      <c r="K8" s="12" t="b">
        <v>1</v>
      </c>
      <c r="L8" s="12" t="b">
        <v>1</v>
      </c>
      <c r="M8" s="12" t="b">
        <v>1</v>
      </c>
      <c r="N8" s="57" t="b">
        <v>1</v>
      </c>
      <c r="O8" s="54" t="b">
        <v>1</v>
      </c>
      <c r="P8" s="12" t="b">
        <v>0</v>
      </c>
      <c r="Q8" s="10" t="b">
        <v>0</v>
      </c>
      <c r="R8" s="10" t="b">
        <v>0</v>
      </c>
      <c r="S8" s="10" t="b">
        <v>0</v>
      </c>
      <c r="T8" s="55">
        <v>46034.0</v>
      </c>
      <c r="U8" s="9" t="s">
        <v>357</v>
      </c>
      <c r="V8" s="56" t="s">
        <v>358</v>
      </c>
      <c r="W8" s="54" t="b">
        <v>1</v>
      </c>
      <c r="X8" s="56" t="s">
        <v>401</v>
      </c>
      <c r="Y8" s="6" t="s">
        <v>382</v>
      </c>
      <c r="Z8" s="56" t="s">
        <v>362</v>
      </c>
      <c r="AA8" s="9" t="s">
        <v>402</v>
      </c>
      <c r="AB8" s="9" t="s">
        <v>403</v>
      </c>
      <c r="AC8" s="55">
        <v>46112.0</v>
      </c>
      <c r="AD8" s="6" t="s">
        <v>404</v>
      </c>
      <c r="AE8" s="56" t="s">
        <v>405</v>
      </c>
    </row>
    <row r="9">
      <c r="A9" s="5" t="s">
        <v>22</v>
      </c>
      <c r="B9" s="53" t="s">
        <v>406</v>
      </c>
      <c r="C9" s="53" t="s">
        <v>407</v>
      </c>
      <c r="D9" s="53" t="s">
        <v>365</v>
      </c>
      <c r="E9" s="53" t="s">
        <v>408</v>
      </c>
      <c r="F9" s="53" t="s">
        <v>409</v>
      </c>
      <c r="G9" s="53" t="s">
        <v>354</v>
      </c>
      <c r="H9" s="53" t="s">
        <v>355</v>
      </c>
      <c r="I9" s="53" t="s">
        <v>356</v>
      </c>
      <c r="J9" s="12" t="b">
        <v>1</v>
      </c>
      <c r="K9" s="12" t="b">
        <v>1</v>
      </c>
      <c r="L9" s="12" t="b">
        <v>1</v>
      </c>
      <c r="M9" s="54" t="b">
        <v>1</v>
      </c>
      <c r="N9" s="12" t="b">
        <v>0</v>
      </c>
      <c r="O9" s="12" t="b">
        <v>0</v>
      </c>
      <c r="P9" s="12" t="b">
        <v>0</v>
      </c>
      <c r="Q9" s="10" t="b">
        <v>0</v>
      </c>
      <c r="R9" s="10" t="b">
        <v>0</v>
      </c>
      <c r="S9" s="10" t="b">
        <v>0</v>
      </c>
      <c r="T9" s="55">
        <v>46027.0</v>
      </c>
      <c r="U9" s="9" t="s">
        <v>375</v>
      </c>
      <c r="V9" s="56" t="s">
        <v>358</v>
      </c>
      <c r="W9" s="57" t="b">
        <v>0</v>
      </c>
      <c r="X9" s="56" t="s">
        <v>410</v>
      </c>
      <c r="Y9" s="53"/>
      <c r="Z9" s="58"/>
      <c r="AA9" s="4"/>
      <c r="AB9" s="4"/>
      <c r="AC9" s="4"/>
      <c r="AD9" s="4"/>
      <c r="AE9" s="4"/>
    </row>
    <row r="10">
      <c r="A10" s="5" t="s">
        <v>22</v>
      </c>
      <c r="B10" s="53" t="s">
        <v>411</v>
      </c>
      <c r="C10" s="53" t="s">
        <v>412</v>
      </c>
      <c r="D10" s="53" t="s">
        <v>365</v>
      </c>
      <c r="E10" s="53" t="s">
        <v>413</v>
      </c>
      <c r="F10" s="53" t="s">
        <v>414</v>
      </c>
      <c r="G10" s="53" t="s">
        <v>354</v>
      </c>
      <c r="H10" s="53" t="s">
        <v>355</v>
      </c>
      <c r="I10" s="53" t="s">
        <v>356</v>
      </c>
      <c r="J10" s="12" t="b">
        <v>1</v>
      </c>
      <c r="K10" s="54" t="b">
        <v>1</v>
      </c>
      <c r="L10" s="12" t="b">
        <v>0</v>
      </c>
      <c r="M10" s="12" t="b">
        <v>0</v>
      </c>
      <c r="N10" s="12" t="b">
        <v>0</v>
      </c>
      <c r="O10" s="12" t="b">
        <v>0</v>
      </c>
      <c r="P10" s="12" t="b">
        <v>0</v>
      </c>
      <c r="Q10" s="10" t="b">
        <v>0</v>
      </c>
      <c r="R10" s="10" t="b">
        <v>0</v>
      </c>
      <c r="S10" s="10" t="b">
        <v>0</v>
      </c>
      <c r="T10" s="55">
        <v>46027.0</v>
      </c>
      <c r="U10" s="9" t="s">
        <v>357</v>
      </c>
      <c r="V10" s="56" t="s">
        <v>358</v>
      </c>
      <c r="W10" s="57" t="b">
        <v>0</v>
      </c>
      <c r="X10" s="6" t="s">
        <v>415</v>
      </c>
      <c r="Y10" s="53"/>
      <c r="Z10" s="58"/>
      <c r="AA10" s="4"/>
      <c r="AB10" s="9" t="s">
        <v>360</v>
      </c>
      <c r="AC10" s="55">
        <v>46112.0</v>
      </c>
      <c r="AD10" s="6" t="s">
        <v>361</v>
      </c>
      <c r="AE10" s="56" t="s">
        <v>362</v>
      </c>
    </row>
    <row r="11">
      <c r="A11" s="5" t="s">
        <v>22</v>
      </c>
      <c r="B11" s="53" t="s">
        <v>416</v>
      </c>
      <c r="C11" s="53" t="s">
        <v>417</v>
      </c>
      <c r="D11" s="53" t="s">
        <v>365</v>
      </c>
      <c r="E11" s="53" t="s">
        <v>418</v>
      </c>
      <c r="F11" s="53" t="s">
        <v>409</v>
      </c>
      <c r="G11" s="53" t="s">
        <v>354</v>
      </c>
      <c r="H11" s="53" t="s">
        <v>374</v>
      </c>
      <c r="I11" s="53" t="s">
        <v>356</v>
      </c>
      <c r="J11" s="12" t="b">
        <v>1</v>
      </c>
      <c r="K11" s="54" t="b">
        <v>1</v>
      </c>
      <c r="L11" s="12" t="b">
        <v>0</v>
      </c>
      <c r="M11" s="12" t="b">
        <v>0</v>
      </c>
      <c r="N11" s="12" t="b">
        <v>0</v>
      </c>
      <c r="O11" s="12" t="b">
        <v>0</v>
      </c>
      <c r="P11" s="12" t="b">
        <v>0</v>
      </c>
      <c r="Q11" s="10" t="b">
        <v>0</v>
      </c>
      <c r="R11" s="10" t="b">
        <v>0</v>
      </c>
      <c r="S11" s="10" t="b">
        <v>0</v>
      </c>
      <c r="T11" s="55">
        <v>46027.0</v>
      </c>
      <c r="U11" s="9" t="s">
        <v>357</v>
      </c>
      <c r="V11" s="56" t="s">
        <v>358</v>
      </c>
      <c r="W11" s="57" t="b">
        <v>0</v>
      </c>
      <c r="X11" s="56" t="s">
        <v>419</v>
      </c>
      <c r="Y11" s="53"/>
      <c r="Z11" s="58"/>
      <c r="AA11" s="4"/>
      <c r="AB11" s="9" t="s">
        <v>420</v>
      </c>
      <c r="AC11" s="55">
        <v>46112.0</v>
      </c>
      <c r="AD11" s="6" t="s">
        <v>404</v>
      </c>
      <c r="AE11" s="56" t="s">
        <v>405</v>
      </c>
    </row>
    <row r="12">
      <c r="A12" s="5" t="s">
        <v>22</v>
      </c>
      <c r="B12" s="53" t="s">
        <v>421</v>
      </c>
      <c r="C12" s="53" t="s">
        <v>422</v>
      </c>
      <c r="D12" s="53" t="s">
        <v>365</v>
      </c>
      <c r="E12" s="53" t="s">
        <v>423</v>
      </c>
      <c r="F12" s="53" t="s">
        <v>409</v>
      </c>
      <c r="G12" s="53" t="s">
        <v>354</v>
      </c>
      <c r="H12" s="53" t="s">
        <v>368</v>
      </c>
      <c r="I12" s="53" t="s">
        <v>356</v>
      </c>
      <c r="J12" s="12" t="b">
        <v>1</v>
      </c>
      <c r="K12" s="54" t="b">
        <v>1</v>
      </c>
      <c r="L12" s="10" t="b">
        <v>0</v>
      </c>
      <c r="M12" s="12" t="b">
        <v>0</v>
      </c>
      <c r="N12" s="12" t="b">
        <v>0</v>
      </c>
      <c r="O12" s="12" t="b">
        <v>0</v>
      </c>
      <c r="P12" s="12" t="b">
        <v>0</v>
      </c>
      <c r="Q12" s="10" t="b">
        <v>0</v>
      </c>
      <c r="R12" s="10" t="b">
        <v>0</v>
      </c>
      <c r="S12" s="10" t="b">
        <v>0</v>
      </c>
      <c r="T12" s="55">
        <v>46027.0</v>
      </c>
      <c r="U12" s="9" t="s">
        <v>424</v>
      </c>
      <c r="V12" s="56" t="s">
        <v>358</v>
      </c>
      <c r="W12" s="57" t="b">
        <v>0</v>
      </c>
      <c r="X12" s="56" t="s">
        <v>425</v>
      </c>
      <c r="Y12" s="53"/>
      <c r="Z12" s="58"/>
      <c r="AA12" s="4"/>
      <c r="AB12" s="4"/>
      <c r="AC12" s="4"/>
      <c r="AD12" s="4"/>
      <c r="AE12" s="4"/>
    </row>
    <row r="13">
      <c r="A13" s="5" t="s">
        <v>22</v>
      </c>
      <c r="B13" s="53" t="s">
        <v>426</v>
      </c>
      <c r="C13" s="53" t="s">
        <v>427</v>
      </c>
      <c r="D13" s="53" t="s">
        <v>365</v>
      </c>
      <c r="E13" s="53" t="s">
        <v>428</v>
      </c>
      <c r="F13" s="53" t="s">
        <v>414</v>
      </c>
      <c r="G13" s="53" t="s">
        <v>354</v>
      </c>
      <c r="H13" s="53" t="s">
        <v>355</v>
      </c>
      <c r="I13" s="53" t="s">
        <v>356</v>
      </c>
      <c r="J13" s="12" t="b">
        <v>1</v>
      </c>
      <c r="K13" s="12" t="b">
        <v>1</v>
      </c>
      <c r="L13" s="10" t="b">
        <v>1</v>
      </c>
      <c r="M13" s="57" t="b">
        <v>1</v>
      </c>
      <c r="N13" s="57" t="b">
        <v>1</v>
      </c>
      <c r="O13" s="57" t="b">
        <v>1</v>
      </c>
      <c r="P13" s="57" t="b">
        <v>1</v>
      </c>
      <c r="Q13" s="54" t="b">
        <v>1</v>
      </c>
      <c r="R13" s="10" t="b">
        <v>0</v>
      </c>
      <c r="S13" s="10" t="b">
        <v>0</v>
      </c>
      <c r="T13" s="55">
        <v>46127.0</v>
      </c>
      <c r="U13" s="9" t="s">
        <v>357</v>
      </c>
      <c r="V13" s="56" t="s">
        <v>429</v>
      </c>
      <c r="W13" s="57" t="b">
        <v>1</v>
      </c>
      <c r="X13" s="56" t="s">
        <v>430</v>
      </c>
      <c r="Y13" s="6" t="s">
        <v>431</v>
      </c>
      <c r="Z13" s="56" t="s">
        <v>432</v>
      </c>
      <c r="AA13" s="9" t="s">
        <v>433</v>
      </c>
      <c r="AB13" s="4"/>
      <c r="AC13" s="4"/>
      <c r="AD13" s="4"/>
      <c r="AE13" s="4"/>
    </row>
    <row r="14">
      <c r="A14" s="30" t="s">
        <v>22</v>
      </c>
      <c r="B14" s="53" t="s">
        <v>434</v>
      </c>
      <c r="C14" s="53" t="s">
        <v>435</v>
      </c>
      <c r="D14" s="53" t="s">
        <v>351</v>
      </c>
      <c r="E14" s="53" t="s">
        <v>436</v>
      </c>
      <c r="F14" s="53" t="s">
        <v>437</v>
      </c>
      <c r="G14" s="53" t="s">
        <v>354</v>
      </c>
      <c r="H14" s="53" t="s">
        <v>355</v>
      </c>
      <c r="I14" s="53" t="s">
        <v>380</v>
      </c>
      <c r="J14" s="12" t="b">
        <v>1</v>
      </c>
      <c r="K14" s="12" t="b">
        <v>1</v>
      </c>
      <c r="L14" s="12" t="b">
        <v>1</v>
      </c>
      <c r="M14" s="10" t="b">
        <v>1</v>
      </c>
      <c r="N14" s="10" t="b">
        <v>1</v>
      </c>
      <c r="O14" s="10" t="b">
        <v>1</v>
      </c>
      <c r="P14" s="10" t="b">
        <v>1</v>
      </c>
      <c r="Q14" s="10" t="b">
        <v>1</v>
      </c>
      <c r="R14" s="57" t="b">
        <v>1</v>
      </c>
      <c r="S14" s="10" t="b">
        <v>0</v>
      </c>
      <c r="T14" s="55">
        <v>46105.0</v>
      </c>
      <c r="U14" s="9" t="s">
        <v>361</v>
      </c>
      <c r="V14" s="56" t="s">
        <v>362</v>
      </c>
      <c r="W14" s="57" t="b">
        <v>0</v>
      </c>
      <c r="X14" s="6" t="s">
        <v>438</v>
      </c>
      <c r="Y14" s="53"/>
      <c r="Z14" s="58"/>
      <c r="AA14" s="9" t="s">
        <v>439</v>
      </c>
      <c r="AB14" s="9" t="s">
        <v>440</v>
      </c>
      <c r="AC14" s="55">
        <v>46112.0</v>
      </c>
      <c r="AD14" s="6" t="s">
        <v>441</v>
      </c>
      <c r="AE14" s="56" t="s">
        <v>362</v>
      </c>
    </row>
    <row r="15">
      <c r="A15" s="30" t="s">
        <v>22</v>
      </c>
      <c r="B15" s="53" t="s">
        <v>442</v>
      </c>
      <c r="C15" s="53" t="s">
        <v>443</v>
      </c>
      <c r="D15" s="53" t="s">
        <v>365</v>
      </c>
      <c r="E15" s="53" t="s">
        <v>444</v>
      </c>
      <c r="F15" s="53" t="s">
        <v>445</v>
      </c>
      <c r="G15" s="53" t="s">
        <v>354</v>
      </c>
      <c r="H15" s="53" t="s">
        <v>400</v>
      </c>
      <c r="I15" s="53" t="s">
        <v>446</v>
      </c>
      <c r="J15" s="12" t="b">
        <v>1</v>
      </c>
      <c r="K15" s="12" t="b">
        <v>1</v>
      </c>
      <c r="L15" s="54" t="b">
        <v>1</v>
      </c>
      <c r="M15" s="12" t="b">
        <v>0</v>
      </c>
      <c r="N15" s="12" t="b">
        <v>0</v>
      </c>
      <c r="O15" s="62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55">
        <v>46024.0</v>
      </c>
      <c r="U15" s="9" t="s">
        <v>357</v>
      </c>
      <c r="V15" s="56" t="s">
        <v>358</v>
      </c>
      <c r="W15" s="57" t="b">
        <v>0</v>
      </c>
      <c r="X15" s="56" t="s">
        <v>447</v>
      </c>
      <c r="Y15" s="53"/>
      <c r="Z15" s="58"/>
      <c r="AA15" s="4"/>
      <c r="AB15" s="9" t="s">
        <v>360</v>
      </c>
      <c r="AC15" s="55">
        <v>46112.0</v>
      </c>
      <c r="AD15" s="6" t="s">
        <v>361</v>
      </c>
      <c r="AE15" s="56" t="s">
        <v>362</v>
      </c>
    </row>
    <row r="16">
      <c r="A16" s="30" t="s">
        <v>22</v>
      </c>
      <c r="B16" s="53" t="s">
        <v>448</v>
      </c>
      <c r="C16" s="53" t="s">
        <v>449</v>
      </c>
      <c r="D16" s="53" t="s">
        <v>365</v>
      </c>
      <c r="E16" s="53" t="s">
        <v>450</v>
      </c>
      <c r="F16" s="53" t="s">
        <v>409</v>
      </c>
      <c r="G16" s="53" t="s">
        <v>354</v>
      </c>
      <c r="H16" s="53" t="s">
        <v>368</v>
      </c>
      <c r="I16" s="53" t="s">
        <v>356</v>
      </c>
      <c r="J16" s="12" t="b">
        <v>1</v>
      </c>
      <c r="K16" s="12" t="b">
        <v>1</v>
      </c>
      <c r="L16" s="54" t="b">
        <v>1</v>
      </c>
      <c r="M16" s="12" t="b">
        <v>0</v>
      </c>
      <c r="N16" s="12" t="b">
        <v>0</v>
      </c>
      <c r="O16" s="12" t="b">
        <v>0</v>
      </c>
      <c r="P16" s="12" t="b">
        <v>0</v>
      </c>
      <c r="Q16" s="10" t="b">
        <v>0</v>
      </c>
      <c r="R16" s="10" t="b">
        <v>0</v>
      </c>
      <c r="S16" s="10" t="b">
        <v>0</v>
      </c>
      <c r="T16" s="55">
        <v>46024.0</v>
      </c>
      <c r="U16" s="9" t="s">
        <v>375</v>
      </c>
      <c r="V16" s="56" t="s">
        <v>358</v>
      </c>
      <c r="W16" s="57" t="b">
        <v>0</v>
      </c>
      <c r="X16" s="56" t="s">
        <v>451</v>
      </c>
      <c r="Y16" s="53"/>
      <c r="Z16" s="58"/>
      <c r="AA16" s="4"/>
      <c r="AB16" s="4"/>
      <c r="AC16" s="4"/>
      <c r="AD16" s="4"/>
      <c r="AE16" s="4"/>
    </row>
    <row r="17">
      <c r="A17" s="30" t="s">
        <v>22</v>
      </c>
      <c r="B17" s="53" t="s">
        <v>452</v>
      </c>
      <c r="C17" s="53" t="s">
        <v>453</v>
      </c>
      <c r="D17" s="53" t="s">
        <v>365</v>
      </c>
      <c r="E17" s="53" t="s">
        <v>454</v>
      </c>
      <c r="F17" s="53" t="s">
        <v>455</v>
      </c>
      <c r="G17" s="53" t="s">
        <v>354</v>
      </c>
      <c r="H17" s="53" t="s">
        <v>374</v>
      </c>
      <c r="I17" s="53" t="s">
        <v>380</v>
      </c>
      <c r="J17" s="12" t="b">
        <v>1</v>
      </c>
      <c r="K17" s="54" t="b">
        <v>1</v>
      </c>
      <c r="L17" s="12" t="b">
        <v>0</v>
      </c>
      <c r="M17" s="12" t="b">
        <v>0</v>
      </c>
      <c r="N17" s="12" t="b">
        <v>0</v>
      </c>
      <c r="O17" s="12" t="b">
        <v>0</v>
      </c>
      <c r="P17" s="12" t="b">
        <v>0</v>
      </c>
      <c r="Q17" s="10" t="b">
        <v>0</v>
      </c>
      <c r="R17" s="10" t="b">
        <v>0</v>
      </c>
      <c r="S17" s="10" t="b">
        <v>0</v>
      </c>
      <c r="T17" s="55">
        <v>46027.0</v>
      </c>
      <c r="U17" s="9" t="s">
        <v>357</v>
      </c>
      <c r="V17" s="56" t="s">
        <v>358</v>
      </c>
      <c r="W17" s="57" t="b">
        <v>0</v>
      </c>
      <c r="X17" s="6" t="s">
        <v>456</v>
      </c>
      <c r="Y17" s="53"/>
      <c r="Z17" s="58"/>
      <c r="AA17" s="4"/>
      <c r="AB17" s="9" t="s">
        <v>384</v>
      </c>
      <c r="AC17" s="55">
        <v>46112.0</v>
      </c>
      <c r="AD17" s="6" t="s">
        <v>357</v>
      </c>
      <c r="AE17" s="56" t="s">
        <v>358</v>
      </c>
    </row>
    <row r="18">
      <c r="A18" s="30" t="s">
        <v>22</v>
      </c>
      <c r="B18" s="53" t="s">
        <v>457</v>
      </c>
      <c r="C18" s="53" t="s">
        <v>458</v>
      </c>
      <c r="D18" s="53" t="s">
        <v>365</v>
      </c>
      <c r="E18" s="53" t="s">
        <v>459</v>
      </c>
      <c r="F18" s="53" t="s">
        <v>460</v>
      </c>
      <c r="G18" s="53" t="s">
        <v>354</v>
      </c>
      <c r="H18" s="53" t="s">
        <v>368</v>
      </c>
      <c r="I18" s="53" t="s">
        <v>380</v>
      </c>
      <c r="J18" s="12" t="b">
        <v>1</v>
      </c>
      <c r="K18" s="10" t="b">
        <v>1</v>
      </c>
      <c r="L18" s="10" t="b">
        <v>1</v>
      </c>
      <c r="M18" s="10" t="b">
        <v>1</v>
      </c>
      <c r="N18" s="54" t="b">
        <v>1</v>
      </c>
      <c r="O18" s="12" t="b">
        <v>0</v>
      </c>
      <c r="P18" s="12" t="b">
        <v>0</v>
      </c>
      <c r="Q18" s="10" t="b">
        <v>0</v>
      </c>
      <c r="R18" s="10" t="b">
        <v>0</v>
      </c>
      <c r="S18" s="10" t="b">
        <v>0</v>
      </c>
      <c r="T18" s="55">
        <v>46044.0</v>
      </c>
      <c r="U18" s="9" t="s">
        <v>357</v>
      </c>
      <c r="V18" s="56" t="s">
        <v>358</v>
      </c>
      <c r="W18" s="57" t="b">
        <v>0</v>
      </c>
      <c r="X18" s="6" t="s">
        <v>461</v>
      </c>
      <c r="Y18" s="53"/>
      <c r="Z18" s="58"/>
      <c r="AA18" s="4"/>
      <c r="AB18" s="9" t="s">
        <v>360</v>
      </c>
      <c r="AC18" s="55">
        <v>46112.0</v>
      </c>
      <c r="AD18" s="6" t="s">
        <v>361</v>
      </c>
      <c r="AE18" s="56" t="s">
        <v>362</v>
      </c>
    </row>
    <row r="19">
      <c r="A19" s="30" t="s">
        <v>22</v>
      </c>
      <c r="B19" s="53" t="s">
        <v>462</v>
      </c>
      <c r="C19" s="53" t="s">
        <v>463</v>
      </c>
      <c r="D19" s="53" t="s">
        <v>365</v>
      </c>
      <c r="E19" s="53" t="s">
        <v>464</v>
      </c>
      <c r="F19" s="53" t="s">
        <v>465</v>
      </c>
      <c r="G19" s="53" t="s">
        <v>354</v>
      </c>
      <c r="H19" s="53" t="s">
        <v>374</v>
      </c>
      <c r="I19" s="53" t="s">
        <v>356</v>
      </c>
      <c r="J19" s="12" t="b">
        <v>1</v>
      </c>
      <c r="K19" s="12" t="b">
        <v>1</v>
      </c>
      <c r="L19" s="54" t="b">
        <v>1</v>
      </c>
      <c r="M19" s="12" t="b">
        <v>0</v>
      </c>
      <c r="N19" s="12" t="b">
        <v>0</v>
      </c>
      <c r="O19" s="12" t="b">
        <v>0</v>
      </c>
      <c r="P19" s="12" t="b">
        <v>0</v>
      </c>
      <c r="Q19" s="10" t="b">
        <v>0</v>
      </c>
      <c r="R19" s="10" t="b">
        <v>0</v>
      </c>
      <c r="S19" s="10" t="b">
        <v>0</v>
      </c>
      <c r="T19" s="55">
        <v>46024.0</v>
      </c>
      <c r="U19" s="9" t="s">
        <v>375</v>
      </c>
      <c r="V19" s="56" t="s">
        <v>358</v>
      </c>
      <c r="W19" s="57" t="b">
        <v>0</v>
      </c>
      <c r="X19" s="56" t="s">
        <v>466</v>
      </c>
      <c r="Y19" s="53"/>
      <c r="Z19" s="58"/>
      <c r="AA19" s="4"/>
      <c r="AB19" s="4"/>
      <c r="AC19" s="4"/>
      <c r="AD19" s="4"/>
      <c r="AE19" s="4"/>
    </row>
    <row r="20">
      <c r="A20" s="30" t="s">
        <v>22</v>
      </c>
      <c r="B20" s="53" t="s">
        <v>467</v>
      </c>
      <c r="C20" s="53" t="s">
        <v>468</v>
      </c>
      <c r="D20" s="53" t="s">
        <v>351</v>
      </c>
      <c r="E20" s="53" t="s">
        <v>469</v>
      </c>
      <c r="F20" s="53" t="s">
        <v>470</v>
      </c>
      <c r="G20" s="53" t="s">
        <v>354</v>
      </c>
      <c r="H20" s="53" t="s">
        <v>355</v>
      </c>
      <c r="I20" s="53" t="s">
        <v>356</v>
      </c>
      <c r="J20" s="12" t="b">
        <v>1</v>
      </c>
      <c r="K20" s="12" t="b">
        <v>1</v>
      </c>
      <c r="L20" s="10" t="b">
        <v>1</v>
      </c>
      <c r="M20" s="10" t="b">
        <v>1</v>
      </c>
      <c r="N20" s="54" t="b">
        <v>1</v>
      </c>
      <c r="O20" s="12" t="b">
        <v>0</v>
      </c>
      <c r="P20" s="12" t="b">
        <v>0</v>
      </c>
      <c r="Q20" s="10" t="b">
        <v>0</v>
      </c>
      <c r="R20" s="10" t="b">
        <v>0</v>
      </c>
      <c r="S20" s="10" t="b">
        <v>0</v>
      </c>
      <c r="T20" s="55">
        <v>46034.0</v>
      </c>
      <c r="U20" s="9" t="s">
        <v>357</v>
      </c>
      <c r="V20" s="56" t="s">
        <v>358</v>
      </c>
      <c r="W20" s="57" t="b">
        <v>0</v>
      </c>
      <c r="X20" s="6" t="s">
        <v>471</v>
      </c>
      <c r="Y20" s="53"/>
      <c r="Z20" s="58"/>
      <c r="AA20" s="4"/>
      <c r="AB20" s="9" t="s">
        <v>360</v>
      </c>
      <c r="AC20" s="55">
        <v>46112.0</v>
      </c>
      <c r="AD20" s="6" t="s">
        <v>361</v>
      </c>
      <c r="AE20" s="56" t="s">
        <v>362</v>
      </c>
    </row>
    <row r="21">
      <c r="A21" s="30" t="s">
        <v>22</v>
      </c>
      <c r="B21" s="53" t="s">
        <v>472</v>
      </c>
      <c r="C21" s="53" t="s">
        <v>473</v>
      </c>
      <c r="D21" s="53" t="s">
        <v>365</v>
      </c>
      <c r="E21" s="53" t="s">
        <v>474</v>
      </c>
      <c r="F21" s="53" t="s">
        <v>409</v>
      </c>
      <c r="G21" s="53" t="s">
        <v>354</v>
      </c>
      <c r="H21" s="53" t="s">
        <v>475</v>
      </c>
      <c r="I21" s="53" t="s">
        <v>356</v>
      </c>
      <c r="J21" s="12" t="b">
        <v>1</v>
      </c>
      <c r="K21" s="12" t="b">
        <v>1</v>
      </c>
      <c r="L21" s="54" t="b">
        <v>1</v>
      </c>
      <c r="M21" s="12" t="b">
        <v>0</v>
      </c>
      <c r="N21" s="12" t="b">
        <v>0</v>
      </c>
      <c r="O21" s="12" t="b">
        <v>0</v>
      </c>
      <c r="P21" s="12" t="b">
        <v>0</v>
      </c>
      <c r="Q21" s="10" t="b">
        <v>0</v>
      </c>
      <c r="R21" s="10" t="b">
        <v>0</v>
      </c>
      <c r="S21" s="10" t="b">
        <v>0</v>
      </c>
      <c r="T21" s="55">
        <v>46024.0</v>
      </c>
      <c r="U21" s="9" t="s">
        <v>375</v>
      </c>
      <c r="V21" s="56" t="s">
        <v>358</v>
      </c>
      <c r="W21" s="57" t="b">
        <v>0</v>
      </c>
      <c r="X21" s="56" t="s">
        <v>476</v>
      </c>
      <c r="Y21" s="53"/>
      <c r="Z21" s="58"/>
      <c r="AA21" s="4"/>
      <c r="AB21" s="4"/>
      <c r="AC21" s="4"/>
      <c r="AD21" s="4"/>
      <c r="AE21" s="4"/>
    </row>
    <row r="22">
      <c r="A22" s="30" t="s">
        <v>22</v>
      </c>
      <c r="B22" s="63" t="s">
        <v>477</v>
      </c>
      <c r="C22" s="53" t="s">
        <v>478</v>
      </c>
      <c r="D22" s="53" t="s">
        <v>365</v>
      </c>
      <c r="E22" s="53" t="s">
        <v>479</v>
      </c>
      <c r="F22" s="53" t="s">
        <v>480</v>
      </c>
      <c r="G22" s="53" t="s">
        <v>354</v>
      </c>
      <c r="H22" s="53" t="s">
        <v>368</v>
      </c>
      <c r="I22" s="53" t="s">
        <v>356</v>
      </c>
      <c r="J22" s="12" t="b">
        <v>1</v>
      </c>
      <c r="K22" s="12" t="b">
        <v>1</v>
      </c>
      <c r="L22" s="54" t="b">
        <v>1</v>
      </c>
      <c r="M22" s="12" t="b">
        <v>0</v>
      </c>
      <c r="N22" s="12" t="b">
        <v>0</v>
      </c>
      <c r="O22" s="12" t="b">
        <v>0</v>
      </c>
      <c r="P22" s="12" t="b">
        <v>0</v>
      </c>
      <c r="Q22" s="10" t="b">
        <v>0</v>
      </c>
      <c r="R22" s="10" t="b">
        <v>0</v>
      </c>
      <c r="S22" s="10" t="b">
        <v>0</v>
      </c>
      <c r="T22" s="55">
        <v>46024.0</v>
      </c>
      <c r="U22" s="9" t="s">
        <v>357</v>
      </c>
      <c r="V22" s="56" t="s">
        <v>358</v>
      </c>
      <c r="W22" s="57" t="b">
        <v>0</v>
      </c>
      <c r="X22" s="56" t="s">
        <v>481</v>
      </c>
      <c r="Y22" s="53"/>
      <c r="Z22" s="58"/>
      <c r="AA22" s="4"/>
      <c r="AB22" s="9" t="s">
        <v>360</v>
      </c>
      <c r="AC22" s="55">
        <v>46112.0</v>
      </c>
      <c r="AD22" s="6" t="s">
        <v>361</v>
      </c>
      <c r="AE22" s="56" t="s">
        <v>362</v>
      </c>
    </row>
    <row r="23">
      <c r="A23" s="30" t="s">
        <v>22</v>
      </c>
      <c r="B23" s="63" t="s">
        <v>482</v>
      </c>
      <c r="C23" s="53" t="s">
        <v>483</v>
      </c>
      <c r="D23" s="53" t="s">
        <v>365</v>
      </c>
      <c r="E23" s="53" t="s">
        <v>484</v>
      </c>
      <c r="F23" s="53" t="s">
        <v>485</v>
      </c>
      <c r="G23" s="53" t="s">
        <v>354</v>
      </c>
      <c r="H23" s="53" t="s">
        <v>475</v>
      </c>
      <c r="I23" s="53" t="s">
        <v>446</v>
      </c>
      <c r="J23" s="12" t="b">
        <v>1</v>
      </c>
      <c r="K23" s="12" t="b">
        <v>1</v>
      </c>
      <c r="L23" s="10" t="b">
        <v>1</v>
      </c>
      <c r="M23" s="57" t="b">
        <v>1</v>
      </c>
      <c r="N23" s="54" t="b">
        <v>1</v>
      </c>
      <c r="O23" s="12" t="b">
        <v>0</v>
      </c>
      <c r="P23" s="12" t="b">
        <v>0</v>
      </c>
      <c r="Q23" s="10" t="b">
        <v>0</v>
      </c>
      <c r="R23" s="10" t="b">
        <v>0</v>
      </c>
      <c r="S23" s="10" t="b">
        <v>0</v>
      </c>
      <c r="T23" s="55">
        <v>46029.0</v>
      </c>
      <c r="U23" s="9" t="s">
        <v>357</v>
      </c>
      <c r="V23" s="56" t="s">
        <v>358</v>
      </c>
      <c r="W23" s="54" t="b">
        <v>1</v>
      </c>
      <c r="X23" s="56" t="s">
        <v>486</v>
      </c>
      <c r="Y23" s="6" t="s">
        <v>357</v>
      </c>
      <c r="Z23" s="56" t="s">
        <v>358</v>
      </c>
      <c r="AA23" s="9" t="s">
        <v>487</v>
      </c>
      <c r="AB23" s="9" t="s">
        <v>440</v>
      </c>
      <c r="AC23" s="55">
        <v>46112.0</v>
      </c>
      <c r="AD23" s="6" t="s">
        <v>441</v>
      </c>
      <c r="AE23" s="56" t="s">
        <v>362</v>
      </c>
    </row>
    <row r="24">
      <c r="A24" s="30" t="s">
        <v>22</v>
      </c>
      <c r="B24" s="63" t="s">
        <v>488</v>
      </c>
      <c r="C24" s="53" t="s">
        <v>489</v>
      </c>
      <c r="D24" s="53" t="s">
        <v>365</v>
      </c>
      <c r="E24" s="53" t="s">
        <v>490</v>
      </c>
      <c r="F24" s="53" t="s">
        <v>465</v>
      </c>
      <c r="G24" s="53" t="s">
        <v>354</v>
      </c>
      <c r="H24" s="53" t="s">
        <v>355</v>
      </c>
      <c r="I24" s="53" t="s">
        <v>446</v>
      </c>
      <c r="J24" s="12" t="b">
        <v>1</v>
      </c>
      <c r="K24" s="12" t="b">
        <v>1</v>
      </c>
      <c r="L24" s="10" t="b">
        <v>1</v>
      </c>
      <c r="M24" s="54" t="b">
        <v>1</v>
      </c>
      <c r="N24" s="12" t="b">
        <v>0</v>
      </c>
      <c r="O24" s="12" t="b">
        <v>0</v>
      </c>
      <c r="P24" s="12" t="b">
        <v>0</v>
      </c>
      <c r="Q24" s="10" t="b">
        <v>0</v>
      </c>
      <c r="R24" s="10" t="b">
        <v>0</v>
      </c>
      <c r="S24" s="10" t="b">
        <v>0</v>
      </c>
      <c r="T24" s="55">
        <v>46029.0</v>
      </c>
      <c r="U24" s="9" t="s">
        <v>375</v>
      </c>
      <c r="V24" s="56" t="s">
        <v>358</v>
      </c>
      <c r="W24" s="57" t="b">
        <v>0</v>
      </c>
      <c r="X24" s="6" t="s">
        <v>491</v>
      </c>
      <c r="Y24" s="53"/>
      <c r="Z24" s="58"/>
      <c r="AA24" s="4"/>
      <c r="AB24" s="4"/>
      <c r="AC24" s="4"/>
      <c r="AD24" s="4"/>
      <c r="AE24" s="4"/>
    </row>
    <row r="25">
      <c r="A25" s="30" t="s">
        <v>22</v>
      </c>
      <c r="B25" s="64" t="s">
        <v>492</v>
      </c>
      <c r="C25" s="53" t="s">
        <v>493</v>
      </c>
      <c r="D25" s="53" t="s">
        <v>365</v>
      </c>
      <c r="E25" s="53" t="s">
        <v>494</v>
      </c>
      <c r="F25" s="53" t="s">
        <v>399</v>
      </c>
      <c r="G25" s="53" t="s">
        <v>354</v>
      </c>
      <c r="H25" s="53" t="s">
        <v>355</v>
      </c>
      <c r="I25" s="53" t="s">
        <v>356</v>
      </c>
      <c r="J25" s="12" t="b">
        <v>1</v>
      </c>
      <c r="K25" s="12" t="b">
        <v>1</v>
      </c>
      <c r="L25" s="10" t="b">
        <v>1</v>
      </c>
      <c r="M25" s="54" t="b">
        <v>1</v>
      </c>
      <c r="N25" s="12" t="b">
        <v>0</v>
      </c>
      <c r="O25" s="12" t="b">
        <v>0</v>
      </c>
      <c r="P25" s="12" t="b">
        <v>0</v>
      </c>
      <c r="Q25" s="10" t="b">
        <v>0</v>
      </c>
      <c r="R25" s="10" t="b">
        <v>0</v>
      </c>
      <c r="S25" s="10" t="b">
        <v>0</v>
      </c>
      <c r="T25" s="55">
        <v>46027.0</v>
      </c>
      <c r="U25" s="9" t="s">
        <v>357</v>
      </c>
      <c r="V25" s="56" t="s">
        <v>358</v>
      </c>
      <c r="W25" s="57" t="b">
        <v>0</v>
      </c>
      <c r="X25" s="6" t="s">
        <v>495</v>
      </c>
      <c r="Y25" s="53"/>
      <c r="Z25" s="58"/>
      <c r="AA25" s="4"/>
      <c r="AB25" s="9" t="s">
        <v>384</v>
      </c>
      <c r="AC25" s="55">
        <v>46112.0</v>
      </c>
      <c r="AD25" s="6" t="s">
        <v>357</v>
      </c>
      <c r="AE25" s="56" t="s">
        <v>358</v>
      </c>
    </row>
    <row r="26">
      <c r="A26" s="30" t="s">
        <v>22</v>
      </c>
      <c r="B26" s="63" t="s">
        <v>496</v>
      </c>
      <c r="C26" s="53" t="s">
        <v>497</v>
      </c>
      <c r="D26" s="53" t="s">
        <v>351</v>
      </c>
      <c r="E26" s="53" t="s">
        <v>498</v>
      </c>
      <c r="F26" s="53" t="s">
        <v>409</v>
      </c>
      <c r="G26" s="53" t="s">
        <v>354</v>
      </c>
      <c r="H26" s="53" t="s">
        <v>374</v>
      </c>
      <c r="I26" s="53" t="s">
        <v>356</v>
      </c>
      <c r="J26" s="12" t="b">
        <v>1</v>
      </c>
      <c r="K26" s="12" t="b">
        <v>1</v>
      </c>
      <c r="L26" s="12" t="b">
        <v>1</v>
      </c>
      <c r="M26" s="12" t="b">
        <v>1</v>
      </c>
      <c r="N26" s="10" t="b">
        <v>1</v>
      </c>
      <c r="O26" s="10" t="b">
        <v>1</v>
      </c>
      <c r="P26" s="10" t="b">
        <v>1</v>
      </c>
      <c r="Q26" s="10" t="b">
        <v>1</v>
      </c>
      <c r="R26" s="10" t="b">
        <v>1</v>
      </c>
      <c r="S26" s="57" t="b">
        <v>1</v>
      </c>
      <c r="T26" s="55">
        <v>46105.0</v>
      </c>
      <c r="U26" s="9" t="s">
        <v>361</v>
      </c>
      <c r="V26" s="56" t="s">
        <v>362</v>
      </c>
      <c r="W26" s="57" t="b">
        <v>0</v>
      </c>
      <c r="X26" s="6" t="s">
        <v>499</v>
      </c>
      <c r="Y26" s="53"/>
      <c r="Z26" s="58"/>
      <c r="AA26" s="9" t="s">
        <v>439</v>
      </c>
      <c r="AB26" s="9" t="s">
        <v>500</v>
      </c>
      <c r="AC26" s="55"/>
      <c r="AD26" s="6" t="s">
        <v>404</v>
      </c>
      <c r="AE26" s="56" t="s">
        <v>405</v>
      </c>
    </row>
    <row r="27">
      <c r="A27" s="30" t="s">
        <v>22</v>
      </c>
      <c r="B27" s="63" t="s">
        <v>501</v>
      </c>
      <c r="C27" s="53" t="s">
        <v>502</v>
      </c>
      <c r="D27" s="53" t="s">
        <v>365</v>
      </c>
      <c r="E27" s="53" t="s">
        <v>503</v>
      </c>
      <c r="F27" s="53" t="s">
        <v>409</v>
      </c>
      <c r="G27" s="53" t="s">
        <v>354</v>
      </c>
      <c r="H27" s="53" t="s">
        <v>368</v>
      </c>
      <c r="I27" s="53" t="s">
        <v>446</v>
      </c>
      <c r="J27" s="12" t="b">
        <v>1</v>
      </c>
      <c r="K27" s="12" t="b">
        <v>1</v>
      </c>
      <c r="L27" s="57" t="b">
        <v>1</v>
      </c>
      <c r="M27" s="12" t="b">
        <v>0</v>
      </c>
      <c r="N27" s="12" t="b">
        <v>0</v>
      </c>
      <c r="O27" s="12" t="b">
        <v>0</v>
      </c>
      <c r="P27" s="12" t="b">
        <v>0</v>
      </c>
      <c r="Q27" s="10" t="b">
        <v>0</v>
      </c>
      <c r="R27" s="10" t="b">
        <v>0</v>
      </c>
      <c r="S27" s="10" t="b">
        <v>0</v>
      </c>
      <c r="T27" s="55">
        <v>46034.0</v>
      </c>
      <c r="U27" s="9" t="s">
        <v>357</v>
      </c>
      <c r="V27" s="56" t="s">
        <v>358</v>
      </c>
      <c r="W27" s="57" t="b">
        <v>0</v>
      </c>
      <c r="X27" s="56" t="s">
        <v>504</v>
      </c>
      <c r="Y27" s="6" t="s">
        <v>382</v>
      </c>
      <c r="Z27" s="56" t="s">
        <v>358</v>
      </c>
      <c r="AA27" s="9" t="s">
        <v>505</v>
      </c>
      <c r="AB27" s="65" t="s">
        <v>506</v>
      </c>
      <c r="AC27" s="55"/>
      <c r="AD27" s="6" t="s">
        <v>404</v>
      </c>
      <c r="AE27" s="56" t="s">
        <v>405</v>
      </c>
    </row>
    <row r="28">
      <c r="A28" s="30" t="s">
        <v>22</v>
      </c>
      <c r="B28" s="63" t="s">
        <v>507</v>
      </c>
      <c r="C28" s="53" t="s">
        <v>508</v>
      </c>
      <c r="D28" s="53" t="s">
        <v>365</v>
      </c>
      <c r="E28" s="53" t="s">
        <v>509</v>
      </c>
      <c r="F28" s="53" t="s">
        <v>510</v>
      </c>
      <c r="G28" s="53" t="s">
        <v>354</v>
      </c>
      <c r="H28" s="53" t="s">
        <v>368</v>
      </c>
      <c r="I28" s="53" t="s">
        <v>446</v>
      </c>
      <c r="J28" s="12" t="b">
        <v>1</v>
      </c>
      <c r="K28" s="12" t="b">
        <v>1</v>
      </c>
      <c r="L28" s="12" t="b">
        <v>1</v>
      </c>
      <c r="M28" s="12" t="b">
        <v>1</v>
      </c>
      <c r="N28" s="10" t="b">
        <v>1</v>
      </c>
      <c r="O28" s="10" t="b">
        <v>1</v>
      </c>
      <c r="P28" s="10" t="b">
        <v>1</v>
      </c>
      <c r="Q28" s="10" t="b">
        <v>1</v>
      </c>
      <c r="R28" s="10" t="b">
        <v>1</v>
      </c>
      <c r="S28" s="57" t="b">
        <v>1</v>
      </c>
      <c r="T28" s="55">
        <v>46105.0</v>
      </c>
      <c r="U28" s="9" t="s">
        <v>361</v>
      </c>
      <c r="V28" s="56" t="s">
        <v>362</v>
      </c>
      <c r="W28" s="57" t="b">
        <v>0</v>
      </c>
      <c r="X28" s="56" t="s">
        <v>511</v>
      </c>
      <c r="Y28" s="6" t="s">
        <v>404</v>
      </c>
      <c r="Z28" s="56" t="s">
        <v>432</v>
      </c>
      <c r="AA28" s="9" t="s">
        <v>512</v>
      </c>
      <c r="AB28" s="9" t="s">
        <v>513</v>
      </c>
      <c r="AC28" s="55">
        <v>46112.0</v>
      </c>
      <c r="AD28" s="6" t="s">
        <v>404</v>
      </c>
      <c r="AE28" s="56" t="s">
        <v>405</v>
      </c>
    </row>
    <row r="29">
      <c r="A29" s="30" t="s">
        <v>22</v>
      </c>
      <c r="B29" s="63" t="s">
        <v>514</v>
      </c>
      <c r="C29" s="53" t="s">
        <v>515</v>
      </c>
      <c r="D29" s="53" t="s">
        <v>365</v>
      </c>
      <c r="E29" s="53" t="s">
        <v>516</v>
      </c>
      <c r="F29" s="53" t="s">
        <v>517</v>
      </c>
      <c r="G29" s="53" t="s">
        <v>354</v>
      </c>
      <c r="H29" s="53" t="s">
        <v>355</v>
      </c>
      <c r="I29" s="53" t="s">
        <v>380</v>
      </c>
      <c r="J29" s="12" t="b">
        <v>1</v>
      </c>
      <c r="K29" s="12" t="b">
        <v>1</v>
      </c>
      <c r="L29" s="12" t="b">
        <v>1</v>
      </c>
      <c r="M29" s="10" t="b">
        <v>1</v>
      </c>
      <c r="N29" s="10" t="b">
        <v>1</v>
      </c>
      <c r="O29" s="10" t="b">
        <v>1</v>
      </c>
      <c r="P29" s="57" t="b">
        <v>1</v>
      </c>
      <c r="Q29" s="10" t="b">
        <v>0</v>
      </c>
      <c r="R29" s="10" t="b">
        <v>0</v>
      </c>
      <c r="S29" s="10" t="b">
        <v>0</v>
      </c>
      <c r="T29" s="55">
        <v>46105.0</v>
      </c>
      <c r="U29" s="9" t="s">
        <v>361</v>
      </c>
      <c r="V29" s="56" t="s">
        <v>362</v>
      </c>
      <c r="W29" s="57" t="b">
        <v>0</v>
      </c>
      <c r="X29" s="6" t="s">
        <v>518</v>
      </c>
      <c r="Y29" s="53"/>
      <c r="Z29" s="58"/>
      <c r="AA29" s="9" t="s">
        <v>439</v>
      </c>
      <c r="AB29" s="9" t="s">
        <v>360</v>
      </c>
      <c r="AC29" s="55">
        <v>46112.0</v>
      </c>
      <c r="AD29" s="6" t="s">
        <v>361</v>
      </c>
      <c r="AE29" s="56" t="s">
        <v>362</v>
      </c>
    </row>
    <row r="30">
      <c r="A30" s="30" t="s">
        <v>22</v>
      </c>
      <c r="B30" s="63" t="s">
        <v>519</v>
      </c>
      <c r="C30" s="53" t="s">
        <v>520</v>
      </c>
      <c r="D30" s="53" t="s">
        <v>365</v>
      </c>
      <c r="E30" s="53" t="s">
        <v>521</v>
      </c>
      <c r="F30" s="53" t="s">
        <v>522</v>
      </c>
      <c r="G30" s="53" t="s">
        <v>354</v>
      </c>
      <c r="H30" s="53" t="s">
        <v>475</v>
      </c>
      <c r="I30" s="53" t="s">
        <v>356</v>
      </c>
      <c r="J30" s="12" t="b">
        <v>1</v>
      </c>
      <c r="K30" s="12" t="b">
        <v>1</v>
      </c>
      <c r="L30" s="12" t="b">
        <v>1</v>
      </c>
      <c r="M30" s="54" t="b">
        <v>1</v>
      </c>
      <c r="N30" s="12" t="b">
        <v>0</v>
      </c>
      <c r="O30" s="12" t="b">
        <v>0</v>
      </c>
      <c r="P30" s="12" t="b">
        <v>0</v>
      </c>
      <c r="Q30" s="10" t="b">
        <v>0</v>
      </c>
      <c r="R30" s="10" t="b">
        <v>0</v>
      </c>
      <c r="S30" s="10" t="b">
        <v>0</v>
      </c>
      <c r="T30" s="55">
        <v>46024.0</v>
      </c>
      <c r="U30" s="9" t="s">
        <v>357</v>
      </c>
      <c r="V30" s="56" t="s">
        <v>358</v>
      </c>
      <c r="W30" s="57" t="b">
        <v>0</v>
      </c>
      <c r="X30" s="56" t="s">
        <v>523</v>
      </c>
      <c r="Y30" s="53"/>
      <c r="Z30" s="58"/>
      <c r="AA30" s="4"/>
      <c r="AB30" s="9" t="s">
        <v>360</v>
      </c>
      <c r="AC30" s="55">
        <v>46112.0</v>
      </c>
      <c r="AD30" s="6" t="s">
        <v>361</v>
      </c>
      <c r="AE30" s="56" t="s">
        <v>362</v>
      </c>
    </row>
    <row r="31">
      <c r="A31" s="30" t="s">
        <v>22</v>
      </c>
      <c r="B31" s="63" t="s">
        <v>448</v>
      </c>
      <c r="C31" s="53" t="s">
        <v>524</v>
      </c>
      <c r="D31" s="53" t="s">
        <v>365</v>
      </c>
      <c r="E31" s="53" t="s">
        <v>525</v>
      </c>
      <c r="F31" s="53" t="s">
        <v>409</v>
      </c>
      <c r="G31" s="53" t="s">
        <v>354</v>
      </c>
      <c r="H31" s="53" t="s">
        <v>368</v>
      </c>
      <c r="I31" s="53" t="s">
        <v>356</v>
      </c>
      <c r="J31" s="12" t="b">
        <v>1</v>
      </c>
      <c r="K31" s="12" t="b">
        <v>1</v>
      </c>
      <c r="L31" s="10" t="b">
        <v>1</v>
      </c>
      <c r="M31" s="10" t="b">
        <v>1</v>
      </c>
      <c r="N31" s="10" t="b">
        <v>1</v>
      </c>
      <c r="O31" s="54" t="b">
        <v>1</v>
      </c>
      <c r="P31" s="12" t="b">
        <v>0</v>
      </c>
      <c r="Q31" s="10" t="b">
        <v>0</v>
      </c>
      <c r="R31" s="10" t="b">
        <v>0</v>
      </c>
      <c r="S31" s="10" t="b">
        <v>0</v>
      </c>
      <c r="T31" s="55">
        <v>46044.0</v>
      </c>
      <c r="U31" s="9" t="s">
        <v>357</v>
      </c>
      <c r="V31" s="56" t="s">
        <v>358</v>
      </c>
      <c r="W31" s="57" t="b">
        <v>0</v>
      </c>
      <c r="X31" s="56" t="s">
        <v>526</v>
      </c>
      <c r="Y31" s="53"/>
      <c r="Z31" s="58"/>
      <c r="AA31" s="4"/>
      <c r="AB31" s="9" t="s">
        <v>527</v>
      </c>
      <c r="AC31" s="55">
        <v>46112.0</v>
      </c>
      <c r="AD31" s="6" t="s">
        <v>431</v>
      </c>
      <c r="AE31" s="56" t="s">
        <v>429</v>
      </c>
    </row>
    <row r="32">
      <c r="A32" s="30" t="s">
        <v>22</v>
      </c>
      <c r="B32" s="63" t="s">
        <v>528</v>
      </c>
      <c r="C32" s="53" t="s">
        <v>529</v>
      </c>
      <c r="D32" s="53" t="s">
        <v>365</v>
      </c>
      <c r="E32" s="53" t="s">
        <v>530</v>
      </c>
      <c r="F32" s="53" t="s">
        <v>531</v>
      </c>
      <c r="G32" s="53" t="s">
        <v>354</v>
      </c>
      <c r="H32" s="53" t="s">
        <v>475</v>
      </c>
      <c r="I32" s="53" t="s">
        <v>380</v>
      </c>
      <c r="J32" s="12" t="b">
        <v>1</v>
      </c>
      <c r="K32" s="10" t="b">
        <v>1</v>
      </c>
      <c r="L32" s="10" t="b">
        <v>1</v>
      </c>
      <c r="M32" s="54" t="b">
        <v>1</v>
      </c>
      <c r="N32" s="12" t="b">
        <v>0</v>
      </c>
      <c r="O32" s="12" t="b">
        <v>0</v>
      </c>
      <c r="P32" s="12" t="b">
        <v>0</v>
      </c>
      <c r="Q32" s="10" t="b">
        <v>0</v>
      </c>
      <c r="R32" s="10" t="b">
        <v>0</v>
      </c>
      <c r="S32" s="10" t="b">
        <v>0</v>
      </c>
      <c r="T32" s="55">
        <v>46034.0</v>
      </c>
      <c r="U32" s="9" t="s">
        <v>357</v>
      </c>
      <c r="V32" s="56" t="s">
        <v>358</v>
      </c>
      <c r="W32" s="57" t="b">
        <v>0</v>
      </c>
      <c r="X32" s="6" t="s">
        <v>532</v>
      </c>
      <c r="Y32" s="53"/>
      <c r="Z32" s="58"/>
      <c r="AA32" s="4"/>
      <c r="AB32" s="9" t="s">
        <v>384</v>
      </c>
      <c r="AC32" s="55">
        <v>46112.0</v>
      </c>
      <c r="AD32" s="6" t="s">
        <v>357</v>
      </c>
      <c r="AE32" s="56" t="s">
        <v>358</v>
      </c>
    </row>
    <row r="33">
      <c r="A33" s="30" t="s">
        <v>22</v>
      </c>
      <c r="B33" s="61" t="s">
        <v>533</v>
      </c>
      <c r="C33" s="53" t="s">
        <v>534</v>
      </c>
      <c r="D33" s="53" t="s">
        <v>365</v>
      </c>
      <c r="E33" s="53" t="s">
        <v>535</v>
      </c>
      <c r="F33" s="53" t="s">
        <v>536</v>
      </c>
      <c r="G33" s="53" t="s">
        <v>354</v>
      </c>
      <c r="H33" s="53" t="s">
        <v>355</v>
      </c>
      <c r="I33" s="53" t="s">
        <v>356</v>
      </c>
      <c r="J33" s="12" t="b">
        <v>1</v>
      </c>
      <c r="K33" s="57" t="b">
        <v>1</v>
      </c>
      <c r="L33" s="54" t="b">
        <v>1</v>
      </c>
      <c r="M33" s="12" t="b">
        <v>0</v>
      </c>
      <c r="N33" s="12" t="b">
        <v>0</v>
      </c>
      <c r="O33" s="12" t="b">
        <v>0</v>
      </c>
      <c r="P33" s="12" t="b">
        <v>0</v>
      </c>
      <c r="Q33" s="10" t="b">
        <v>0</v>
      </c>
      <c r="R33" s="10" t="b">
        <v>0</v>
      </c>
      <c r="S33" s="10" t="b">
        <v>0</v>
      </c>
      <c r="T33" s="55">
        <v>46035.0</v>
      </c>
      <c r="U33" s="9" t="s">
        <v>357</v>
      </c>
      <c r="V33" s="56" t="s">
        <v>358</v>
      </c>
      <c r="W33" s="54" t="b">
        <v>1</v>
      </c>
      <c r="X33" s="6" t="s">
        <v>537</v>
      </c>
      <c r="Y33" s="6" t="s">
        <v>382</v>
      </c>
      <c r="Z33" s="56" t="s">
        <v>358</v>
      </c>
      <c r="AA33" s="9" t="s">
        <v>538</v>
      </c>
      <c r="AB33" s="9" t="s">
        <v>360</v>
      </c>
      <c r="AC33" s="55">
        <v>46112.0</v>
      </c>
      <c r="AD33" s="6" t="s">
        <v>361</v>
      </c>
      <c r="AE33" s="56" t="s">
        <v>362</v>
      </c>
    </row>
    <row r="34">
      <c r="A34" s="30" t="s">
        <v>22</v>
      </c>
      <c r="B34" s="63" t="s">
        <v>539</v>
      </c>
      <c r="C34" s="53" t="s">
        <v>540</v>
      </c>
      <c r="D34" s="53" t="s">
        <v>351</v>
      </c>
      <c r="E34" s="53" t="s">
        <v>541</v>
      </c>
      <c r="F34" s="53" t="s">
        <v>542</v>
      </c>
      <c r="G34" s="53" t="s">
        <v>354</v>
      </c>
      <c r="H34" s="53" t="s">
        <v>368</v>
      </c>
      <c r="I34" s="53" t="s">
        <v>380</v>
      </c>
      <c r="J34" s="12" t="b">
        <v>1</v>
      </c>
      <c r="K34" s="10" t="b">
        <v>1</v>
      </c>
      <c r="L34" s="10" t="b">
        <v>1</v>
      </c>
      <c r="M34" s="10" t="b">
        <v>1</v>
      </c>
      <c r="N34" s="10" t="b">
        <v>1</v>
      </c>
      <c r="O34" s="54" t="b">
        <v>1</v>
      </c>
      <c r="P34" s="57" t="b">
        <v>1</v>
      </c>
      <c r="Q34" s="10" t="b">
        <v>0</v>
      </c>
      <c r="R34" s="10" t="b">
        <v>0</v>
      </c>
      <c r="S34" s="10" t="b">
        <v>0</v>
      </c>
      <c r="T34" s="55">
        <v>46105.0</v>
      </c>
      <c r="U34" s="9" t="s">
        <v>543</v>
      </c>
      <c r="V34" s="56" t="s">
        <v>358</v>
      </c>
      <c r="W34" s="57" t="b">
        <v>0</v>
      </c>
      <c r="X34" s="6" t="s">
        <v>544</v>
      </c>
      <c r="Y34" s="6" t="s">
        <v>404</v>
      </c>
      <c r="Z34" s="56" t="s">
        <v>432</v>
      </c>
      <c r="AA34" s="9" t="s">
        <v>545</v>
      </c>
      <c r="AB34" s="9" t="s">
        <v>546</v>
      </c>
      <c r="AC34" s="55">
        <v>46112.0</v>
      </c>
      <c r="AD34" s="6" t="s">
        <v>404</v>
      </c>
      <c r="AE34" s="56" t="s">
        <v>405</v>
      </c>
    </row>
    <row r="35">
      <c r="A35" s="30" t="s">
        <v>22</v>
      </c>
      <c r="B35" s="64" t="s">
        <v>547</v>
      </c>
      <c r="C35" s="53" t="s">
        <v>548</v>
      </c>
      <c r="D35" s="53" t="s">
        <v>351</v>
      </c>
      <c r="E35" s="53" t="s">
        <v>549</v>
      </c>
      <c r="F35" s="53" t="s">
        <v>550</v>
      </c>
      <c r="G35" s="53" t="s">
        <v>354</v>
      </c>
      <c r="H35" s="53" t="s">
        <v>368</v>
      </c>
      <c r="I35" s="53" t="s">
        <v>446</v>
      </c>
      <c r="J35" s="12" t="b">
        <v>1</v>
      </c>
      <c r="K35" s="10" t="b">
        <v>1</v>
      </c>
      <c r="L35" s="10" t="b">
        <v>1</v>
      </c>
      <c r="M35" s="57" t="b">
        <v>1</v>
      </c>
      <c r="N35" s="57" t="b">
        <v>1</v>
      </c>
      <c r="O35" s="54" t="b">
        <v>1</v>
      </c>
      <c r="P35" s="12" t="b">
        <v>0</v>
      </c>
      <c r="Q35" s="10" t="b">
        <v>0</v>
      </c>
      <c r="R35" s="10" t="b">
        <v>0</v>
      </c>
      <c r="S35" s="10" t="b">
        <v>0</v>
      </c>
      <c r="T35" s="55">
        <v>46045.0</v>
      </c>
      <c r="U35" s="9" t="s">
        <v>357</v>
      </c>
      <c r="V35" s="56" t="s">
        <v>358</v>
      </c>
      <c r="W35" s="54" t="b">
        <v>1</v>
      </c>
      <c r="X35" s="56" t="s">
        <v>551</v>
      </c>
      <c r="Y35" s="6" t="s">
        <v>382</v>
      </c>
      <c r="Z35" s="56" t="s">
        <v>358</v>
      </c>
      <c r="AA35" s="9" t="s">
        <v>552</v>
      </c>
      <c r="AB35" s="9" t="s">
        <v>360</v>
      </c>
      <c r="AC35" s="55">
        <v>46112.0</v>
      </c>
      <c r="AD35" s="6" t="s">
        <v>361</v>
      </c>
      <c r="AE35" s="56" t="s">
        <v>362</v>
      </c>
    </row>
    <row r="36">
      <c r="A36" s="30" t="s">
        <v>22</v>
      </c>
      <c r="B36" s="63" t="s">
        <v>553</v>
      </c>
      <c r="C36" s="53" t="s">
        <v>554</v>
      </c>
      <c r="D36" s="53" t="s">
        <v>365</v>
      </c>
      <c r="E36" s="53" t="s">
        <v>555</v>
      </c>
      <c r="F36" s="53" t="s">
        <v>465</v>
      </c>
      <c r="G36" s="53" t="s">
        <v>354</v>
      </c>
      <c r="H36" s="53" t="s">
        <v>475</v>
      </c>
      <c r="I36" s="53" t="s">
        <v>446</v>
      </c>
      <c r="J36" s="12" t="b">
        <v>1</v>
      </c>
      <c r="K36" s="54" t="b">
        <v>1</v>
      </c>
      <c r="L36" s="12" t="b">
        <v>0</v>
      </c>
      <c r="M36" s="12" t="b">
        <v>0</v>
      </c>
      <c r="N36" s="12" t="b">
        <v>0</v>
      </c>
      <c r="O36" s="12" t="b">
        <v>0</v>
      </c>
      <c r="P36" s="12" t="b">
        <v>0</v>
      </c>
      <c r="Q36" s="10" t="b">
        <v>0</v>
      </c>
      <c r="R36" s="10" t="b">
        <v>0</v>
      </c>
      <c r="S36" s="10" t="b">
        <v>0</v>
      </c>
      <c r="T36" s="55">
        <v>46024.0</v>
      </c>
      <c r="U36" s="9" t="s">
        <v>357</v>
      </c>
      <c r="V36" s="56" t="s">
        <v>358</v>
      </c>
      <c r="W36" s="57" t="b">
        <v>0</v>
      </c>
      <c r="X36" s="56" t="s">
        <v>556</v>
      </c>
      <c r="Y36" s="53"/>
      <c r="Z36" s="58"/>
      <c r="AA36" s="4"/>
      <c r="AB36" s="9" t="s">
        <v>557</v>
      </c>
      <c r="AC36" s="55">
        <v>46113.0</v>
      </c>
      <c r="AD36" s="6" t="s">
        <v>361</v>
      </c>
      <c r="AE36" s="56" t="s">
        <v>362</v>
      </c>
    </row>
    <row r="37">
      <c r="A37" s="30" t="s">
        <v>22</v>
      </c>
      <c r="B37" s="63" t="s">
        <v>558</v>
      </c>
      <c r="C37" s="53" t="s">
        <v>559</v>
      </c>
      <c r="D37" s="53" t="s">
        <v>351</v>
      </c>
      <c r="E37" s="53" t="s">
        <v>560</v>
      </c>
      <c r="F37" s="53" t="s">
        <v>409</v>
      </c>
      <c r="G37" s="53" t="s">
        <v>354</v>
      </c>
      <c r="H37" s="53" t="s">
        <v>475</v>
      </c>
      <c r="I37" s="53" t="s">
        <v>356</v>
      </c>
      <c r="J37" s="12" t="b">
        <v>1</v>
      </c>
      <c r="K37" s="54" t="b">
        <v>1</v>
      </c>
      <c r="L37" s="12" t="b">
        <v>0</v>
      </c>
      <c r="M37" s="12" t="b">
        <v>0</v>
      </c>
      <c r="N37" s="12" t="b">
        <v>0</v>
      </c>
      <c r="O37" s="12" t="b">
        <v>0</v>
      </c>
      <c r="P37" s="12" t="b">
        <v>0</v>
      </c>
      <c r="Q37" s="10" t="b">
        <v>0</v>
      </c>
      <c r="R37" s="10" t="b">
        <v>0</v>
      </c>
      <c r="S37" s="10" t="b">
        <v>0</v>
      </c>
      <c r="T37" s="55">
        <v>46024.0</v>
      </c>
      <c r="U37" s="9" t="s">
        <v>357</v>
      </c>
      <c r="V37" s="56" t="s">
        <v>358</v>
      </c>
      <c r="W37" s="57" t="b">
        <v>0</v>
      </c>
      <c r="X37" s="56" t="s">
        <v>561</v>
      </c>
      <c r="Y37" s="53"/>
      <c r="Z37" s="58"/>
      <c r="AA37" s="4"/>
      <c r="AB37" s="9" t="s">
        <v>384</v>
      </c>
      <c r="AC37" s="55">
        <v>46113.0</v>
      </c>
      <c r="AD37" s="6" t="s">
        <v>357</v>
      </c>
      <c r="AE37" s="56" t="s">
        <v>358</v>
      </c>
    </row>
    <row r="38">
      <c r="A38" s="30" t="s">
        <v>22</v>
      </c>
      <c r="B38" s="63" t="s">
        <v>562</v>
      </c>
      <c r="C38" s="53" t="s">
        <v>563</v>
      </c>
      <c r="D38" s="53" t="s">
        <v>365</v>
      </c>
      <c r="E38" s="53" t="s">
        <v>564</v>
      </c>
      <c r="F38" s="53" t="s">
        <v>409</v>
      </c>
      <c r="G38" s="53" t="s">
        <v>354</v>
      </c>
      <c r="H38" s="53" t="s">
        <v>355</v>
      </c>
      <c r="I38" s="53" t="s">
        <v>446</v>
      </c>
      <c r="J38" s="12" t="b">
        <v>1</v>
      </c>
      <c r="K38" s="54" t="b">
        <v>1</v>
      </c>
      <c r="L38" s="12" t="b">
        <v>0</v>
      </c>
      <c r="M38" s="12" t="b">
        <v>0</v>
      </c>
      <c r="N38" s="12" t="b">
        <v>0</v>
      </c>
      <c r="O38" s="12" t="b">
        <v>0</v>
      </c>
      <c r="P38" s="12" t="b">
        <v>0</v>
      </c>
      <c r="Q38" s="10" t="b">
        <v>0</v>
      </c>
      <c r="R38" s="10" t="b">
        <v>0</v>
      </c>
      <c r="S38" s="10" t="b">
        <v>0</v>
      </c>
      <c r="T38" s="55">
        <v>46024.0</v>
      </c>
      <c r="U38" s="9" t="s">
        <v>357</v>
      </c>
      <c r="V38" s="56" t="s">
        <v>358</v>
      </c>
      <c r="W38" s="57" t="b">
        <v>0</v>
      </c>
      <c r="X38" s="56" t="s">
        <v>565</v>
      </c>
      <c r="Y38" s="53"/>
      <c r="Z38" s="58"/>
      <c r="AA38" s="4"/>
      <c r="AB38" s="9" t="s">
        <v>566</v>
      </c>
      <c r="AC38" s="55">
        <v>46113.0</v>
      </c>
      <c r="AD38" s="6" t="s">
        <v>404</v>
      </c>
      <c r="AE38" s="56" t="s">
        <v>405</v>
      </c>
    </row>
    <row r="39">
      <c r="A39" s="30" t="s">
        <v>22</v>
      </c>
      <c r="B39" s="53" t="s">
        <v>567</v>
      </c>
      <c r="C39" s="53" t="s">
        <v>568</v>
      </c>
      <c r="D39" s="53" t="s">
        <v>351</v>
      </c>
      <c r="E39" s="53" t="s">
        <v>569</v>
      </c>
      <c r="F39" s="53" t="s">
        <v>409</v>
      </c>
      <c r="G39" s="53" t="s">
        <v>354</v>
      </c>
      <c r="H39" s="53" t="s">
        <v>400</v>
      </c>
      <c r="I39" s="53" t="s">
        <v>380</v>
      </c>
      <c r="J39" s="12" t="b">
        <v>1</v>
      </c>
      <c r="K39" s="12" t="b">
        <v>1</v>
      </c>
      <c r="L39" s="54" t="b">
        <v>1</v>
      </c>
      <c r="M39" s="12" t="b">
        <v>0</v>
      </c>
      <c r="N39" s="12" t="b">
        <v>0</v>
      </c>
      <c r="O39" s="12" t="b">
        <v>0</v>
      </c>
      <c r="P39" s="12" t="b">
        <v>0</v>
      </c>
      <c r="Q39" s="10" t="b">
        <v>0</v>
      </c>
      <c r="R39" s="10" t="b">
        <v>0</v>
      </c>
      <c r="S39" s="10" t="b">
        <v>0</v>
      </c>
      <c r="T39" s="55">
        <v>46027.0</v>
      </c>
      <c r="U39" s="9" t="s">
        <v>357</v>
      </c>
      <c r="V39" s="56" t="s">
        <v>358</v>
      </c>
      <c r="W39" s="57" t="b">
        <v>0</v>
      </c>
      <c r="X39" s="6" t="s">
        <v>570</v>
      </c>
      <c r="Y39" s="53"/>
      <c r="Z39" s="58"/>
      <c r="AA39" s="4"/>
      <c r="AB39" s="9" t="s">
        <v>384</v>
      </c>
      <c r="AC39" s="55">
        <v>46113.0</v>
      </c>
      <c r="AD39" s="6" t="s">
        <v>357</v>
      </c>
      <c r="AE39" s="56" t="s">
        <v>358</v>
      </c>
    </row>
    <row r="40">
      <c r="A40" s="30" t="s">
        <v>22</v>
      </c>
      <c r="B40" s="53" t="s">
        <v>571</v>
      </c>
      <c r="C40" s="53" t="s">
        <v>572</v>
      </c>
      <c r="D40" s="53" t="s">
        <v>365</v>
      </c>
      <c r="E40" s="53" t="s">
        <v>573</v>
      </c>
      <c r="F40" s="53" t="s">
        <v>574</v>
      </c>
      <c r="G40" s="53" t="s">
        <v>354</v>
      </c>
      <c r="H40" s="53" t="s">
        <v>355</v>
      </c>
      <c r="I40" s="53" t="s">
        <v>356</v>
      </c>
      <c r="J40" s="12" t="b">
        <v>1</v>
      </c>
      <c r="K40" s="10" t="b">
        <v>1</v>
      </c>
      <c r="L40" s="10" t="b">
        <v>1</v>
      </c>
      <c r="M40" s="10" t="b">
        <v>1</v>
      </c>
      <c r="N40" s="10" t="b">
        <v>1</v>
      </c>
      <c r="O40" s="57" t="b">
        <v>1</v>
      </c>
      <c r="P40" s="12" t="b">
        <v>0</v>
      </c>
      <c r="Q40" s="10" t="b">
        <v>0</v>
      </c>
      <c r="R40" s="10" t="b">
        <v>0</v>
      </c>
      <c r="S40" s="10" t="b">
        <v>0</v>
      </c>
      <c r="T40" s="55">
        <v>46105.0</v>
      </c>
      <c r="U40" s="9" t="s">
        <v>361</v>
      </c>
      <c r="V40" s="56" t="s">
        <v>362</v>
      </c>
      <c r="W40" s="57" t="b">
        <v>0</v>
      </c>
      <c r="X40" s="6" t="s">
        <v>575</v>
      </c>
      <c r="Y40" s="53"/>
      <c r="Z40" s="58"/>
      <c r="AA40" s="9" t="s">
        <v>439</v>
      </c>
      <c r="AB40" s="9" t="s">
        <v>384</v>
      </c>
      <c r="AC40" s="55">
        <v>46113.0</v>
      </c>
      <c r="AD40" s="6" t="s">
        <v>357</v>
      </c>
      <c r="AE40" s="56" t="s">
        <v>358</v>
      </c>
    </row>
    <row r="41">
      <c r="A41" s="30" t="s">
        <v>22</v>
      </c>
      <c r="B41" s="53" t="s">
        <v>576</v>
      </c>
      <c r="C41" s="53" t="s">
        <v>577</v>
      </c>
      <c r="D41" s="53" t="s">
        <v>351</v>
      </c>
      <c r="E41" s="53" t="s">
        <v>578</v>
      </c>
      <c r="F41" s="53" t="s">
        <v>409</v>
      </c>
      <c r="G41" s="53" t="s">
        <v>354</v>
      </c>
      <c r="H41" s="53" t="s">
        <v>475</v>
      </c>
      <c r="I41" s="53" t="s">
        <v>380</v>
      </c>
      <c r="J41" s="12" t="b">
        <v>1</v>
      </c>
      <c r="K41" s="12" t="b">
        <v>1</v>
      </c>
      <c r="L41" s="12" t="b">
        <v>1</v>
      </c>
      <c r="M41" s="12" t="b">
        <v>1</v>
      </c>
      <c r="N41" s="10" t="b">
        <v>1</v>
      </c>
      <c r="O41" s="10" t="b">
        <v>1</v>
      </c>
      <c r="P41" s="10" t="b">
        <v>1</v>
      </c>
      <c r="Q41" s="10" t="b">
        <v>0</v>
      </c>
      <c r="R41" s="10" t="b">
        <v>0</v>
      </c>
      <c r="S41" s="10" t="b">
        <v>0</v>
      </c>
      <c r="T41" s="55">
        <v>46034.0</v>
      </c>
      <c r="U41" s="9" t="s">
        <v>357</v>
      </c>
      <c r="V41" s="56" t="s">
        <v>358</v>
      </c>
      <c r="W41" s="57" t="b">
        <v>0</v>
      </c>
      <c r="X41" s="6" t="s">
        <v>579</v>
      </c>
      <c r="Y41" s="53"/>
      <c r="Z41" s="58"/>
      <c r="AA41" s="4"/>
      <c r="AB41" s="9" t="s">
        <v>557</v>
      </c>
      <c r="AC41" s="55">
        <v>46113.0</v>
      </c>
      <c r="AD41" s="6" t="s">
        <v>361</v>
      </c>
      <c r="AE41" s="56" t="s">
        <v>362</v>
      </c>
    </row>
    <row r="42">
      <c r="A42" s="30" t="s">
        <v>22</v>
      </c>
      <c r="B42" s="53" t="s">
        <v>580</v>
      </c>
      <c r="C42" s="53" t="s">
        <v>581</v>
      </c>
      <c r="D42" s="53" t="s">
        <v>351</v>
      </c>
      <c r="E42" s="53" t="s">
        <v>582</v>
      </c>
      <c r="F42" s="53" t="s">
        <v>409</v>
      </c>
      <c r="G42" s="53" t="s">
        <v>354</v>
      </c>
      <c r="H42" s="53" t="s">
        <v>355</v>
      </c>
      <c r="I42" s="53" t="s">
        <v>356</v>
      </c>
      <c r="J42" s="12" t="b">
        <v>1</v>
      </c>
      <c r="K42" s="12" t="b">
        <v>1</v>
      </c>
      <c r="L42" s="10" t="b">
        <v>1</v>
      </c>
      <c r="M42" s="10" t="b">
        <v>1</v>
      </c>
      <c r="N42" s="10" t="b">
        <v>1</v>
      </c>
      <c r="O42" s="54" t="b">
        <v>1</v>
      </c>
      <c r="P42" s="12" t="b">
        <v>0</v>
      </c>
      <c r="Q42" s="10" t="b">
        <v>0</v>
      </c>
      <c r="R42" s="10" t="b">
        <v>0</v>
      </c>
      <c r="S42" s="10" t="b">
        <v>0</v>
      </c>
      <c r="T42" s="55">
        <v>46034.0</v>
      </c>
      <c r="U42" s="9" t="s">
        <v>357</v>
      </c>
      <c r="V42" s="56" t="s">
        <v>358</v>
      </c>
      <c r="W42" s="57" t="b">
        <v>0</v>
      </c>
      <c r="X42" s="56" t="s">
        <v>583</v>
      </c>
      <c r="Y42" s="53"/>
      <c r="Z42" s="58"/>
      <c r="AA42" s="4"/>
      <c r="AB42" s="9" t="s">
        <v>584</v>
      </c>
      <c r="AC42" s="55">
        <v>46113.0</v>
      </c>
      <c r="AD42" s="6" t="s">
        <v>404</v>
      </c>
      <c r="AE42" s="56" t="s">
        <v>405</v>
      </c>
    </row>
    <row r="43">
      <c r="A43" s="30" t="s">
        <v>22</v>
      </c>
      <c r="B43" s="66" t="s">
        <v>585</v>
      </c>
      <c r="C43" s="53" t="s">
        <v>586</v>
      </c>
      <c r="D43" s="53" t="s">
        <v>351</v>
      </c>
      <c r="E43" s="53" t="s">
        <v>587</v>
      </c>
      <c r="F43" s="53" t="s">
        <v>409</v>
      </c>
      <c r="G43" s="53" t="s">
        <v>354</v>
      </c>
      <c r="H43" s="53" t="s">
        <v>355</v>
      </c>
      <c r="I43" s="53" t="s">
        <v>356</v>
      </c>
      <c r="J43" s="12" t="b">
        <v>1</v>
      </c>
      <c r="K43" s="12" t="b">
        <v>1</v>
      </c>
      <c r="L43" s="57" t="b">
        <v>1</v>
      </c>
      <c r="M43" s="67" t="b">
        <v>1</v>
      </c>
      <c r="N43" s="67" t="b">
        <v>1</v>
      </c>
      <c r="O43" s="67" t="b">
        <v>1</v>
      </c>
      <c r="P43" s="67" t="b">
        <v>1</v>
      </c>
      <c r="Q43" s="67" t="b">
        <v>1</v>
      </c>
      <c r="R43" s="10" t="b">
        <v>0</v>
      </c>
      <c r="S43" s="10" t="b">
        <v>0</v>
      </c>
      <c r="T43" s="55">
        <v>46112.0</v>
      </c>
      <c r="U43" s="9" t="s">
        <v>431</v>
      </c>
      <c r="V43" s="56" t="s">
        <v>588</v>
      </c>
      <c r="W43" s="57" t="b">
        <v>1</v>
      </c>
      <c r="X43" s="56" t="s">
        <v>589</v>
      </c>
      <c r="Y43" s="6" t="s">
        <v>361</v>
      </c>
      <c r="Z43" s="56" t="s">
        <v>362</v>
      </c>
      <c r="AA43" s="9" t="s">
        <v>590</v>
      </c>
      <c r="AB43" s="4"/>
      <c r="AC43" s="4"/>
      <c r="AD43" s="4"/>
      <c r="AE43" s="4"/>
    </row>
    <row r="44">
      <c r="A44" s="30" t="s">
        <v>22</v>
      </c>
      <c r="B44" s="53" t="s">
        <v>591</v>
      </c>
      <c r="C44" s="53" t="s">
        <v>592</v>
      </c>
      <c r="D44" s="53" t="s">
        <v>351</v>
      </c>
      <c r="E44" s="53" t="s">
        <v>593</v>
      </c>
      <c r="F44" s="53" t="s">
        <v>409</v>
      </c>
      <c r="G44" s="53" t="s">
        <v>354</v>
      </c>
      <c r="H44" s="53" t="s">
        <v>368</v>
      </c>
      <c r="I44" s="53" t="s">
        <v>356</v>
      </c>
      <c r="J44" s="12" t="b">
        <v>1</v>
      </c>
      <c r="K44" s="12" t="b">
        <v>1</v>
      </c>
      <c r="L44" s="10" t="b">
        <v>1</v>
      </c>
      <c r="M44" s="10" t="b">
        <v>1</v>
      </c>
      <c r="N44" s="54" t="b">
        <v>1</v>
      </c>
      <c r="O44" s="12" t="b">
        <v>0</v>
      </c>
      <c r="P44" s="12" t="b">
        <v>0</v>
      </c>
      <c r="Q44" s="10" t="b">
        <v>0</v>
      </c>
      <c r="R44" s="10" t="b">
        <v>0</v>
      </c>
      <c r="S44" s="10" t="b">
        <v>0</v>
      </c>
      <c r="T44" s="55">
        <v>46034.0</v>
      </c>
      <c r="U44" s="9" t="s">
        <v>424</v>
      </c>
      <c r="V44" s="56" t="s">
        <v>358</v>
      </c>
      <c r="W44" s="57" t="b">
        <v>0</v>
      </c>
      <c r="X44" s="6" t="s">
        <v>594</v>
      </c>
      <c r="Y44" s="53"/>
      <c r="Z44" s="58"/>
      <c r="AA44" s="4"/>
      <c r="AB44" s="4"/>
      <c r="AC44" s="4"/>
      <c r="AD44" s="4"/>
      <c r="AE44" s="4"/>
    </row>
    <row r="45">
      <c r="A45" s="30" t="s">
        <v>22</v>
      </c>
      <c r="B45" s="53" t="s">
        <v>595</v>
      </c>
      <c r="C45" s="53" t="s">
        <v>596</v>
      </c>
      <c r="D45" s="53" t="s">
        <v>351</v>
      </c>
      <c r="E45" s="53" t="s">
        <v>597</v>
      </c>
      <c r="F45" s="53" t="s">
        <v>409</v>
      </c>
      <c r="G45" s="53" t="s">
        <v>354</v>
      </c>
      <c r="H45" s="53" t="s">
        <v>355</v>
      </c>
      <c r="I45" s="53" t="s">
        <v>356</v>
      </c>
      <c r="J45" s="12" t="b">
        <v>1</v>
      </c>
      <c r="K45" s="54" t="b">
        <v>1</v>
      </c>
      <c r="L45" s="12" t="b">
        <v>0</v>
      </c>
      <c r="M45" s="12" t="b">
        <v>0</v>
      </c>
      <c r="N45" s="12" t="b">
        <v>0</v>
      </c>
      <c r="O45" s="12" t="b">
        <v>0</v>
      </c>
      <c r="P45" s="12" t="b">
        <v>0</v>
      </c>
      <c r="Q45" s="10" t="b">
        <v>0</v>
      </c>
      <c r="R45" s="10" t="b">
        <v>0</v>
      </c>
      <c r="S45" s="10" t="b">
        <v>0</v>
      </c>
      <c r="T45" s="55">
        <v>46024.0</v>
      </c>
      <c r="U45" s="9" t="s">
        <v>357</v>
      </c>
      <c r="V45" s="56" t="s">
        <v>358</v>
      </c>
      <c r="W45" s="57" t="b">
        <v>0</v>
      </c>
      <c r="X45" s="56" t="s">
        <v>598</v>
      </c>
      <c r="Y45" s="53"/>
      <c r="Z45" s="58"/>
      <c r="AA45" s="4"/>
      <c r="AB45" s="9" t="s">
        <v>599</v>
      </c>
      <c r="AC45" s="55">
        <v>46113.0</v>
      </c>
      <c r="AD45" s="6" t="s">
        <v>404</v>
      </c>
      <c r="AE45" s="56" t="s">
        <v>405</v>
      </c>
    </row>
    <row r="46">
      <c r="A46" s="30" t="s">
        <v>22</v>
      </c>
      <c r="B46" s="53" t="s">
        <v>600</v>
      </c>
      <c r="C46" s="53" t="s">
        <v>601</v>
      </c>
      <c r="D46" s="53" t="s">
        <v>351</v>
      </c>
      <c r="E46" s="53" t="s">
        <v>602</v>
      </c>
      <c r="F46" s="53" t="s">
        <v>414</v>
      </c>
      <c r="G46" s="53" t="s">
        <v>354</v>
      </c>
      <c r="H46" s="53" t="s">
        <v>374</v>
      </c>
      <c r="I46" s="53" t="s">
        <v>446</v>
      </c>
      <c r="J46" s="12" t="b">
        <v>1</v>
      </c>
      <c r="K46" s="12" t="b">
        <v>1</v>
      </c>
      <c r="L46" s="54" t="b">
        <v>1</v>
      </c>
      <c r="M46" s="12" t="b">
        <v>0</v>
      </c>
      <c r="N46" s="12" t="b">
        <v>0</v>
      </c>
      <c r="O46" s="12" t="b">
        <v>0</v>
      </c>
      <c r="P46" s="12" t="b">
        <v>0</v>
      </c>
      <c r="Q46" s="10" t="b">
        <v>0</v>
      </c>
      <c r="R46" s="10" t="b">
        <v>0</v>
      </c>
      <c r="S46" s="10" t="b">
        <v>0</v>
      </c>
      <c r="T46" s="55">
        <v>46027.0</v>
      </c>
      <c r="U46" s="9" t="s">
        <v>357</v>
      </c>
      <c r="V46" s="56" t="s">
        <v>358</v>
      </c>
      <c r="W46" s="57" t="b">
        <v>0</v>
      </c>
      <c r="X46" s="56" t="s">
        <v>603</v>
      </c>
      <c r="Y46" s="53"/>
      <c r="Z46" s="58"/>
      <c r="AA46" s="4"/>
      <c r="AB46" s="9" t="s">
        <v>604</v>
      </c>
      <c r="AC46" s="55">
        <v>46113.0</v>
      </c>
      <c r="AD46" s="6" t="s">
        <v>404</v>
      </c>
      <c r="AE46" s="56" t="s">
        <v>405</v>
      </c>
    </row>
    <row r="47">
      <c r="A47" s="30" t="s">
        <v>22</v>
      </c>
      <c r="B47" s="53" t="s">
        <v>605</v>
      </c>
      <c r="C47" s="6" t="s">
        <v>606</v>
      </c>
      <c r="D47" s="53" t="s">
        <v>365</v>
      </c>
      <c r="E47" s="53" t="s">
        <v>607</v>
      </c>
      <c r="F47" s="53" t="s">
        <v>608</v>
      </c>
      <c r="G47" s="53" t="s">
        <v>354</v>
      </c>
      <c r="H47" s="53" t="s">
        <v>355</v>
      </c>
      <c r="I47" s="53" t="s">
        <v>356</v>
      </c>
      <c r="J47" s="12" t="b">
        <v>1</v>
      </c>
      <c r="K47" s="12" t="b">
        <v>1</v>
      </c>
      <c r="L47" s="12" t="b">
        <v>1</v>
      </c>
      <c r="M47" s="10" t="b">
        <v>1</v>
      </c>
      <c r="N47" s="54" t="b">
        <v>1</v>
      </c>
      <c r="O47" s="12" t="b">
        <v>0</v>
      </c>
      <c r="P47" s="12" t="b">
        <v>0</v>
      </c>
      <c r="Q47" s="10" t="b">
        <v>0</v>
      </c>
      <c r="R47" s="10" t="b">
        <v>0</v>
      </c>
      <c r="S47" s="10" t="b">
        <v>0</v>
      </c>
      <c r="T47" s="55">
        <v>46029.0</v>
      </c>
      <c r="U47" s="9" t="s">
        <v>357</v>
      </c>
      <c r="V47" s="56" t="s">
        <v>358</v>
      </c>
      <c r="W47" s="57" t="b">
        <v>0</v>
      </c>
      <c r="X47" s="56" t="s">
        <v>609</v>
      </c>
      <c r="Y47" s="53"/>
      <c r="Z47" s="58"/>
      <c r="AA47" s="4"/>
      <c r="AB47" s="9" t="s">
        <v>557</v>
      </c>
      <c r="AC47" s="55">
        <v>46113.0</v>
      </c>
      <c r="AD47" s="6" t="s">
        <v>361</v>
      </c>
      <c r="AE47" s="56" t="s">
        <v>362</v>
      </c>
    </row>
    <row r="48">
      <c r="A48" s="30" t="s">
        <v>22</v>
      </c>
      <c r="B48" s="53" t="s">
        <v>610</v>
      </c>
      <c r="C48" s="53" t="s">
        <v>611</v>
      </c>
      <c r="D48" s="53" t="s">
        <v>365</v>
      </c>
      <c r="E48" s="53" t="s">
        <v>612</v>
      </c>
      <c r="F48" s="53" t="s">
        <v>409</v>
      </c>
      <c r="G48" s="53" t="s">
        <v>354</v>
      </c>
      <c r="H48" s="53" t="s">
        <v>368</v>
      </c>
      <c r="I48" s="53" t="s">
        <v>356</v>
      </c>
      <c r="J48" s="12" t="b">
        <v>1</v>
      </c>
      <c r="K48" s="54" t="b">
        <v>1</v>
      </c>
      <c r="L48" s="12" t="b">
        <v>0</v>
      </c>
      <c r="M48" s="12" t="b">
        <v>0</v>
      </c>
      <c r="N48" s="12" t="b">
        <v>0</v>
      </c>
      <c r="O48" s="12" t="b">
        <v>0</v>
      </c>
      <c r="P48" s="12" t="b">
        <v>0</v>
      </c>
      <c r="Q48" s="10" t="b">
        <v>0</v>
      </c>
      <c r="R48" s="10" t="b">
        <v>0</v>
      </c>
      <c r="S48" s="10" t="b">
        <v>0</v>
      </c>
      <c r="T48" s="55">
        <v>46024.0</v>
      </c>
      <c r="U48" s="9" t="s">
        <v>357</v>
      </c>
      <c r="V48" s="56" t="s">
        <v>358</v>
      </c>
      <c r="W48" s="57" t="b">
        <v>0</v>
      </c>
      <c r="X48" s="56" t="s">
        <v>613</v>
      </c>
      <c r="Y48" s="53"/>
      <c r="Z48" s="58"/>
      <c r="AA48" s="4"/>
      <c r="AB48" s="9" t="s">
        <v>384</v>
      </c>
      <c r="AC48" s="55">
        <v>46113.0</v>
      </c>
      <c r="AD48" s="6" t="s">
        <v>357</v>
      </c>
      <c r="AE48" s="56" t="s">
        <v>358</v>
      </c>
    </row>
    <row r="49">
      <c r="A49" s="30" t="s">
        <v>22</v>
      </c>
      <c r="B49" s="53" t="s">
        <v>614</v>
      </c>
      <c r="C49" s="53" t="s">
        <v>615</v>
      </c>
      <c r="D49" s="53" t="s">
        <v>351</v>
      </c>
      <c r="E49" s="53" t="s">
        <v>616</v>
      </c>
      <c r="F49" s="53" t="s">
        <v>465</v>
      </c>
      <c r="G49" s="53" t="s">
        <v>354</v>
      </c>
      <c r="H49" s="53" t="s">
        <v>400</v>
      </c>
      <c r="I49" s="53" t="s">
        <v>356</v>
      </c>
      <c r="J49" s="12" t="b">
        <v>1</v>
      </c>
      <c r="K49" s="54" t="b">
        <v>1</v>
      </c>
      <c r="L49" s="12" t="b">
        <v>0</v>
      </c>
      <c r="M49" s="12" t="b">
        <v>0</v>
      </c>
      <c r="N49" s="12" t="b">
        <v>0</v>
      </c>
      <c r="O49" s="12" t="b">
        <v>0</v>
      </c>
      <c r="P49" s="12" t="b">
        <v>0</v>
      </c>
      <c r="Q49" s="10" t="b">
        <v>0</v>
      </c>
      <c r="R49" s="10" t="b">
        <v>0</v>
      </c>
      <c r="S49" s="10" t="b">
        <v>0</v>
      </c>
      <c r="T49" s="55">
        <v>46024.0</v>
      </c>
      <c r="U49" s="9" t="s">
        <v>375</v>
      </c>
      <c r="V49" s="56" t="s">
        <v>358</v>
      </c>
      <c r="W49" s="57" t="b">
        <v>0</v>
      </c>
      <c r="X49" s="56" t="s">
        <v>617</v>
      </c>
      <c r="Y49" s="53"/>
      <c r="Z49" s="58"/>
      <c r="AA49" s="4"/>
      <c r="AB49" s="4"/>
      <c r="AC49" s="4"/>
      <c r="AD49" s="4"/>
      <c r="AE49" s="4"/>
    </row>
    <row r="50">
      <c r="A50" s="30" t="s">
        <v>22</v>
      </c>
      <c r="B50" s="61" t="s">
        <v>618</v>
      </c>
      <c r="C50" s="53" t="s">
        <v>619</v>
      </c>
      <c r="D50" s="53" t="s">
        <v>351</v>
      </c>
      <c r="E50" s="53" t="s">
        <v>620</v>
      </c>
      <c r="F50" s="53" t="s">
        <v>621</v>
      </c>
      <c r="G50" s="53" t="s">
        <v>354</v>
      </c>
      <c r="H50" s="53" t="s">
        <v>374</v>
      </c>
      <c r="I50" s="53" t="s">
        <v>356</v>
      </c>
      <c r="J50" s="12" t="b">
        <v>1</v>
      </c>
      <c r="K50" s="12" t="b">
        <v>1</v>
      </c>
      <c r="L50" s="10" t="b">
        <v>1</v>
      </c>
      <c r="M50" s="57" t="b">
        <v>1</v>
      </c>
      <c r="N50" s="67" t="b">
        <v>1</v>
      </c>
      <c r="O50" s="54" t="b">
        <v>1</v>
      </c>
      <c r="P50" s="12" t="b">
        <v>0</v>
      </c>
      <c r="Q50" s="10" t="b">
        <v>0</v>
      </c>
      <c r="R50" s="10" t="b">
        <v>0</v>
      </c>
      <c r="S50" s="10" t="b">
        <v>0</v>
      </c>
      <c r="T50" s="55">
        <v>46035.0</v>
      </c>
      <c r="U50" s="9" t="s">
        <v>357</v>
      </c>
      <c r="V50" s="56" t="s">
        <v>358</v>
      </c>
      <c r="W50" s="54" t="b">
        <v>1</v>
      </c>
      <c r="X50" s="56" t="s">
        <v>622</v>
      </c>
      <c r="Y50" s="6" t="s">
        <v>623</v>
      </c>
      <c r="Z50" s="56" t="s">
        <v>358</v>
      </c>
      <c r="AA50" s="9" t="s">
        <v>624</v>
      </c>
      <c r="AB50" s="9" t="s">
        <v>557</v>
      </c>
      <c r="AC50" s="55">
        <v>46113.0</v>
      </c>
      <c r="AD50" s="6" t="s">
        <v>361</v>
      </c>
      <c r="AE50" s="56" t="s">
        <v>362</v>
      </c>
    </row>
    <row r="51">
      <c r="A51" s="30" t="s">
        <v>22</v>
      </c>
      <c r="B51" s="53" t="s">
        <v>625</v>
      </c>
      <c r="C51" s="53" t="s">
        <v>626</v>
      </c>
      <c r="D51" s="53" t="s">
        <v>351</v>
      </c>
      <c r="E51" s="53" t="s">
        <v>627</v>
      </c>
      <c r="F51" s="53" t="s">
        <v>465</v>
      </c>
      <c r="G51" s="53" t="s">
        <v>354</v>
      </c>
      <c r="H51" s="53" t="s">
        <v>355</v>
      </c>
      <c r="I51" s="53" t="s">
        <v>380</v>
      </c>
      <c r="J51" s="12" t="b">
        <v>1</v>
      </c>
      <c r="K51" s="54" t="b">
        <v>1</v>
      </c>
      <c r="L51" s="12" t="b">
        <v>0</v>
      </c>
      <c r="M51" s="12" t="b">
        <v>0</v>
      </c>
      <c r="N51" s="12" t="b">
        <v>0</v>
      </c>
      <c r="O51" s="12" t="b">
        <v>0</v>
      </c>
      <c r="P51" s="12" t="b">
        <v>0</v>
      </c>
      <c r="Q51" s="10" t="b">
        <v>0</v>
      </c>
      <c r="R51" s="10" t="b">
        <v>0</v>
      </c>
      <c r="S51" s="10" t="b">
        <v>0</v>
      </c>
      <c r="T51" s="55">
        <v>46024.0</v>
      </c>
      <c r="U51" s="9" t="s">
        <v>357</v>
      </c>
      <c r="V51" s="56" t="s">
        <v>358</v>
      </c>
      <c r="W51" s="57" t="b">
        <v>0</v>
      </c>
      <c r="X51" s="56" t="s">
        <v>628</v>
      </c>
      <c r="Y51" s="53"/>
      <c r="Z51" s="58"/>
      <c r="AA51" s="4"/>
      <c r="AB51" s="9" t="s">
        <v>557</v>
      </c>
      <c r="AC51" s="55">
        <v>46113.0</v>
      </c>
      <c r="AD51" s="6" t="s">
        <v>361</v>
      </c>
      <c r="AE51" s="56" t="s">
        <v>362</v>
      </c>
    </row>
    <row r="52">
      <c r="A52" s="30" t="s">
        <v>22</v>
      </c>
      <c r="B52" s="63" t="s">
        <v>629</v>
      </c>
      <c r="C52" s="53" t="s">
        <v>630</v>
      </c>
      <c r="D52" s="53" t="s">
        <v>365</v>
      </c>
      <c r="E52" s="53" t="s">
        <v>631</v>
      </c>
      <c r="F52" s="53" t="s">
        <v>632</v>
      </c>
      <c r="G52" s="53" t="s">
        <v>354</v>
      </c>
      <c r="H52" s="53" t="s">
        <v>368</v>
      </c>
      <c r="I52" s="53" t="s">
        <v>356</v>
      </c>
      <c r="J52" s="12" t="b">
        <v>1</v>
      </c>
      <c r="K52" s="10" t="b">
        <v>1</v>
      </c>
      <c r="L52" s="57" t="b">
        <v>1</v>
      </c>
      <c r="M52" s="54" t="b">
        <v>1</v>
      </c>
      <c r="N52" s="12" t="b">
        <v>0</v>
      </c>
      <c r="O52" s="12" t="b">
        <v>0</v>
      </c>
      <c r="P52" s="12" t="b">
        <v>0</v>
      </c>
      <c r="Q52" s="10" t="b">
        <v>0</v>
      </c>
      <c r="R52" s="10" t="b">
        <v>0</v>
      </c>
      <c r="S52" s="10" t="b">
        <v>0</v>
      </c>
      <c r="T52" s="55">
        <v>46044.0</v>
      </c>
      <c r="U52" s="9" t="s">
        <v>357</v>
      </c>
      <c r="V52" s="56" t="s">
        <v>358</v>
      </c>
      <c r="W52" s="54" t="b">
        <v>1</v>
      </c>
      <c r="X52" s="56" t="s">
        <v>633</v>
      </c>
      <c r="Y52" s="6" t="s">
        <v>357</v>
      </c>
      <c r="Z52" s="56" t="s">
        <v>358</v>
      </c>
      <c r="AA52" s="9" t="s">
        <v>634</v>
      </c>
      <c r="AB52" s="65" t="s">
        <v>635</v>
      </c>
      <c r="AC52" s="55">
        <v>46114.0</v>
      </c>
      <c r="AD52" s="6" t="s">
        <v>361</v>
      </c>
      <c r="AE52" s="56" t="s">
        <v>362</v>
      </c>
    </row>
    <row r="53">
      <c r="A53" s="30" t="s">
        <v>22</v>
      </c>
      <c r="B53" s="53" t="s">
        <v>636</v>
      </c>
      <c r="C53" s="53" t="s">
        <v>637</v>
      </c>
      <c r="D53" s="53" t="s">
        <v>365</v>
      </c>
      <c r="E53" s="53" t="s">
        <v>638</v>
      </c>
      <c r="F53" s="53" t="s">
        <v>465</v>
      </c>
      <c r="G53" s="53" t="s">
        <v>354</v>
      </c>
      <c r="H53" s="53" t="s">
        <v>475</v>
      </c>
      <c r="I53" s="53" t="s">
        <v>356</v>
      </c>
      <c r="J53" s="12" t="b">
        <v>1</v>
      </c>
      <c r="K53" s="54" t="b">
        <v>1</v>
      </c>
      <c r="L53" s="12" t="b">
        <v>0</v>
      </c>
      <c r="M53" s="12" t="b">
        <v>0</v>
      </c>
      <c r="N53" s="12" t="b">
        <v>0</v>
      </c>
      <c r="O53" s="12" t="b">
        <v>0</v>
      </c>
      <c r="P53" s="12" t="b">
        <v>0</v>
      </c>
      <c r="Q53" s="10" t="b">
        <v>0</v>
      </c>
      <c r="R53" s="10" t="b">
        <v>0</v>
      </c>
      <c r="S53" s="10" t="b">
        <v>0</v>
      </c>
      <c r="T53" s="55">
        <v>46024.0</v>
      </c>
      <c r="U53" s="9" t="s">
        <v>357</v>
      </c>
      <c r="V53" s="56" t="s">
        <v>358</v>
      </c>
      <c r="W53" s="57" t="b">
        <v>0</v>
      </c>
      <c r="X53" s="56" t="s">
        <v>639</v>
      </c>
      <c r="Y53" s="53"/>
      <c r="Z53" s="58"/>
      <c r="AA53" s="4"/>
      <c r="AB53" s="9" t="s">
        <v>557</v>
      </c>
      <c r="AC53" s="55">
        <v>46113.0</v>
      </c>
      <c r="AD53" s="6" t="s">
        <v>361</v>
      </c>
      <c r="AE53" s="56" t="s">
        <v>362</v>
      </c>
    </row>
    <row r="54">
      <c r="A54" s="30" t="s">
        <v>22</v>
      </c>
      <c r="B54" s="53" t="s">
        <v>640</v>
      </c>
      <c r="C54" s="53" t="s">
        <v>641</v>
      </c>
      <c r="D54" s="53" t="s">
        <v>365</v>
      </c>
      <c r="E54" s="53" t="s">
        <v>642</v>
      </c>
      <c r="F54" s="53" t="s">
        <v>643</v>
      </c>
      <c r="G54" s="53" t="s">
        <v>354</v>
      </c>
      <c r="H54" s="53" t="s">
        <v>355</v>
      </c>
      <c r="I54" s="53" t="s">
        <v>380</v>
      </c>
      <c r="J54" s="12" t="b">
        <v>1</v>
      </c>
      <c r="K54" s="10" t="b">
        <v>1</v>
      </c>
      <c r="L54" s="54" t="b">
        <v>1</v>
      </c>
      <c r="M54" s="12" t="b">
        <v>0</v>
      </c>
      <c r="N54" s="12" t="b">
        <v>0</v>
      </c>
      <c r="O54" s="12" t="b">
        <v>0</v>
      </c>
      <c r="P54" s="12" t="b">
        <v>0</v>
      </c>
      <c r="Q54" s="10" t="b">
        <v>0</v>
      </c>
      <c r="R54" s="10" t="b">
        <v>0</v>
      </c>
      <c r="S54" s="10" t="b">
        <v>0</v>
      </c>
      <c r="T54" s="55">
        <v>46029.0</v>
      </c>
      <c r="U54" s="9" t="s">
        <v>357</v>
      </c>
      <c r="V54" s="56" t="s">
        <v>358</v>
      </c>
      <c r="W54" s="57" t="b">
        <v>0</v>
      </c>
      <c r="X54" s="56" t="s">
        <v>644</v>
      </c>
      <c r="Y54" s="53"/>
      <c r="Z54" s="58"/>
      <c r="AA54" s="4"/>
      <c r="AB54" s="9" t="s">
        <v>557</v>
      </c>
      <c r="AC54" s="55">
        <v>46113.0</v>
      </c>
      <c r="AD54" s="6" t="s">
        <v>361</v>
      </c>
      <c r="AE54" s="56" t="s">
        <v>362</v>
      </c>
    </row>
    <row r="55">
      <c r="A55" s="30" t="s">
        <v>22</v>
      </c>
      <c r="B55" s="53" t="s">
        <v>645</v>
      </c>
      <c r="C55" s="53" t="s">
        <v>646</v>
      </c>
      <c r="D55" s="53" t="s">
        <v>365</v>
      </c>
      <c r="E55" s="53" t="s">
        <v>647</v>
      </c>
      <c r="F55" s="53" t="s">
        <v>465</v>
      </c>
      <c r="G55" s="53" t="s">
        <v>354</v>
      </c>
      <c r="H55" s="53" t="s">
        <v>355</v>
      </c>
      <c r="I55" s="53" t="s">
        <v>356</v>
      </c>
      <c r="J55" s="12" t="b">
        <v>1</v>
      </c>
      <c r="K55" s="57" t="b">
        <v>1</v>
      </c>
      <c r="L55" s="54" t="b">
        <v>1</v>
      </c>
      <c r="M55" s="12" t="b">
        <v>0</v>
      </c>
      <c r="N55" s="12" t="b">
        <v>0</v>
      </c>
      <c r="O55" s="12" t="b">
        <v>0</v>
      </c>
      <c r="P55" s="12" t="b">
        <v>0</v>
      </c>
      <c r="Q55" s="10" t="b">
        <v>0</v>
      </c>
      <c r="R55" s="10" t="b">
        <v>0</v>
      </c>
      <c r="S55" s="10" t="b">
        <v>0</v>
      </c>
      <c r="T55" s="55">
        <v>46034.0</v>
      </c>
      <c r="U55" s="9" t="s">
        <v>357</v>
      </c>
      <c r="V55" s="56" t="s">
        <v>358</v>
      </c>
      <c r="W55" s="57" t="b">
        <v>0</v>
      </c>
      <c r="X55" s="56" t="s">
        <v>648</v>
      </c>
      <c r="Y55" s="6" t="s">
        <v>357</v>
      </c>
      <c r="Z55" s="56" t="s">
        <v>358</v>
      </c>
      <c r="AA55" s="9" t="s">
        <v>649</v>
      </c>
      <c r="AB55" s="9" t="s">
        <v>650</v>
      </c>
      <c r="AC55" s="55">
        <v>46113.0</v>
      </c>
      <c r="AD55" s="6" t="s">
        <v>404</v>
      </c>
      <c r="AE55" s="56" t="s">
        <v>405</v>
      </c>
    </row>
    <row r="56">
      <c r="A56" s="5" t="s">
        <v>22</v>
      </c>
      <c r="B56" s="53" t="s">
        <v>651</v>
      </c>
      <c r="C56" s="53" t="s">
        <v>652</v>
      </c>
      <c r="D56" s="53" t="s">
        <v>365</v>
      </c>
      <c r="E56" s="53" t="s">
        <v>653</v>
      </c>
      <c r="F56" s="53" t="s">
        <v>654</v>
      </c>
      <c r="G56" s="53" t="s">
        <v>354</v>
      </c>
      <c r="H56" s="53" t="s">
        <v>475</v>
      </c>
      <c r="I56" s="53" t="s">
        <v>356</v>
      </c>
      <c r="J56" s="10" t="b">
        <v>1</v>
      </c>
      <c r="K56" s="54" t="b">
        <v>1</v>
      </c>
      <c r="L56" s="12" t="b">
        <v>0</v>
      </c>
      <c r="M56" s="12" t="b">
        <v>0</v>
      </c>
      <c r="N56" s="12" t="b">
        <v>0</v>
      </c>
      <c r="O56" s="12" t="b">
        <v>0</v>
      </c>
      <c r="P56" s="12" t="b">
        <v>0</v>
      </c>
      <c r="Q56" s="10" t="b">
        <v>0</v>
      </c>
      <c r="R56" s="10" t="b">
        <v>0</v>
      </c>
      <c r="S56" s="10" t="b">
        <v>0</v>
      </c>
      <c r="T56" s="55">
        <v>46024.0</v>
      </c>
      <c r="U56" s="9" t="s">
        <v>357</v>
      </c>
      <c r="V56" s="56" t="s">
        <v>358</v>
      </c>
      <c r="W56" s="57" t="b">
        <v>0</v>
      </c>
      <c r="X56" s="56" t="s">
        <v>655</v>
      </c>
      <c r="Y56" s="53"/>
      <c r="Z56" s="58"/>
      <c r="AA56" s="4"/>
      <c r="AB56" s="9" t="s">
        <v>557</v>
      </c>
      <c r="AC56" s="55">
        <v>46113.0</v>
      </c>
      <c r="AD56" s="6" t="s">
        <v>361</v>
      </c>
      <c r="AE56" s="56" t="s">
        <v>362</v>
      </c>
    </row>
    <row r="57">
      <c r="A57" s="5" t="s">
        <v>22</v>
      </c>
      <c r="B57" s="61" t="s">
        <v>656</v>
      </c>
      <c r="C57" s="53" t="s">
        <v>657</v>
      </c>
      <c r="D57" s="53" t="s">
        <v>351</v>
      </c>
      <c r="E57" s="53" t="s">
        <v>658</v>
      </c>
      <c r="F57" s="53" t="s">
        <v>659</v>
      </c>
      <c r="G57" s="53" t="s">
        <v>354</v>
      </c>
      <c r="H57" s="53" t="s">
        <v>374</v>
      </c>
      <c r="I57" s="53" t="s">
        <v>380</v>
      </c>
      <c r="J57" s="10" t="b">
        <v>1</v>
      </c>
      <c r="K57" s="57" t="b">
        <v>1</v>
      </c>
      <c r="L57" s="54" t="b">
        <v>1</v>
      </c>
      <c r="M57" s="12" t="b">
        <v>0</v>
      </c>
      <c r="N57" s="12" t="b">
        <v>0</v>
      </c>
      <c r="O57" s="12" t="b">
        <v>0</v>
      </c>
      <c r="P57" s="12" t="b">
        <v>0</v>
      </c>
      <c r="Q57" s="10" t="b">
        <v>0</v>
      </c>
      <c r="R57" s="10" t="b">
        <v>0</v>
      </c>
      <c r="S57" s="10" t="b">
        <v>0</v>
      </c>
      <c r="T57" s="55">
        <v>46030.0</v>
      </c>
      <c r="U57" s="9" t="s">
        <v>357</v>
      </c>
      <c r="V57" s="56" t="s">
        <v>358</v>
      </c>
      <c r="W57" s="54" t="b">
        <v>1</v>
      </c>
      <c r="X57" s="56" t="s">
        <v>660</v>
      </c>
      <c r="Y57" s="6" t="s">
        <v>661</v>
      </c>
      <c r="Z57" s="56" t="s">
        <v>358</v>
      </c>
      <c r="AA57" s="4"/>
      <c r="AB57" s="9" t="s">
        <v>662</v>
      </c>
      <c r="AC57" s="55"/>
      <c r="AD57" s="6" t="s">
        <v>404</v>
      </c>
      <c r="AE57" s="56" t="s">
        <v>405</v>
      </c>
    </row>
    <row r="58">
      <c r="A58" s="5" t="s">
        <v>22</v>
      </c>
      <c r="B58" s="53" t="s">
        <v>663</v>
      </c>
      <c r="C58" s="53" t="s">
        <v>664</v>
      </c>
      <c r="D58" s="53" t="s">
        <v>365</v>
      </c>
      <c r="E58" s="53" t="s">
        <v>665</v>
      </c>
      <c r="F58" s="53" t="s">
        <v>465</v>
      </c>
      <c r="G58" s="53" t="s">
        <v>354</v>
      </c>
      <c r="H58" s="53" t="s">
        <v>475</v>
      </c>
      <c r="I58" s="53" t="s">
        <v>356</v>
      </c>
      <c r="J58" s="10" t="b">
        <v>1</v>
      </c>
      <c r="K58" s="57" t="b">
        <v>1</v>
      </c>
      <c r="L58" s="57" t="b">
        <v>1</v>
      </c>
      <c r="M58" s="57" t="b">
        <v>1</v>
      </c>
      <c r="N58" s="67" t="b">
        <v>1</v>
      </c>
      <c r="O58" s="54" t="b">
        <v>1</v>
      </c>
      <c r="P58" s="12" t="b">
        <v>0</v>
      </c>
      <c r="Q58" s="10" t="b">
        <v>0</v>
      </c>
      <c r="R58" s="10" t="b">
        <v>0</v>
      </c>
      <c r="S58" s="10" t="b">
        <v>0</v>
      </c>
      <c r="T58" s="55">
        <v>46050.0</v>
      </c>
      <c r="U58" s="9" t="s">
        <v>357</v>
      </c>
      <c r="V58" s="56" t="s">
        <v>358</v>
      </c>
      <c r="W58" s="54" t="b">
        <v>1</v>
      </c>
      <c r="X58" s="9" t="s">
        <v>666</v>
      </c>
      <c r="Y58" s="6" t="s">
        <v>661</v>
      </c>
      <c r="Z58" s="56" t="s">
        <v>358</v>
      </c>
      <c r="AA58" s="9" t="s">
        <v>667</v>
      </c>
      <c r="AB58" s="9" t="s">
        <v>557</v>
      </c>
      <c r="AC58" s="55">
        <v>46113.0</v>
      </c>
      <c r="AD58" s="6" t="s">
        <v>361</v>
      </c>
      <c r="AE58" s="56" t="s">
        <v>362</v>
      </c>
    </row>
    <row r="59">
      <c r="A59" s="5" t="s">
        <v>22</v>
      </c>
      <c r="B59" s="4" t="s">
        <v>668</v>
      </c>
      <c r="C59" s="4" t="s">
        <v>669</v>
      </c>
      <c r="D59" s="6" t="s">
        <v>365</v>
      </c>
      <c r="E59" s="4" t="s">
        <v>670</v>
      </c>
      <c r="F59" s="4" t="s">
        <v>409</v>
      </c>
      <c r="G59" s="4" t="s">
        <v>354</v>
      </c>
      <c r="H59" s="6" t="b">
        <v>1</v>
      </c>
      <c r="I59" s="53" t="s">
        <v>671</v>
      </c>
      <c r="J59" s="12" t="b">
        <v>1</v>
      </c>
      <c r="K59" s="12" t="b">
        <v>1</v>
      </c>
      <c r="L59" s="12" t="b">
        <v>1</v>
      </c>
      <c r="M59" s="12" t="b">
        <v>1</v>
      </c>
      <c r="N59" s="12" t="b">
        <v>1</v>
      </c>
      <c r="O59" s="10" t="b">
        <v>1</v>
      </c>
      <c r="P59" s="10" t="b">
        <v>1</v>
      </c>
      <c r="Q59" s="54" t="b">
        <v>1</v>
      </c>
      <c r="R59" s="10" t="b">
        <v>0</v>
      </c>
      <c r="S59" s="10" t="b">
        <v>0</v>
      </c>
      <c r="T59" s="55">
        <v>46029.0</v>
      </c>
      <c r="U59" s="9" t="s">
        <v>357</v>
      </c>
      <c r="V59" s="56" t="s">
        <v>358</v>
      </c>
      <c r="W59" s="57" t="b">
        <v>0</v>
      </c>
      <c r="X59" s="56" t="s">
        <v>672</v>
      </c>
      <c r="Y59" s="53"/>
      <c r="Z59" s="58"/>
      <c r="AA59" s="4"/>
      <c r="AB59" s="9" t="s">
        <v>673</v>
      </c>
      <c r="AC59" s="55">
        <v>46113.0</v>
      </c>
      <c r="AD59" s="6" t="s">
        <v>357</v>
      </c>
      <c r="AE59" s="56" t="s">
        <v>358</v>
      </c>
    </row>
    <row r="60">
      <c r="A60" s="5" t="s">
        <v>22</v>
      </c>
      <c r="B60" s="68" t="s">
        <v>674</v>
      </c>
      <c r="C60" s="4" t="s">
        <v>675</v>
      </c>
      <c r="D60" s="6" t="s">
        <v>351</v>
      </c>
      <c r="E60" s="4" t="s">
        <v>676</v>
      </c>
      <c r="F60" s="4" t="s">
        <v>465</v>
      </c>
      <c r="G60" s="4" t="s">
        <v>354</v>
      </c>
      <c r="H60" s="53" t="s">
        <v>355</v>
      </c>
      <c r="I60" s="53" t="s">
        <v>671</v>
      </c>
      <c r="J60" s="12" t="b">
        <v>1</v>
      </c>
      <c r="K60" s="12" t="b">
        <v>1</v>
      </c>
      <c r="L60" s="12" t="b">
        <v>1</v>
      </c>
      <c r="M60" s="12" t="b">
        <v>1</v>
      </c>
      <c r="N60" s="12" t="b">
        <v>1</v>
      </c>
      <c r="O60" s="57" t="b">
        <v>1</v>
      </c>
      <c r="P60" s="57" t="b">
        <v>1</v>
      </c>
      <c r="Q60" s="54" t="b">
        <v>1</v>
      </c>
      <c r="R60" s="10" t="b">
        <v>0</v>
      </c>
      <c r="S60" s="10" t="b">
        <v>0</v>
      </c>
      <c r="T60" s="55">
        <v>46045.0</v>
      </c>
      <c r="U60" s="9" t="s">
        <v>357</v>
      </c>
      <c r="V60" s="56" t="s">
        <v>358</v>
      </c>
      <c r="W60" s="54" t="b">
        <v>1</v>
      </c>
      <c r="X60" s="9" t="s">
        <v>677</v>
      </c>
      <c r="Y60" s="6" t="s">
        <v>382</v>
      </c>
      <c r="Z60" s="56" t="s">
        <v>358</v>
      </c>
      <c r="AA60" s="9" t="s">
        <v>678</v>
      </c>
      <c r="AB60" s="9" t="s">
        <v>679</v>
      </c>
      <c r="AC60" s="55">
        <v>46113.0</v>
      </c>
      <c r="AD60" s="6" t="s">
        <v>404</v>
      </c>
      <c r="AE60" s="56" t="s">
        <v>405</v>
      </c>
    </row>
    <row r="61">
      <c r="A61" s="5" t="s">
        <v>22</v>
      </c>
      <c r="B61" s="4" t="s">
        <v>680</v>
      </c>
      <c r="C61" s="4" t="s">
        <v>681</v>
      </c>
      <c r="D61" s="6" t="s">
        <v>365</v>
      </c>
      <c r="E61" s="4" t="s">
        <v>682</v>
      </c>
      <c r="F61" s="4" t="s">
        <v>409</v>
      </c>
      <c r="G61" s="4" t="s">
        <v>354</v>
      </c>
      <c r="H61" s="53" t="s">
        <v>368</v>
      </c>
      <c r="I61" s="53" t="s">
        <v>671</v>
      </c>
      <c r="J61" s="12" t="b">
        <v>1</v>
      </c>
      <c r="K61" s="12" t="b">
        <v>1</v>
      </c>
      <c r="L61" s="54" t="b">
        <v>1</v>
      </c>
      <c r="M61" s="57" t="b">
        <v>1</v>
      </c>
      <c r="N61" s="67" t="b">
        <v>1</v>
      </c>
      <c r="O61" s="54" t="b">
        <v>1</v>
      </c>
      <c r="P61" s="57" t="b">
        <v>1</v>
      </c>
      <c r="Q61" s="54" t="b">
        <v>1</v>
      </c>
      <c r="R61" s="10" t="b">
        <v>0</v>
      </c>
      <c r="S61" s="10" t="b">
        <v>0</v>
      </c>
      <c r="T61" s="55">
        <v>46104.0</v>
      </c>
      <c r="U61" s="9" t="s">
        <v>357</v>
      </c>
      <c r="V61" s="56" t="s">
        <v>358</v>
      </c>
      <c r="W61" s="54" t="b">
        <v>1</v>
      </c>
      <c r="X61" s="9" t="s">
        <v>683</v>
      </c>
      <c r="Y61" s="6" t="s">
        <v>684</v>
      </c>
      <c r="Z61" s="56" t="s">
        <v>358</v>
      </c>
      <c r="AA61" s="9" t="s">
        <v>685</v>
      </c>
      <c r="AB61" s="9" t="s">
        <v>679</v>
      </c>
      <c r="AC61" s="55">
        <v>46113.0</v>
      </c>
      <c r="AD61" s="6" t="s">
        <v>404</v>
      </c>
      <c r="AE61" s="56" t="s">
        <v>405</v>
      </c>
    </row>
    <row r="62">
      <c r="A62" s="5" t="s">
        <v>22</v>
      </c>
      <c r="B62" s="4" t="s">
        <v>686</v>
      </c>
      <c r="C62" s="4" t="s">
        <v>687</v>
      </c>
      <c r="D62" s="6" t="s">
        <v>351</v>
      </c>
      <c r="E62" s="4" t="s">
        <v>688</v>
      </c>
      <c r="F62" s="4" t="s">
        <v>689</v>
      </c>
      <c r="G62" s="4" t="s">
        <v>354</v>
      </c>
      <c r="H62" s="53" t="s">
        <v>368</v>
      </c>
      <c r="I62" s="53" t="s">
        <v>380</v>
      </c>
      <c r="J62" s="12" t="b">
        <v>1</v>
      </c>
      <c r="K62" s="12" t="b">
        <v>1</v>
      </c>
      <c r="L62" s="12" t="b">
        <v>1</v>
      </c>
      <c r="M62" s="10" t="b">
        <v>1</v>
      </c>
      <c r="N62" s="10" t="b">
        <v>1</v>
      </c>
      <c r="O62" s="10" t="b">
        <v>1</v>
      </c>
      <c r="P62" s="10" t="b">
        <v>1</v>
      </c>
      <c r="Q62" s="10" t="b">
        <v>1</v>
      </c>
      <c r="R62" s="54" t="b">
        <v>1</v>
      </c>
      <c r="S62" s="10" t="b">
        <v>0</v>
      </c>
      <c r="T62" s="55">
        <v>46058.0</v>
      </c>
      <c r="U62" s="9" t="s">
        <v>357</v>
      </c>
      <c r="V62" s="56" t="s">
        <v>358</v>
      </c>
      <c r="W62" s="57" t="b">
        <v>0</v>
      </c>
      <c r="X62" s="9" t="s">
        <v>690</v>
      </c>
      <c r="Y62" s="53"/>
      <c r="Z62" s="58"/>
      <c r="AA62" s="4"/>
      <c r="AB62" s="9" t="s">
        <v>691</v>
      </c>
      <c r="AC62" s="55">
        <v>46113.0</v>
      </c>
      <c r="AD62" s="6" t="s">
        <v>441</v>
      </c>
      <c r="AE62" s="56" t="s">
        <v>362</v>
      </c>
    </row>
    <row r="63">
      <c r="A63" s="5" t="s">
        <v>22</v>
      </c>
      <c r="B63" s="4" t="s">
        <v>692</v>
      </c>
      <c r="C63" s="4" t="s">
        <v>693</v>
      </c>
      <c r="D63" s="6" t="s">
        <v>365</v>
      </c>
      <c r="E63" s="4" t="s">
        <v>694</v>
      </c>
      <c r="F63" s="4" t="s">
        <v>409</v>
      </c>
      <c r="G63" s="4" t="s">
        <v>354</v>
      </c>
      <c r="H63" s="53" t="s">
        <v>355</v>
      </c>
      <c r="I63" s="53" t="s">
        <v>671</v>
      </c>
      <c r="J63" s="12" t="b">
        <v>1</v>
      </c>
      <c r="K63" s="10" t="b">
        <v>1</v>
      </c>
      <c r="L63" s="54" t="b">
        <v>1</v>
      </c>
      <c r="M63" s="12" t="b">
        <v>0</v>
      </c>
      <c r="N63" s="12" t="b">
        <v>0</v>
      </c>
      <c r="O63" s="12" t="b">
        <v>0</v>
      </c>
      <c r="P63" s="12" t="b">
        <v>0</v>
      </c>
      <c r="Q63" s="10" t="b">
        <v>0</v>
      </c>
      <c r="R63" s="10" t="b">
        <v>0</v>
      </c>
      <c r="S63" s="10" t="b">
        <v>0</v>
      </c>
      <c r="T63" s="55">
        <v>46025.0</v>
      </c>
      <c r="U63" s="9" t="s">
        <v>375</v>
      </c>
      <c r="V63" s="56" t="s">
        <v>358</v>
      </c>
      <c r="W63" s="57" t="b">
        <v>0</v>
      </c>
      <c r="X63" s="9" t="s">
        <v>376</v>
      </c>
      <c r="Y63" s="53"/>
      <c r="Z63" s="58"/>
      <c r="AA63" s="4"/>
      <c r="AB63" s="9" t="s">
        <v>557</v>
      </c>
      <c r="AC63" s="55">
        <v>46113.0</v>
      </c>
      <c r="AD63" s="6" t="s">
        <v>361</v>
      </c>
      <c r="AE63" s="56" t="s">
        <v>362</v>
      </c>
    </row>
    <row r="64">
      <c r="A64" s="5" t="s">
        <v>22</v>
      </c>
      <c r="B64" s="69" t="s">
        <v>695</v>
      </c>
      <c r="C64" s="4" t="s">
        <v>696</v>
      </c>
      <c r="D64" s="6" t="s">
        <v>351</v>
      </c>
      <c r="E64" s="4" t="s">
        <v>697</v>
      </c>
      <c r="F64" s="4" t="s">
        <v>698</v>
      </c>
      <c r="G64" s="4" t="s">
        <v>354</v>
      </c>
      <c r="H64" s="53" t="s">
        <v>400</v>
      </c>
      <c r="I64" s="53" t="s">
        <v>380</v>
      </c>
      <c r="J64" s="12" t="b">
        <v>1</v>
      </c>
      <c r="K64" s="12" t="b">
        <v>1</v>
      </c>
      <c r="L64" s="12" t="b">
        <v>1</v>
      </c>
      <c r="M64" s="12" t="b">
        <v>1</v>
      </c>
      <c r="N64" s="70" t="b">
        <v>1</v>
      </c>
      <c r="O64" s="67" t="b">
        <v>1</v>
      </c>
      <c r="P64" s="71" t="b">
        <v>1</v>
      </c>
      <c r="Q64" s="71" t="b">
        <v>1</v>
      </c>
      <c r="R64" s="54" t="b">
        <v>1</v>
      </c>
      <c r="S64" s="10" t="b">
        <v>0</v>
      </c>
      <c r="T64" s="55">
        <v>46050.0</v>
      </c>
      <c r="U64" s="9" t="s">
        <v>357</v>
      </c>
      <c r="V64" s="56" t="s">
        <v>358</v>
      </c>
      <c r="W64" s="54" t="b">
        <v>1</v>
      </c>
      <c r="X64" s="9" t="s">
        <v>699</v>
      </c>
      <c r="Y64" s="6" t="s">
        <v>684</v>
      </c>
      <c r="Z64" s="56" t="s">
        <v>358</v>
      </c>
      <c r="AA64" s="9" t="s">
        <v>700</v>
      </c>
      <c r="AB64" s="9" t="s">
        <v>679</v>
      </c>
      <c r="AC64" s="55">
        <v>46113.0</v>
      </c>
      <c r="AD64" s="6" t="s">
        <v>404</v>
      </c>
      <c r="AE64" s="56" t="s">
        <v>405</v>
      </c>
    </row>
    <row r="65">
      <c r="A65" s="5" t="s">
        <v>22</v>
      </c>
      <c r="B65" s="4" t="s">
        <v>701</v>
      </c>
      <c r="C65" s="4" t="s">
        <v>702</v>
      </c>
      <c r="D65" s="6" t="s">
        <v>365</v>
      </c>
      <c r="E65" s="4" t="s">
        <v>703</v>
      </c>
      <c r="F65" s="4" t="s">
        <v>704</v>
      </c>
      <c r="G65" s="4" t="s">
        <v>354</v>
      </c>
      <c r="H65" s="53" t="s">
        <v>368</v>
      </c>
      <c r="I65" s="53" t="s">
        <v>671</v>
      </c>
      <c r="J65" s="12" t="b">
        <v>1</v>
      </c>
      <c r="K65" s="10" t="b">
        <v>1</v>
      </c>
      <c r="L65" s="54" t="b">
        <v>1</v>
      </c>
      <c r="M65" s="12" t="b">
        <v>0</v>
      </c>
      <c r="N65" s="12" t="b">
        <v>0</v>
      </c>
      <c r="O65" s="12" t="b">
        <v>0</v>
      </c>
      <c r="P65" s="12" t="b">
        <v>0</v>
      </c>
      <c r="Q65" s="10" t="b">
        <v>0</v>
      </c>
      <c r="R65" s="10" t="b">
        <v>0</v>
      </c>
      <c r="S65" s="10" t="b">
        <v>0</v>
      </c>
      <c r="T65" s="55">
        <v>46025.0</v>
      </c>
      <c r="U65" s="9" t="s">
        <v>357</v>
      </c>
      <c r="V65" s="56" t="s">
        <v>358</v>
      </c>
      <c r="W65" s="57" t="b">
        <v>0</v>
      </c>
      <c r="X65" s="9" t="s">
        <v>705</v>
      </c>
      <c r="Y65" s="53"/>
      <c r="Z65" s="58"/>
      <c r="AA65" s="4"/>
      <c r="AB65" s="9" t="s">
        <v>673</v>
      </c>
      <c r="AC65" s="55">
        <v>46113.0</v>
      </c>
      <c r="AD65" s="6" t="s">
        <v>357</v>
      </c>
      <c r="AE65" s="56" t="s">
        <v>358</v>
      </c>
    </row>
    <row r="66">
      <c r="A66" s="5" t="s">
        <v>22</v>
      </c>
      <c r="B66" s="4" t="s">
        <v>706</v>
      </c>
      <c r="C66" s="4" t="s">
        <v>707</v>
      </c>
      <c r="D66" s="6" t="s">
        <v>365</v>
      </c>
      <c r="E66" s="4" t="s">
        <v>708</v>
      </c>
      <c r="F66" s="4" t="s">
        <v>709</v>
      </c>
      <c r="G66" s="4" t="s">
        <v>354</v>
      </c>
      <c r="H66" s="53" t="s">
        <v>368</v>
      </c>
      <c r="I66" s="53" t="s">
        <v>710</v>
      </c>
      <c r="J66" s="12" t="b">
        <v>1</v>
      </c>
      <c r="K66" s="12" t="b">
        <v>1</v>
      </c>
      <c r="L66" s="10" t="b">
        <v>1</v>
      </c>
      <c r="M66" s="10" t="b">
        <v>1</v>
      </c>
      <c r="N66" s="57" t="b">
        <v>1</v>
      </c>
      <c r="O66" s="57" t="b">
        <v>1</v>
      </c>
      <c r="P66" s="12" t="b">
        <v>0</v>
      </c>
      <c r="Q66" s="10" t="b">
        <v>0</v>
      </c>
      <c r="R66" s="10" t="b">
        <v>0</v>
      </c>
      <c r="S66" s="10" t="b">
        <v>0</v>
      </c>
      <c r="T66" s="55">
        <v>46045.0</v>
      </c>
      <c r="U66" s="9" t="s">
        <v>357</v>
      </c>
      <c r="V66" s="56" t="s">
        <v>358</v>
      </c>
      <c r="W66" s="54" t="b">
        <v>1</v>
      </c>
      <c r="X66" s="9" t="s">
        <v>711</v>
      </c>
      <c r="Y66" s="6" t="s">
        <v>382</v>
      </c>
      <c r="Z66" s="56" t="s">
        <v>358</v>
      </c>
      <c r="AA66" s="9" t="s">
        <v>712</v>
      </c>
      <c r="AB66" s="9" t="s">
        <v>557</v>
      </c>
      <c r="AC66" s="55">
        <v>46113.0</v>
      </c>
      <c r="AD66" s="6" t="s">
        <v>361</v>
      </c>
      <c r="AE66" s="56" t="s">
        <v>362</v>
      </c>
    </row>
    <row r="67">
      <c r="A67" s="5" t="s">
        <v>22</v>
      </c>
      <c r="B67" s="4" t="s">
        <v>713</v>
      </c>
      <c r="C67" s="4" t="s">
        <v>714</v>
      </c>
      <c r="D67" s="6" t="s">
        <v>365</v>
      </c>
      <c r="E67" s="4" t="s">
        <v>715</v>
      </c>
      <c r="F67" s="4" t="s">
        <v>542</v>
      </c>
      <c r="G67" s="4" t="s">
        <v>716</v>
      </c>
      <c r="H67" s="53" t="s">
        <v>368</v>
      </c>
      <c r="I67" s="53" t="s">
        <v>380</v>
      </c>
      <c r="J67" s="12" t="b">
        <v>1</v>
      </c>
      <c r="K67" s="12" t="b">
        <v>1</v>
      </c>
      <c r="L67" s="10" t="b">
        <v>1</v>
      </c>
      <c r="M67" s="10" t="b">
        <v>1</v>
      </c>
      <c r="N67" s="10" t="b">
        <v>1</v>
      </c>
      <c r="O67" s="10" t="b">
        <v>1</v>
      </c>
      <c r="P67" s="10" t="b">
        <v>1</v>
      </c>
      <c r="Q67" s="54" t="b">
        <v>1</v>
      </c>
      <c r="R67" s="10" t="b">
        <v>0</v>
      </c>
      <c r="S67" s="10" t="b">
        <v>0</v>
      </c>
      <c r="T67" s="55">
        <v>46058.0</v>
      </c>
      <c r="U67" s="9" t="s">
        <v>357</v>
      </c>
      <c r="V67" s="56" t="s">
        <v>358</v>
      </c>
      <c r="W67" s="57" t="b">
        <v>0</v>
      </c>
      <c r="X67" s="9" t="s">
        <v>717</v>
      </c>
      <c r="Y67" s="53"/>
      <c r="Z67" s="58"/>
      <c r="AA67" s="4"/>
      <c r="AB67" s="9" t="s">
        <v>673</v>
      </c>
      <c r="AC67" s="55">
        <v>46113.0</v>
      </c>
      <c r="AD67" s="6" t="s">
        <v>357</v>
      </c>
      <c r="AE67" s="56" t="s">
        <v>358</v>
      </c>
    </row>
    <row r="68">
      <c r="A68" s="5" t="s">
        <v>22</v>
      </c>
      <c r="B68" s="68" t="s">
        <v>718</v>
      </c>
      <c r="C68" s="4" t="s">
        <v>719</v>
      </c>
      <c r="D68" s="6" t="s">
        <v>365</v>
      </c>
      <c r="E68" s="4" t="s">
        <v>720</v>
      </c>
      <c r="F68" s="4" t="s">
        <v>465</v>
      </c>
      <c r="G68" s="4" t="s">
        <v>354</v>
      </c>
      <c r="H68" s="53" t="s">
        <v>475</v>
      </c>
      <c r="I68" s="53" t="s">
        <v>356</v>
      </c>
      <c r="J68" s="12" t="b">
        <v>1</v>
      </c>
      <c r="K68" s="57" t="b">
        <v>1</v>
      </c>
      <c r="L68" s="67" t="b">
        <v>1</v>
      </c>
      <c r="M68" s="67" t="b">
        <v>1</v>
      </c>
      <c r="N68" s="54" t="b">
        <v>1</v>
      </c>
      <c r="O68" s="12" t="b">
        <v>0</v>
      </c>
      <c r="P68" s="12" t="b">
        <v>0</v>
      </c>
      <c r="Q68" s="10" t="b">
        <v>0</v>
      </c>
      <c r="R68" s="10" t="b">
        <v>0</v>
      </c>
      <c r="S68" s="10" t="b">
        <v>0</v>
      </c>
      <c r="T68" s="55">
        <v>46045.0</v>
      </c>
      <c r="U68" s="9" t="s">
        <v>357</v>
      </c>
      <c r="V68" s="56" t="s">
        <v>358</v>
      </c>
      <c r="W68" s="54" t="b">
        <v>1</v>
      </c>
      <c r="X68" s="9" t="s">
        <v>721</v>
      </c>
      <c r="Y68" s="6" t="s">
        <v>382</v>
      </c>
      <c r="Z68" s="56" t="s">
        <v>358</v>
      </c>
      <c r="AA68" s="9" t="s">
        <v>722</v>
      </c>
      <c r="AB68" s="9" t="s">
        <v>723</v>
      </c>
      <c r="AC68" s="55">
        <v>46114.0</v>
      </c>
      <c r="AD68" s="6" t="s">
        <v>361</v>
      </c>
      <c r="AE68" s="56" t="s">
        <v>362</v>
      </c>
    </row>
    <row r="69">
      <c r="A69" s="5" t="s">
        <v>22</v>
      </c>
      <c r="B69" s="4" t="s">
        <v>724</v>
      </c>
      <c r="C69" s="4" t="s">
        <v>725</v>
      </c>
      <c r="D69" s="6" t="s">
        <v>365</v>
      </c>
      <c r="E69" s="4" t="s">
        <v>726</v>
      </c>
      <c r="F69" s="4" t="s">
        <v>727</v>
      </c>
      <c r="G69" s="4" t="s">
        <v>354</v>
      </c>
      <c r="H69" s="53" t="s">
        <v>368</v>
      </c>
      <c r="I69" s="53" t="s">
        <v>446</v>
      </c>
      <c r="J69" s="12" t="b">
        <v>1</v>
      </c>
      <c r="K69" s="12" t="b">
        <v>1</v>
      </c>
      <c r="L69" s="12" t="b">
        <v>1</v>
      </c>
      <c r="M69" s="54" t="b">
        <v>1</v>
      </c>
      <c r="N69" s="12" t="b">
        <v>0</v>
      </c>
      <c r="O69" s="12" t="b">
        <v>0</v>
      </c>
      <c r="P69" s="12" t="b">
        <v>0</v>
      </c>
      <c r="Q69" s="10" t="b">
        <v>0</v>
      </c>
      <c r="R69" s="10" t="b">
        <v>0</v>
      </c>
      <c r="S69" s="10" t="b">
        <v>0</v>
      </c>
      <c r="T69" s="55">
        <v>46025.0</v>
      </c>
      <c r="U69" s="9" t="s">
        <v>424</v>
      </c>
      <c r="V69" s="56" t="s">
        <v>358</v>
      </c>
      <c r="W69" s="57" t="b">
        <v>0</v>
      </c>
      <c r="X69" s="9" t="s">
        <v>728</v>
      </c>
      <c r="Y69" s="53"/>
      <c r="Z69" s="58"/>
      <c r="AA69" s="4"/>
      <c r="AB69" s="4"/>
      <c r="AC69" s="4"/>
      <c r="AD69" s="4"/>
      <c r="AE69" s="4"/>
    </row>
    <row r="70">
      <c r="A70" s="5" t="s">
        <v>22</v>
      </c>
      <c r="B70" s="4" t="s">
        <v>729</v>
      </c>
      <c r="C70" s="4" t="s">
        <v>730</v>
      </c>
      <c r="D70" s="6" t="s">
        <v>351</v>
      </c>
      <c r="E70" s="4" t="s">
        <v>731</v>
      </c>
      <c r="F70" s="4" t="s">
        <v>732</v>
      </c>
      <c r="G70" s="4" t="s">
        <v>354</v>
      </c>
      <c r="H70" s="53" t="s">
        <v>355</v>
      </c>
      <c r="I70" s="53" t="s">
        <v>356</v>
      </c>
      <c r="J70" s="12" t="b">
        <v>1</v>
      </c>
      <c r="K70" s="12" t="b">
        <v>1</v>
      </c>
      <c r="L70" s="10" t="b">
        <v>1</v>
      </c>
      <c r="M70" s="12" t="b">
        <v>1</v>
      </c>
      <c r="N70" s="12" t="b">
        <v>1</v>
      </c>
      <c r="O70" s="12" t="b">
        <v>1</v>
      </c>
      <c r="P70" s="54" t="b">
        <v>1</v>
      </c>
      <c r="Q70" s="10" t="b">
        <v>0</v>
      </c>
      <c r="R70" s="10" t="b">
        <v>0</v>
      </c>
      <c r="S70" s="10" t="b">
        <v>0</v>
      </c>
      <c r="T70" s="55">
        <v>46025.0</v>
      </c>
      <c r="U70" s="9" t="s">
        <v>375</v>
      </c>
      <c r="V70" s="56" t="s">
        <v>358</v>
      </c>
      <c r="W70" s="57" t="b">
        <v>0</v>
      </c>
      <c r="X70" s="9" t="s">
        <v>733</v>
      </c>
      <c r="Y70" s="53"/>
      <c r="Z70" s="58"/>
      <c r="AA70" s="4"/>
      <c r="AB70" s="4"/>
      <c r="AC70" s="4"/>
      <c r="AD70" s="4"/>
      <c r="AE70" s="4"/>
    </row>
    <row r="71">
      <c r="A71" s="5" t="s">
        <v>22</v>
      </c>
      <c r="B71" s="4" t="s">
        <v>734</v>
      </c>
      <c r="C71" s="4" t="s">
        <v>735</v>
      </c>
      <c r="D71" s="6" t="s">
        <v>351</v>
      </c>
      <c r="E71" s="4" t="s">
        <v>736</v>
      </c>
      <c r="F71" s="4" t="s">
        <v>465</v>
      </c>
      <c r="G71" s="4" t="s">
        <v>354</v>
      </c>
      <c r="H71" s="53" t="s">
        <v>368</v>
      </c>
      <c r="I71" s="53" t="s">
        <v>356</v>
      </c>
      <c r="J71" s="12" t="b">
        <v>1</v>
      </c>
      <c r="K71" s="12" t="b">
        <v>1</v>
      </c>
      <c r="L71" s="12" t="b">
        <v>1</v>
      </c>
      <c r="M71" s="12" t="b">
        <v>1</v>
      </c>
      <c r="N71" s="10" t="b">
        <v>1</v>
      </c>
      <c r="O71" s="10" t="b">
        <v>1</v>
      </c>
      <c r="P71" s="10" t="b">
        <v>1</v>
      </c>
      <c r="Q71" s="10" t="b">
        <v>1</v>
      </c>
      <c r="R71" s="54" t="b">
        <v>1</v>
      </c>
      <c r="S71" s="10" t="b">
        <v>0</v>
      </c>
      <c r="T71" s="55">
        <v>46034.0</v>
      </c>
      <c r="U71" s="9" t="s">
        <v>357</v>
      </c>
      <c r="V71" s="56" t="s">
        <v>358</v>
      </c>
      <c r="W71" s="57" t="b">
        <v>0</v>
      </c>
      <c r="X71" s="9" t="s">
        <v>737</v>
      </c>
      <c r="Y71" s="53"/>
      <c r="Z71" s="58"/>
      <c r="AA71" s="4"/>
      <c r="AB71" s="9" t="s">
        <v>738</v>
      </c>
      <c r="AC71" s="55">
        <v>46114.0</v>
      </c>
      <c r="AD71" s="6" t="s">
        <v>361</v>
      </c>
      <c r="AE71" s="56" t="s">
        <v>362</v>
      </c>
    </row>
    <row r="72">
      <c r="A72" s="5" t="s">
        <v>22</v>
      </c>
      <c r="B72" s="9" t="s">
        <v>739</v>
      </c>
      <c r="C72" s="4" t="s">
        <v>740</v>
      </c>
      <c r="D72" s="6" t="s">
        <v>365</v>
      </c>
      <c r="E72" s="4" t="s">
        <v>741</v>
      </c>
      <c r="F72" s="4" t="s">
        <v>393</v>
      </c>
      <c r="G72" s="4" t="s">
        <v>354</v>
      </c>
      <c r="H72" s="53" t="s">
        <v>475</v>
      </c>
      <c r="I72" s="53" t="s">
        <v>356</v>
      </c>
      <c r="J72" s="12" t="b">
        <v>1</v>
      </c>
      <c r="K72" s="12" t="b">
        <v>1</v>
      </c>
      <c r="L72" s="12" t="b">
        <v>1</v>
      </c>
      <c r="M72" s="10" t="b">
        <v>1</v>
      </c>
      <c r="N72" s="10" t="b">
        <v>1</v>
      </c>
      <c r="O72" s="10" t="b">
        <v>1</v>
      </c>
      <c r="P72" s="10" t="b">
        <v>1</v>
      </c>
      <c r="Q72" s="10" t="b">
        <v>1</v>
      </c>
      <c r="R72" s="10" t="b">
        <v>1</v>
      </c>
      <c r="S72" s="57" t="b">
        <v>1</v>
      </c>
      <c r="T72" s="55">
        <v>46105.0</v>
      </c>
      <c r="U72" s="9" t="s">
        <v>361</v>
      </c>
      <c r="V72" s="56" t="s">
        <v>362</v>
      </c>
      <c r="W72" s="57" t="b">
        <v>0</v>
      </c>
      <c r="X72" s="9" t="s">
        <v>742</v>
      </c>
      <c r="Y72" s="53"/>
      <c r="Z72" s="58"/>
      <c r="AA72" s="9" t="s">
        <v>439</v>
      </c>
      <c r="AB72" s="9" t="s">
        <v>738</v>
      </c>
      <c r="AC72" s="55">
        <v>46114.0</v>
      </c>
      <c r="AD72" s="6" t="s">
        <v>361</v>
      </c>
      <c r="AE72" s="56" t="s">
        <v>362</v>
      </c>
    </row>
    <row r="73">
      <c r="A73" s="5" t="s">
        <v>22</v>
      </c>
      <c r="B73" s="4" t="s">
        <v>743</v>
      </c>
      <c r="C73" s="4" t="s">
        <v>744</v>
      </c>
      <c r="D73" s="6" t="s">
        <v>351</v>
      </c>
      <c r="E73" s="4" t="s">
        <v>745</v>
      </c>
      <c r="F73" s="4" t="s">
        <v>465</v>
      </c>
      <c r="G73" s="4" t="s">
        <v>354</v>
      </c>
      <c r="H73" s="53" t="s">
        <v>374</v>
      </c>
      <c r="I73" s="53" t="s">
        <v>356</v>
      </c>
      <c r="J73" s="12" t="b">
        <v>1</v>
      </c>
      <c r="K73" s="10" t="b">
        <v>1</v>
      </c>
      <c r="L73" s="10" t="b">
        <v>1</v>
      </c>
      <c r="M73" s="10" t="b">
        <v>1</v>
      </c>
      <c r="N73" s="54" t="b">
        <v>1</v>
      </c>
      <c r="O73" s="12" t="b">
        <v>0</v>
      </c>
      <c r="P73" s="12" t="b">
        <v>0</v>
      </c>
      <c r="Q73" s="10" t="b">
        <v>0</v>
      </c>
      <c r="R73" s="10" t="b">
        <v>0</v>
      </c>
      <c r="S73" s="10" t="b">
        <v>0</v>
      </c>
      <c r="T73" s="55">
        <v>46029.0</v>
      </c>
      <c r="U73" s="9" t="s">
        <v>357</v>
      </c>
      <c r="V73" s="56" t="s">
        <v>358</v>
      </c>
      <c r="W73" s="57" t="b">
        <v>0</v>
      </c>
      <c r="X73" s="56" t="s">
        <v>746</v>
      </c>
      <c r="Y73" s="53"/>
      <c r="Z73" s="58"/>
      <c r="AA73" s="4"/>
      <c r="AB73" s="9" t="s">
        <v>738</v>
      </c>
      <c r="AC73" s="55">
        <v>46114.0</v>
      </c>
      <c r="AD73" s="6" t="s">
        <v>361</v>
      </c>
      <c r="AE73" s="56" t="s">
        <v>362</v>
      </c>
    </row>
    <row r="74">
      <c r="A74" s="5" t="s">
        <v>22</v>
      </c>
      <c r="B74" s="4" t="s">
        <v>747</v>
      </c>
      <c r="C74" s="4" t="s">
        <v>748</v>
      </c>
      <c r="D74" s="6" t="s">
        <v>351</v>
      </c>
      <c r="E74" s="4" t="s">
        <v>749</v>
      </c>
      <c r="F74" s="4" t="s">
        <v>465</v>
      </c>
      <c r="G74" s="4" t="s">
        <v>716</v>
      </c>
      <c r="H74" s="53" t="s">
        <v>355</v>
      </c>
      <c r="I74" s="53" t="s">
        <v>356</v>
      </c>
      <c r="J74" s="12" t="b">
        <v>1</v>
      </c>
      <c r="K74" s="12" t="b">
        <v>1</v>
      </c>
      <c r="L74" s="12" t="b">
        <v>1</v>
      </c>
      <c r="M74" s="12" t="b">
        <v>1</v>
      </c>
      <c r="N74" s="10" t="b">
        <v>1</v>
      </c>
      <c r="O74" s="54" t="b">
        <v>1</v>
      </c>
      <c r="P74" s="12" t="b">
        <v>0</v>
      </c>
      <c r="Q74" s="10" t="b">
        <v>0</v>
      </c>
      <c r="R74" s="10" t="b">
        <v>0</v>
      </c>
      <c r="S74" s="10" t="b">
        <v>0</v>
      </c>
      <c r="T74" s="55">
        <v>46027.0</v>
      </c>
      <c r="U74" s="9" t="s">
        <v>375</v>
      </c>
      <c r="V74" s="56" t="s">
        <v>358</v>
      </c>
      <c r="W74" s="57" t="b">
        <v>0</v>
      </c>
      <c r="X74" s="9" t="s">
        <v>750</v>
      </c>
      <c r="Y74" s="53"/>
      <c r="Z74" s="58"/>
      <c r="AA74" s="4"/>
      <c r="AB74" s="4"/>
      <c r="AC74" s="4"/>
      <c r="AD74" s="4"/>
      <c r="AE74" s="4"/>
    </row>
    <row r="75">
      <c r="A75" s="5" t="s">
        <v>22</v>
      </c>
      <c r="B75" s="4" t="s">
        <v>751</v>
      </c>
      <c r="C75" s="4" t="s">
        <v>752</v>
      </c>
      <c r="D75" s="6" t="s">
        <v>365</v>
      </c>
      <c r="E75" s="4" t="s">
        <v>753</v>
      </c>
      <c r="F75" s="4" t="s">
        <v>485</v>
      </c>
      <c r="G75" s="4" t="s">
        <v>354</v>
      </c>
      <c r="H75" s="53" t="s">
        <v>374</v>
      </c>
      <c r="I75" s="53" t="s">
        <v>356</v>
      </c>
      <c r="J75" s="12" t="b">
        <v>1</v>
      </c>
      <c r="K75" s="12" t="b">
        <v>1</v>
      </c>
      <c r="L75" s="54" t="b">
        <v>1</v>
      </c>
      <c r="M75" s="12" t="b">
        <v>0</v>
      </c>
      <c r="N75" s="12" t="b">
        <v>0</v>
      </c>
      <c r="O75" s="12" t="b">
        <v>0</v>
      </c>
      <c r="P75" s="12" t="b">
        <v>0</v>
      </c>
      <c r="Q75" s="10" t="b">
        <v>0</v>
      </c>
      <c r="R75" s="10" t="b">
        <v>0</v>
      </c>
      <c r="S75" s="10" t="b">
        <v>0</v>
      </c>
      <c r="T75" s="55">
        <v>46025.0</v>
      </c>
      <c r="U75" s="9" t="s">
        <v>375</v>
      </c>
      <c r="V75" s="56" t="s">
        <v>358</v>
      </c>
      <c r="W75" s="57" t="b">
        <v>0</v>
      </c>
      <c r="X75" s="9" t="s">
        <v>733</v>
      </c>
      <c r="Y75" s="53"/>
      <c r="Z75" s="58"/>
      <c r="AA75" s="4"/>
      <c r="AB75" s="4"/>
      <c r="AC75" s="4"/>
      <c r="AD75" s="4"/>
      <c r="AE75" s="4"/>
    </row>
    <row r="76">
      <c r="A76" s="5" t="s">
        <v>22</v>
      </c>
      <c r="B76" s="68" t="s">
        <v>754</v>
      </c>
      <c r="C76" s="4" t="s">
        <v>755</v>
      </c>
      <c r="D76" s="6" t="s">
        <v>351</v>
      </c>
      <c r="E76" s="4" t="s">
        <v>756</v>
      </c>
      <c r="F76" s="4" t="s">
        <v>465</v>
      </c>
      <c r="G76" s="4" t="s">
        <v>354</v>
      </c>
      <c r="H76" s="53" t="s">
        <v>475</v>
      </c>
      <c r="I76" s="53" t="s">
        <v>380</v>
      </c>
      <c r="J76" s="12" t="b">
        <v>1</v>
      </c>
      <c r="K76" s="12" t="b">
        <v>1</v>
      </c>
      <c r="L76" s="12" t="b">
        <v>1</v>
      </c>
      <c r="M76" s="12" t="b">
        <v>1</v>
      </c>
      <c r="N76" s="57" t="b">
        <v>1</v>
      </c>
      <c r="O76" s="57" t="b">
        <v>1</v>
      </c>
      <c r="P76" s="67" t="b">
        <v>1</v>
      </c>
      <c r="Q76" s="54" t="b">
        <v>1</v>
      </c>
      <c r="R76" s="10" t="b">
        <v>0</v>
      </c>
      <c r="S76" s="10" t="b">
        <v>0</v>
      </c>
      <c r="T76" s="55">
        <v>46092.0</v>
      </c>
      <c r="U76" s="9" t="s">
        <v>357</v>
      </c>
      <c r="V76" s="56" t="s">
        <v>358</v>
      </c>
      <c r="W76" s="54" t="b">
        <v>1</v>
      </c>
      <c r="X76" s="9" t="s">
        <v>757</v>
      </c>
      <c r="Y76" s="6" t="s">
        <v>684</v>
      </c>
      <c r="Z76" s="56" t="s">
        <v>358</v>
      </c>
      <c r="AA76" s="9" t="s">
        <v>758</v>
      </c>
      <c r="AB76" s="9" t="s">
        <v>759</v>
      </c>
      <c r="AC76" s="55">
        <v>46113.0</v>
      </c>
      <c r="AD76" s="6" t="s">
        <v>357</v>
      </c>
      <c r="AE76" s="56" t="s">
        <v>358</v>
      </c>
    </row>
    <row r="77">
      <c r="A77" s="5" t="s">
        <v>22</v>
      </c>
      <c r="B77" s="4" t="s">
        <v>760</v>
      </c>
      <c r="C77" s="4" t="s">
        <v>761</v>
      </c>
      <c r="D77" s="6" t="s">
        <v>351</v>
      </c>
      <c r="E77" s="4" t="s">
        <v>762</v>
      </c>
      <c r="F77" s="4" t="s">
        <v>763</v>
      </c>
      <c r="G77" s="4" t="s">
        <v>354</v>
      </c>
      <c r="H77" s="53" t="s">
        <v>374</v>
      </c>
      <c r="I77" s="53" t="s">
        <v>356</v>
      </c>
      <c r="J77" s="12" t="b">
        <v>1</v>
      </c>
      <c r="K77" s="12" t="b">
        <v>1</v>
      </c>
      <c r="L77" s="12" t="b">
        <v>1</v>
      </c>
      <c r="M77" s="12" t="b">
        <v>1</v>
      </c>
      <c r="N77" s="10" t="b">
        <v>1</v>
      </c>
      <c r="O77" s="10" t="b">
        <v>1</v>
      </c>
      <c r="P77" s="10" t="b">
        <v>1</v>
      </c>
      <c r="Q77" s="10" t="b">
        <v>1</v>
      </c>
      <c r="R77" s="54" t="b">
        <v>1</v>
      </c>
      <c r="S77" s="10" t="b">
        <v>0</v>
      </c>
      <c r="T77" s="55">
        <v>46044.0</v>
      </c>
      <c r="U77" s="9" t="s">
        <v>357</v>
      </c>
      <c r="V77" s="56" t="s">
        <v>358</v>
      </c>
      <c r="W77" s="57" t="b">
        <v>0</v>
      </c>
      <c r="X77" s="56" t="s">
        <v>764</v>
      </c>
      <c r="Y77" s="53"/>
      <c r="Z77" s="58"/>
      <c r="AA77" s="4"/>
      <c r="AB77" s="9" t="s">
        <v>738</v>
      </c>
      <c r="AC77" s="55">
        <v>46114.0</v>
      </c>
      <c r="AD77" s="6" t="s">
        <v>361</v>
      </c>
      <c r="AE77" s="56" t="s">
        <v>362</v>
      </c>
    </row>
    <row r="78">
      <c r="A78" s="5" t="s">
        <v>22</v>
      </c>
      <c r="B78" s="4" t="s">
        <v>765</v>
      </c>
      <c r="C78" s="4" t="s">
        <v>766</v>
      </c>
      <c r="D78" s="6" t="s">
        <v>351</v>
      </c>
      <c r="E78" s="4" t="s">
        <v>767</v>
      </c>
      <c r="F78" s="4" t="s">
        <v>768</v>
      </c>
      <c r="G78" s="4" t="s">
        <v>354</v>
      </c>
      <c r="H78" s="53" t="s">
        <v>355</v>
      </c>
      <c r="I78" s="53" t="s">
        <v>380</v>
      </c>
      <c r="J78" s="12" t="b">
        <v>1</v>
      </c>
      <c r="K78" s="12" t="b">
        <v>1</v>
      </c>
      <c r="L78" s="12" t="b">
        <v>1</v>
      </c>
      <c r="M78" s="12" t="b">
        <v>1</v>
      </c>
      <c r="N78" s="10" t="b">
        <v>1</v>
      </c>
      <c r="O78" s="10" t="b">
        <v>1</v>
      </c>
      <c r="P78" s="10" t="b">
        <v>1</v>
      </c>
      <c r="Q78" s="10" t="b">
        <v>1</v>
      </c>
      <c r="R78" s="10" t="b">
        <v>1</v>
      </c>
      <c r="S78" s="54" t="b">
        <v>1</v>
      </c>
      <c r="T78" s="55">
        <v>46058.0</v>
      </c>
      <c r="U78" s="9" t="s">
        <v>357</v>
      </c>
      <c r="V78" s="56" t="s">
        <v>358</v>
      </c>
      <c r="W78" s="57" t="b">
        <v>0</v>
      </c>
      <c r="X78" s="9" t="s">
        <v>769</v>
      </c>
      <c r="Y78" s="53"/>
      <c r="Z78" s="58"/>
      <c r="AA78" s="4"/>
      <c r="AB78" s="9" t="s">
        <v>738</v>
      </c>
      <c r="AC78" s="55">
        <v>46114.0</v>
      </c>
      <c r="AD78" s="6" t="s">
        <v>361</v>
      </c>
      <c r="AE78" s="56" t="s">
        <v>362</v>
      </c>
    </row>
    <row r="79">
      <c r="A79" s="5" t="s">
        <v>22</v>
      </c>
      <c r="B79" s="4" t="s">
        <v>770</v>
      </c>
      <c r="C79" s="4" t="s">
        <v>771</v>
      </c>
      <c r="D79" s="6" t="s">
        <v>365</v>
      </c>
      <c r="E79" s="4" t="s">
        <v>772</v>
      </c>
      <c r="F79" s="4" t="s">
        <v>485</v>
      </c>
      <c r="G79" s="4" t="s">
        <v>354</v>
      </c>
      <c r="H79" s="53" t="s">
        <v>374</v>
      </c>
      <c r="I79" s="53" t="s">
        <v>356</v>
      </c>
      <c r="J79" s="12" t="b">
        <v>1</v>
      </c>
      <c r="K79" s="12" t="b">
        <v>1</v>
      </c>
      <c r="L79" s="54" t="b">
        <v>1</v>
      </c>
      <c r="M79" s="12" t="b">
        <v>0</v>
      </c>
      <c r="N79" s="12" t="b">
        <v>0</v>
      </c>
      <c r="O79" s="12" t="b">
        <v>0</v>
      </c>
      <c r="P79" s="12" t="b">
        <v>0</v>
      </c>
      <c r="Q79" s="10" t="b">
        <v>0</v>
      </c>
      <c r="R79" s="10" t="b">
        <v>0</v>
      </c>
      <c r="S79" s="10" t="b">
        <v>0</v>
      </c>
      <c r="T79" s="55">
        <v>46025.0</v>
      </c>
      <c r="U79" s="9" t="s">
        <v>357</v>
      </c>
      <c r="V79" s="56" t="s">
        <v>358</v>
      </c>
      <c r="W79" s="57" t="b">
        <v>0</v>
      </c>
      <c r="X79" s="9" t="s">
        <v>359</v>
      </c>
      <c r="Y79" s="53"/>
      <c r="Z79" s="58"/>
      <c r="AA79" s="4"/>
      <c r="AB79" s="9" t="s">
        <v>738</v>
      </c>
      <c r="AC79" s="55">
        <v>46114.0</v>
      </c>
      <c r="AD79" s="6" t="s">
        <v>361</v>
      </c>
      <c r="AE79" s="56" t="s">
        <v>362</v>
      </c>
    </row>
    <row r="80">
      <c r="A80" s="5" t="s">
        <v>22</v>
      </c>
      <c r="B80" s="4" t="s">
        <v>773</v>
      </c>
      <c r="C80" s="4" t="s">
        <v>774</v>
      </c>
      <c r="D80" s="6" t="s">
        <v>351</v>
      </c>
      <c r="E80" s="4" t="s">
        <v>775</v>
      </c>
      <c r="F80" s="4" t="s">
        <v>776</v>
      </c>
      <c r="G80" s="4" t="s">
        <v>354</v>
      </c>
      <c r="H80" s="53" t="s">
        <v>355</v>
      </c>
      <c r="I80" s="53" t="s">
        <v>356</v>
      </c>
      <c r="J80" s="12" t="b">
        <v>1</v>
      </c>
      <c r="K80" s="12" t="b">
        <v>1</v>
      </c>
      <c r="L80" s="12" t="b">
        <v>1</v>
      </c>
      <c r="M80" s="12" t="b">
        <v>1</v>
      </c>
      <c r="N80" s="12" t="b">
        <v>1</v>
      </c>
      <c r="O80" s="54" t="b">
        <v>1</v>
      </c>
      <c r="P80" s="12" t="b">
        <v>0</v>
      </c>
      <c r="Q80" s="10" t="b">
        <v>0</v>
      </c>
      <c r="R80" s="10" t="b">
        <v>0</v>
      </c>
      <c r="S80" s="10" t="b">
        <v>0</v>
      </c>
      <c r="T80" s="55">
        <v>46025.0</v>
      </c>
      <c r="U80" s="9" t="s">
        <v>357</v>
      </c>
      <c r="V80" s="56" t="s">
        <v>358</v>
      </c>
      <c r="W80" s="57" t="b">
        <v>0</v>
      </c>
      <c r="X80" s="9" t="s">
        <v>777</v>
      </c>
      <c r="Y80" s="53"/>
      <c r="Z80" s="58"/>
      <c r="AA80" s="4"/>
      <c r="AB80" s="9" t="s">
        <v>738</v>
      </c>
      <c r="AC80" s="55">
        <v>46114.0</v>
      </c>
      <c r="AD80" s="6" t="s">
        <v>361</v>
      </c>
      <c r="AE80" s="56" t="s">
        <v>362</v>
      </c>
    </row>
    <row r="81">
      <c r="A81" s="5" t="s">
        <v>22</v>
      </c>
      <c r="B81" s="4" t="s">
        <v>370</v>
      </c>
      <c r="C81" s="4" t="s">
        <v>371</v>
      </c>
      <c r="D81" s="6" t="s">
        <v>351</v>
      </c>
      <c r="E81" s="4" t="s">
        <v>372</v>
      </c>
      <c r="F81" s="4" t="s">
        <v>373</v>
      </c>
      <c r="G81" s="4" t="s">
        <v>354</v>
      </c>
      <c r="H81" s="53" t="s">
        <v>374</v>
      </c>
      <c r="I81" s="53" t="s">
        <v>356</v>
      </c>
      <c r="J81" s="12" t="b">
        <v>1</v>
      </c>
      <c r="K81" s="12" t="b">
        <v>1</v>
      </c>
      <c r="L81" s="12" t="b">
        <v>1</v>
      </c>
      <c r="M81" s="54" t="b">
        <v>1</v>
      </c>
      <c r="N81" s="12" t="b">
        <v>0</v>
      </c>
      <c r="O81" s="12" t="b">
        <v>0</v>
      </c>
      <c r="P81" s="12" t="b">
        <v>0</v>
      </c>
      <c r="Q81" s="10" t="b">
        <v>0</v>
      </c>
      <c r="R81" s="10" t="b">
        <v>0</v>
      </c>
      <c r="S81" s="10" t="b">
        <v>0</v>
      </c>
      <c r="T81" s="55">
        <v>46025.0</v>
      </c>
      <c r="U81" s="9" t="s">
        <v>375</v>
      </c>
      <c r="V81" s="56" t="s">
        <v>358</v>
      </c>
      <c r="W81" s="57" t="b">
        <v>0</v>
      </c>
      <c r="X81" s="9" t="s">
        <v>376</v>
      </c>
      <c r="Y81" s="53"/>
      <c r="Z81" s="58"/>
      <c r="AA81" s="4"/>
      <c r="AB81" s="4"/>
      <c r="AC81" s="4"/>
      <c r="AD81" s="4"/>
      <c r="AE81" s="4"/>
    </row>
    <row r="82">
      <c r="A82" s="5" t="s">
        <v>22</v>
      </c>
      <c r="B82" s="72" t="s">
        <v>778</v>
      </c>
      <c r="C82" s="4" t="s">
        <v>779</v>
      </c>
      <c r="D82" s="6" t="s">
        <v>351</v>
      </c>
      <c r="E82" s="4" t="s">
        <v>780</v>
      </c>
      <c r="F82" s="4" t="s">
        <v>465</v>
      </c>
      <c r="G82" s="4" t="s">
        <v>354</v>
      </c>
      <c r="H82" s="53" t="s">
        <v>368</v>
      </c>
      <c r="I82" s="53" t="s">
        <v>356</v>
      </c>
      <c r="J82" s="12" t="b">
        <v>1</v>
      </c>
      <c r="K82" s="12" t="b">
        <v>1</v>
      </c>
      <c r="L82" s="12" t="b">
        <v>1</v>
      </c>
      <c r="M82" s="10" t="b">
        <v>1</v>
      </c>
      <c r="N82" s="57" t="b">
        <v>1</v>
      </c>
      <c r="O82" s="67" t="b">
        <v>1</v>
      </c>
      <c r="P82" s="54" t="b">
        <v>1</v>
      </c>
      <c r="Q82" s="10" t="b">
        <v>0</v>
      </c>
      <c r="R82" s="10" t="b">
        <v>0</v>
      </c>
      <c r="S82" s="10" t="b">
        <v>0</v>
      </c>
      <c r="T82" s="55">
        <v>46032.0</v>
      </c>
      <c r="U82" s="9" t="s">
        <v>357</v>
      </c>
      <c r="V82" s="56" t="s">
        <v>358</v>
      </c>
      <c r="W82" s="54" t="b">
        <v>1</v>
      </c>
      <c r="X82" s="9" t="s">
        <v>781</v>
      </c>
      <c r="Y82" s="6" t="s">
        <v>357</v>
      </c>
      <c r="Z82" s="56" t="s">
        <v>358</v>
      </c>
      <c r="AA82" s="9" t="s">
        <v>782</v>
      </c>
      <c r="AB82" s="9" t="s">
        <v>783</v>
      </c>
      <c r="AC82" s="55">
        <v>46114.0</v>
      </c>
      <c r="AD82" s="6" t="s">
        <v>784</v>
      </c>
      <c r="AE82" s="56" t="s">
        <v>362</v>
      </c>
    </row>
    <row r="83">
      <c r="A83" s="5" t="s">
        <v>22</v>
      </c>
      <c r="B83" s="73" t="s">
        <v>785</v>
      </c>
      <c r="C83" s="4" t="s">
        <v>786</v>
      </c>
      <c r="D83" s="6" t="s">
        <v>365</v>
      </c>
      <c r="E83" s="4" t="s">
        <v>787</v>
      </c>
      <c r="F83" s="4" t="s">
        <v>409</v>
      </c>
      <c r="G83" s="4" t="s">
        <v>354</v>
      </c>
      <c r="H83" s="53" t="s">
        <v>374</v>
      </c>
      <c r="I83" s="53" t="s">
        <v>446</v>
      </c>
      <c r="J83" s="12" t="b">
        <v>1</v>
      </c>
      <c r="K83" s="12" t="b">
        <v>1</v>
      </c>
      <c r="L83" s="12" t="b">
        <v>1</v>
      </c>
      <c r="M83" s="10" t="b">
        <v>1</v>
      </c>
      <c r="N83" s="10" t="b">
        <v>1</v>
      </c>
      <c r="O83" s="10" t="b">
        <v>1</v>
      </c>
      <c r="P83" s="57" t="b">
        <v>1</v>
      </c>
      <c r="Q83" s="67" t="b">
        <v>1</v>
      </c>
      <c r="R83" s="71" t="b">
        <v>1</v>
      </c>
      <c r="S83" s="54" t="b">
        <v>1</v>
      </c>
      <c r="T83" s="55">
        <v>46104.0</v>
      </c>
      <c r="U83" s="9" t="s">
        <v>357</v>
      </c>
      <c r="V83" s="56" t="s">
        <v>358</v>
      </c>
      <c r="W83" s="54" t="b">
        <v>1</v>
      </c>
      <c r="X83" s="56" t="s">
        <v>788</v>
      </c>
      <c r="Y83" s="6" t="s">
        <v>382</v>
      </c>
      <c r="Z83" s="56" t="s">
        <v>358</v>
      </c>
      <c r="AA83" s="9" t="s">
        <v>789</v>
      </c>
      <c r="AB83" s="9" t="s">
        <v>759</v>
      </c>
      <c r="AC83" s="55">
        <v>46114.0</v>
      </c>
      <c r="AD83" s="6" t="s">
        <v>357</v>
      </c>
      <c r="AE83" s="56" t="s">
        <v>358</v>
      </c>
    </row>
    <row r="84">
      <c r="A84" s="5" t="s">
        <v>22</v>
      </c>
      <c r="B84" s="4" t="s">
        <v>692</v>
      </c>
      <c r="C84" s="4" t="s">
        <v>790</v>
      </c>
      <c r="D84" s="6" t="s">
        <v>365</v>
      </c>
      <c r="E84" s="4" t="s">
        <v>791</v>
      </c>
      <c r="F84" s="4" t="s">
        <v>409</v>
      </c>
      <c r="G84" s="4" t="s">
        <v>354</v>
      </c>
      <c r="H84" s="53" t="s">
        <v>355</v>
      </c>
      <c r="I84" s="53" t="s">
        <v>356</v>
      </c>
      <c r="J84" s="12" t="b">
        <v>1</v>
      </c>
      <c r="K84" s="12" t="b">
        <v>1</v>
      </c>
      <c r="L84" s="12" t="b">
        <v>1</v>
      </c>
      <c r="M84" s="12" t="b">
        <v>1</v>
      </c>
      <c r="N84" s="10" t="b">
        <v>1</v>
      </c>
      <c r="O84" s="10" t="b">
        <v>1</v>
      </c>
      <c r="P84" s="10" t="b">
        <v>1</v>
      </c>
      <c r="Q84" s="54" t="b">
        <v>1</v>
      </c>
      <c r="R84" s="10" t="b">
        <v>0</v>
      </c>
      <c r="S84" s="10" t="b">
        <v>0</v>
      </c>
      <c r="T84" s="55">
        <v>46034.0</v>
      </c>
      <c r="U84" s="9" t="s">
        <v>357</v>
      </c>
      <c r="V84" s="56" t="s">
        <v>358</v>
      </c>
      <c r="W84" s="57" t="b">
        <v>0</v>
      </c>
      <c r="X84" s="56" t="s">
        <v>792</v>
      </c>
      <c r="Y84" s="53"/>
      <c r="Z84" s="58"/>
      <c r="AA84" s="4"/>
      <c r="AB84" s="9" t="s">
        <v>738</v>
      </c>
      <c r="AC84" s="55">
        <v>46114.0</v>
      </c>
      <c r="AD84" s="6" t="s">
        <v>361</v>
      </c>
      <c r="AE84" s="56" t="s">
        <v>362</v>
      </c>
    </row>
    <row r="85">
      <c r="A85" s="5" t="s">
        <v>22</v>
      </c>
      <c r="B85" s="4" t="s">
        <v>793</v>
      </c>
      <c r="C85" s="4" t="s">
        <v>794</v>
      </c>
      <c r="D85" s="6" t="s">
        <v>351</v>
      </c>
      <c r="E85" s="4" t="s">
        <v>795</v>
      </c>
      <c r="F85" s="4" t="s">
        <v>796</v>
      </c>
      <c r="G85" s="4" t="s">
        <v>354</v>
      </c>
      <c r="H85" s="53" t="s">
        <v>355</v>
      </c>
      <c r="I85" s="53" t="s">
        <v>356</v>
      </c>
      <c r="J85" s="12" t="b">
        <v>1</v>
      </c>
      <c r="K85" s="12" t="b">
        <v>1</v>
      </c>
      <c r="L85" s="12" t="b">
        <v>1</v>
      </c>
      <c r="M85" s="12" t="b">
        <v>1</v>
      </c>
      <c r="N85" s="54" t="b">
        <v>1</v>
      </c>
      <c r="O85" s="10" t="b">
        <v>0</v>
      </c>
      <c r="P85" s="12" t="b">
        <v>0</v>
      </c>
      <c r="Q85" s="10" t="b">
        <v>0</v>
      </c>
      <c r="R85" s="10" t="b">
        <v>0</v>
      </c>
      <c r="S85" s="10" t="b">
        <v>0</v>
      </c>
      <c r="T85" s="55">
        <v>46025.0</v>
      </c>
      <c r="U85" s="9" t="s">
        <v>424</v>
      </c>
      <c r="V85" s="56" t="s">
        <v>358</v>
      </c>
      <c r="W85" s="57" t="b">
        <v>0</v>
      </c>
      <c r="X85" s="9" t="s">
        <v>797</v>
      </c>
      <c r="Y85" s="53"/>
      <c r="Z85" s="58"/>
      <c r="AA85" s="4"/>
      <c r="AB85" s="4"/>
      <c r="AC85" s="4"/>
      <c r="AD85" s="4"/>
      <c r="AE85" s="4"/>
    </row>
    <row r="86">
      <c r="A86" s="5" t="s">
        <v>22</v>
      </c>
      <c r="B86" s="4" t="s">
        <v>798</v>
      </c>
      <c r="C86" s="4" t="s">
        <v>799</v>
      </c>
      <c r="D86" s="6" t="s">
        <v>351</v>
      </c>
      <c r="E86" s="4" t="s">
        <v>800</v>
      </c>
      <c r="F86" s="4" t="s">
        <v>801</v>
      </c>
      <c r="G86" s="4" t="s">
        <v>354</v>
      </c>
      <c r="H86" s="53" t="s">
        <v>355</v>
      </c>
      <c r="I86" s="53" t="s">
        <v>356</v>
      </c>
      <c r="J86" s="12" t="b">
        <v>1</v>
      </c>
      <c r="K86" s="12" t="b">
        <v>1</v>
      </c>
      <c r="L86" s="12" t="b">
        <v>1</v>
      </c>
      <c r="M86" s="12" t="b">
        <v>1</v>
      </c>
      <c r="N86" s="12" t="b">
        <v>1</v>
      </c>
      <c r="O86" s="10" t="b">
        <v>1</v>
      </c>
      <c r="P86" s="10" t="b">
        <v>1</v>
      </c>
      <c r="Q86" s="54" t="b">
        <v>1</v>
      </c>
      <c r="R86" s="10" t="b">
        <v>0</v>
      </c>
      <c r="S86" s="10" t="b">
        <v>0</v>
      </c>
      <c r="T86" s="55">
        <v>46029.0</v>
      </c>
      <c r="U86" s="9" t="s">
        <v>357</v>
      </c>
      <c r="V86" s="56" t="s">
        <v>358</v>
      </c>
      <c r="W86" s="57" t="b">
        <v>0</v>
      </c>
      <c r="X86" s="56" t="s">
        <v>802</v>
      </c>
      <c r="Y86" s="53"/>
      <c r="Z86" s="58"/>
      <c r="AA86" s="4"/>
      <c r="AB86" s="9" t="s">
        <v>738</v>
      </c>
      <c r="AC86" s="55">
        <v>46114.0</v>
      </c>
      <c r="AD86" s="6" t="s">
        <v>361</v>
      </c>
      <c r="AE86" s="56" t="s">
        <v>362</v>
      </c>
    </row>
    <row r="87">
      <c r="A87" s="5" t="s">
        <v>22</v>
      </c>
      <c r="B87" s="68" t="s">
        <v>803</v>
      </c>
      <c r="C87" s="4" t="s">
        <v>804</v>
      </c>
      <c r="D87" s="6" t="s">
        <v>351</v>
      </c>
      <c r="E87" s="4" t="s">
        <v>805</v>
      </c>
      <c r="F87" s="4" t="s">
        <v>399</v>
      </c>
      <c r="G87" s="4" t="s">
        <v>354</v>
      </c>
      <c r="H87" s="53" t="s">
        <v>368</v>
      </c>
      <c r="I87" s="53" t="s">
        <v>356</v>
      </c>
      <c r="J87" s="12" t="b">
        <v>1</v>
      </c>
      <c r="K87" s="12" t="b">
        <v>1</v>
      </c>
      <c r="L87" s="12" t="b">
        <v>1</v>
      </c>
      <c r="M87" s="57" t="b">
        <v>1</v>
      </c>
      <c r="N87" s="54" t="b">
        <v>1</v>
      </c>
      <c r="O87" s="12" t="b">
        <v>0</v>
      </c>
      <c r="P87" s="12" t="b">
        <v>0</v>
      </c>
      <c r="Q87" s="10" t="b">
        <v>0</v>
      </c>
      <c r="R87" s="10" t="b">
        <v>0</v>
      </c>
      <c r="S87" s="10" t="b">
        <v>0</v>
      </c>
      <c r="T87" s="55">
        <v>46029.0</v>
      </c>
      <c r="U87" s="9" t="s">
        <v>357</v>
      </c>
      <c r="V87" s="56" t="s">
        <v>358</v>
      </c>
      <c r="W87" s="54" t="b">
        <v>1</v>
      </c>
      <c r="X87" s="9" t="s">
        <v>806</v>
      </c>
      <c r="Y87" s="6" t="s">
        <v>357</v>
      </c>
      <c r="Z87" s="56" t="s">
        <v>358</v>
      </c>
      <c r="AA87" s="9" t="s">
        <v>807</v>
      </c>
      <c r="AB87" s="9" t="s">
        <v>738</v>
      </c>
      <c r="AC87" s="55">
        <v>46114.0</v>
      </c>
      <c r="AD87" s="6" t="s">
        <v>361</v>
      </c>
      <c r="AE87" s="56" t="s">
        <v>362</v>
      </c>
    </row>
    <row r="88">
      <c r="A88" s="5" t="s">
        <v>22</v>
      </c>
      <c r="B88" s="4" t="s">
        <v>808</v>
      </c>
      <c r="C88" s="4" t="s">
        <v>809</v>
      </c>
      <c r="D88" s="6" t="s">
        <v>351</v>
      </c>
      <c r="E88" s="4" t="s">
        <v>810</v>
      </c>
      <c r="F88" s="4" t="s">
        <v>409</v>
      </c>
      <c r="G88" s="4" t="s">
        <v>354</v>
      </c>
      <c r="H88" s="53" t="s">
        <v>475</v>
      </c>
      <c r="I88" s="53" t="s">
        <v>380</v>
      </c>
      <c r="J88" s="12" t="b">
        <v>1</v>
      </c>
      <c r="K88" s="12" t="b">
        <v>1</v>
      </c>
      <c r="L88" s="12" t="b">
        <v>1</v>
      </c>
      <c r="M88" s="12" t="b">
        <v>1</v>
      </c>
      <c r="N88" s="12" t="b">
        <v>1</v>
      </c>
      <c r="O88" s="10" t="b">
        <v>1</v>
      </c>
      <c r="P88" s="10" t="b">
        <v>1</v>
      </c>
      <c r="Q88" s="10" t="b">
        <v>1</v>
      </c>
      <c r="R88" s="10" t="b">
        <v>1</v>
      </c>
      <c r="S88" s="54" t="b">
        <v>1</v>
      </c>
      <c r="T88" s="55">
        <v>46055.0</v>
      </c>
      <c r="U88" s="9" t="s">
        <v>357</v>
      </c>
      <c r="V88" s="56" t="s">
        <v>358</v>
      </c>
      <c r="W88" s="57" t="b">
        <v>0</v>
      </c>
      <c r="X88" s="56" t="s">
        <v>811</v>
      </c>
      <c r="Y88" s="53"/>
      <c r="Z88" s="58"/>
      <c r="AA88" s="4"/>
      <c r="AB88" s="9" t="s">
        <v>738</v>
      </c>
      <c r="AC88" s="55">
        <v>46114.0</v>
      </c>
      <c r="AD88" s="6" t="s">
        <v>361</v>
      </c>
      <c r="AE88" s="56" t="s">
        <v>362</v>
      </c>
    </row>
    <row r="89">
      <c r="A89" s="5" t="s">
        <v>22</v>
      </c>
      <c r="B89" s="68" t="s">
        <v>812</v>
      </c>
      <c r="C89" s="4" t="s">
        <v>813</v>
      </c>
      <c r="D89" s="6" t="s">
        <v>365</v>
      </c>
      <c r="E89" s="4" t="s">
        <v>814</v>
      </c>
      <c r="F89" s="4" t="s">
        <v>465</v>
      </c>
      <c r="G89" s="4" t="s">
        <v>354</v>
      </c>
      <c r="H89" s="53" t="s">
        <v>368</v>
      </c>
      <c r="I89" s="53" t="s">
        <v>380</v>
      </c>
      <c r="J89" s="12" t="b">
        <v>1</v>
      </c>
      <c r="K89" s="12" t="b">
        <v>1</v>
      </c>
      <c r="L89" s="12" t="b">
        <v>1</v>
      </c>
      <c r="M89" s="57" t="b">
        <v>1</v>
      </c>
      <c r="N89" s="57" t="b">
        <v>1</v>
      </c>
      <c r="O89" s="54" t="b">
        <v>1</v>
      </c>
      <c r="P89" s="12" t="b">
        <v>0</v>
      </c>
      <c r="Q89" s="10" t="b">
        <v>0</v>
      </c>
      <c r="R89" s="10" t="b">
        <v>0</v>
      </c>
      <c r="S89" s="10" t="b">
        <v>0</v>
      </c>
      <c r="T89" s="55">
        <v>46044.0</v>
      </c>
      <c r="U89" s="9" t="s">
        <v>357</v>
      </c>
      <c r="V89" s="56" t="s">
        <v>358</v>
      </c>
      <c r="W89" s="54" t="b">
        <v>1</v>
      </c>
      <c r="X89" s="9" t="s">
        <v>815</v>
      </c>
      <c r="Y89" s="6" t="s">
        <v>357</v>
      </c>
      <c r="Z89" s="56" t="s">
        <v>358</v>
      </c>
      <c r="AA89" s="9" t="s">
        <v>816</v>
      </c>
      <c r="AB89" s="9" t="s">
        <v>738</v>
      </c>
      <c r="AC89" s="55">
        <v>46114.0</v>
      </c>
      <c r="AD89" s="6" t="s">
        <v>361</v>
      </c>
      <c r="AE89" s="56" t="s">
        <v>362</v>
      </c>
    </row>
    <row r="90">
      <c r="A90" s="5" t="s">
        <v>22</v>
      </c>
      <c r="B90" s="4" t="s">
        <v>817</v>
      </c>
      <c r="C90" s="4" t="s">
        <v>818</v>
      </c>
      <c r="D90" s="6" t="s">
        <v>351</v>
      </c>
      <c r="E90" s="4" t="s">
        <v>819</v>
      </c>
      <c r="F90" s="4" t="s">
        <v>465</v>
      </c>
      <c r="G90" s="4" t="s">
        <v>354</v>
      </c>
      <c r="H90" s="74" t="s">
        <v>374</v>
      </c>
      <c r="I90" s="53" t="s">
        <v>356</v>
      </c>
      <c r="J90" s="12" t="b">
        <v>1</v>
      </c>
      <c r="K90" s="12" t="b">
        <v>1</v>
      </c>
      <c r="L90" s="12" t="b">
        <v>1</v>
      </c>
      <c r="M90" s="12" t="b">
        <v>1</v>
      </c>
      <c r="N90" s="10" t="b">
        <v>1</v>
      </c>
      <c r="O90" s="54" t="b">
        <v>1</v>
      </c>
      <c r="P90" s="12" t="b">
        <v>0</v>
      </c>
      <c r="Q90" s="10" t="b">
        <v>0</v>
      </c>
      <c r="R90" s="10" t="b">
        <v>0</v>
      </c>
      <c r="S90" s="10" t="b">
        <v>0</v>
      </c>
      <c r="T90" s="55">
        <v>46027.0</v>
      </c>
      <c r="U90" s="9" t="s">
        <v>357</v>
      </c>
      <c r="V90" s="56" t="s">
        <v>405</v>
      </c>
      <c r="W90" s="57" t="b">
        <v>0</v>
      </c>
      <c r="X90" s="9" t="s">
        <v>820</v>
      </c>
      <c r="Y90" s="53"/>
      <c r="Z90" s="58"/>
      <c r="AA90" s="4"/>
      <c r="AB90" s="9" t="s">
        <v>738</v>
      </c>
      <c r="AC90" s="55">
        <v>46114.0</v>
      </c>
      <c r="AD90" s="6" t="s">
        <v>361</v>
      </c>
      <c r="AE90" s="56" t="s">
        <v>362</v>
      </c>
    </row>
    <row r="91">
      <c r="A91" s="5" t="s">
        <v>22</v>
      </c>
      <c r="B91" s="4" t="s">
        <v>821</v>
      </c>
      <c r="C91" s="4" t="s">
        <v>822</v>
      </c>
      <c r="D91" s="6" t="s">
        <v>365</v>
      </c>
      <c r="E91" s="4" t="s">
        <v>823</v>
      </c>
      <c r="F91" s="4" t="s">
        <v>409</v>
      </c>
      <c r="G91" s="4" t="s">
        <v>354</v>
      </c>
      <c r="H91" s="53" t="s">
        <v>368</v>
      </c>
      <c r="I91" s="53" t="s">
        <v>380</v>
      </c>
      <c r="J91" s="10" t="b">
        <v>1</v>
      </c>
      <c r="K91" s="54" t="b">
        <v>1</v>
      </c>
      <c r="L91" s="12" t="b">
        <v>0</v>
      </c>
      <c r="M91" s="12" t="b">
        <v>0</v>
      </c>
      <c r="N91" s="12" t="b">
        <v>0</v>
      </c>
      <c r="O91" s="12" t="b">
        <v>0</v>
      </c>
      <c r="P91" s="12" t="b">
        <v>0</v>
      </c>
      <c r="Q91" s="10" t="b">
        <v>0</v>
      </c>
      <c r="R91" s="10" t="b">
        <v>0</v>
      </c>
      <c r="S91" s="10" t="b">
        <v>0</v>
      </c>
      <c r="T91" s="55">
        <v>46025.0</v>
      </c>
      <c r="U91" s="9" t="s">
        <v>375</v>
      </c>
      <c r="V91" s="56" t="s">
        <v>358</v>
      </c>
      <c r="W91" s="57" t="b">
        <v>0</v>
      </c>
      <c r="X91" s="9" t="s">
        <v>824</v>
      </c>
      <c r="Y91" s="53"/>
      <c r="Z91" s="58"/>
      <c r="AA91" s="4"/>
      <c r="AB91" s="4"/>
      <c r="AC91" s="4"/>
      <c r="AD91" s="4"/>
      <c r="AE91" s="4"/>
    </row>
    <row r="92">
      <c r="A92" s="5" t="s">
        <v>22</v>
      </c>
      <c r="B92" s="4" t="s">
        <v>825</v>
      </c>
      <c r="C92" s="4" t="s">
        <v>826</v>
      </c>
      <c r="D92" s="6" t="s">
        <v>365</v>
      </c>
      <c r="E92" s="4" t="s">
        <v>827</v>
      </c>
      <c r="F92" s="4" t="s">
        <v>409</v>
      </c>
      <c r="G92" s="4" t="s">
        <v>354</v>
      </c>
      <c r="H92" s="53" t="s">
        <v>368</v>
      </c>
      <c r="I92" s="53" t="s">
        <v>446</v>
      </c>
      <c r="J92" s="12" t="b">
        <v>1</v>
      </c>
      <c r="K92" s="12" t="b">
        <v>1</v>
      </c>
      <c r="L92" s="10" t="b">
        <v>1</v>
      </c>
      <c r="M92" s="10" t="b">
        <v>1</v>
      </c>
      <c r="N92" s="54" t="b">
        <v>1</v>
      </c>
      <c r="O92" s="12" t="b">
        <v>0</v>
      </c>
      <c r="P92" s="12" t="b">
        <v>0</v>
      </c>
      <c r="Q92" s="10" t="b">
        <v>0</v>
      </c>
      <c r="R92" s="10" t="b">
        <v>0</v>
      </c>
      <c r="S92" s="10" t="b">
        <v>0</v>
      </c>
      <c r="T92" s="55">
        <v>46029.0</v>
      </c>
      <c r="U92" s="9" t="s">
        <v>375</v>
      </c>
      <c r="V92" s="56" t="s">
        <v>358</v>
      </c>
      <c r="W92" s="57" t="b">
        <v>0</v>
      </c>
      <c r="X92" s="56" t="s">
        <v>828</v>
      </c>
      <c r="Y92" s="53"/>
      <c r="Z92" s="58"/>
      <c r="AA92" s="4"/>
      <c r="AB92" s="4"/>
      <c r="AC92" s="4"/>
      <c r="AD92" s="4"/>
      <c r="AE92" s="4"/>
    </row>
    <row r="93">
      <c r="A93" s="5" t="s">
        <v>22</v>
      </c>
      <c r="B93" s="4" t="s">
        <v>829</v>
      </c>
      <c r="C93" s="4" t="s">
        <v>830</v>
      </c>
      <c r="D93" s="6" t="s">
        <v>351</v>
      </c>
      <c r="E93" s="4" t="s">
        <v>831</v>
      </c>
      <c r="F93" s="4" t="s">
        <v>465</v>
      </c>
      <c r="G93" s="4" t="s">
        <v>354</v>
      </c>
      <c r="H93" s="53" t="s">
        <v>355</v>
      </c>
      <c r="I93" s="53" t="s">
        <v>356</v>
      </c>
      <c r="J93" s="12" t="b">
        <v>1</v>
      </c>
      <c r="K93" s="12" t="b">
        <v>1</v>
      </c>
      <c r="L93" s="12" t="b">
        <v>1</v>
      </c>
      <c r="M93" s="12" t="b">
        <v>1</v>
      </c>
      <c r="N93" s="54" t="b">
        <v>1</v>
      </c>
      <c r="O93" s="12" t="b">
        <v>0</v>
      </c>
      <c r="P93" s="12" t="b">
        <v>0</v>
      </c>
      <c r="Q93" s="10" t="b">
        <v>0</v>
      </c>
      <c r="R93" s="10" t="b">
        <v>0</v>
      </c>
      <c r="S93" s="10" t="b">
        <v>0</v>
      </c>
      <c r="T93" s="55">
        <v>46025.0</v>
      </c>
      <c r="U93" s="9" t="s">
        <v>357</v>
      </c>
      <c r="V93" s="56" t="s">
        <v>358</v>
      </c>
      <c r="W93" s="57" t="b">
        <v>0</v>
      </c>
      <c r="X93" s="9" t="s">
        <v>832</v>
      </c>
      <c r="Y93" s="53"/>
      <c r="Z93" s="58"/>
      <c r="AA93" s="4"/>
      <c r="AB93" s="9" t="s">
        <v>833</v>
      </c>
      <c r="AC93" s="55">
        <v>46114.0</v>
      </c>
      <c r="AD93" s="6" t="s">
        <v>834</v>
      </c>
      <c r="AE93" s="56" t="s">
        <v>432</v>
      </c>
    </row>
    <row r="94">
      <c r="A94" s="5" t="s">
        <v>22</v>
      </c>
      <c r="B94" s="4" t="s">
        <v>835</v>
      </c>
      <c r="C94" s="4" t="s">
        <v>836</v>
      </c>
      <c r="D94" s="6" t="s">
        <v>365</v>
      </c>
      <c r="E94" s="4" t="s">
        <v>837</v>
      </c>
      <c r="F94" s="4" t="s">
        <v>801</v>
      </c>
      <c r="G94" s="4" t="s">
        <v>354</v>
      </c>
      <c r="H94" s="53" t="s">
        <v>355</v>
      </c>
      <c r="I94" s="53" t="s">
        <v>356</v>
      </c>
      <c r="J94" s="12" t="b">
        <v>1</v>
      </c>
      <c r="K94" s="12" t="b">
        <v>1</v>
      </c>
      <c r="L94" s="12" t="b">
        <v>1</v>
      </c>
      <c r="M94" s="12" t="b">
        <v>1</v>
      </c>
      <c r="N94" s="54" t="b">
        <v>1</v>
      </c>
      <c r="O94" s="12" t="b">
        <v>0</v>
      </c>
      <c r="P94" s="12" t="b">
        <v>0</v>
      </c>
      <c r="Q94" s="10" t="b">
        <v>0</v>
      </c>
      <c r="R94" s="10" t="b">
        <v>0</v>
      </c>
      <c r="S94" s="10" t="b">
        <v>0</v>
      </c>
      <c r="T94" s="55">
        <v>46025.0</v>
      </c>
      <c r="U94" s="9" t="s">
        <v>424</v>
      </c>
      <c r="V94" s="56" t="s">
        <v>358</v>
      </c>
      <c r="W94" s="57" t="b">
        <v>0</v>
      </c>
      <c r="X94" s="9" t="s">
        <v>838</v>
      </c>
      <c r="Y94" s="53"/>
      <c r="Z94" s="58"/>
      <c r="AA94" s="4"/>
      <c r="AB94" s="4"/>
      <c r="AC94" s="4"/>
      <c r="AD94" s="4"/>
      <c r="AE94" s="4"/>
    </row>
    <row r="95">
      <c r="A95" s="5" t="s">
        <v>22</v>
      </c>
      <c r="B95" s="4" t="s">
        <v>839</v>
      </c>
      <c r="C95" s="4" t="s">
        <v>840</v>
      </c>
      <c r="D95" s="6" t="s">
        <v>351</v>
      </c>
      <c r="E95" s="4" t="s">
        <v>841</v>
      </c>
      <c r="F95" s="4" t="s">
        <v>842</v>
      </c>
      <c r="G95" s="4" t="s">
        <v>716</v>
      </c>
      <c r="H95" s="53" t="s">
        <v>374</v>
      </c>
      <c r="I95" s="53" t="s">
        <v>356</v>
      </c>
      <c r="J95" s="12" t="b">
        <v>1</v>
      </c>
      <c r="K95" s="12" t="b">
        <v>1</v>
      </c>
      <c r="L95" s="12" t="b">
        <v>1</v>
      </c>
      <c r="M95" s="12" t="b">
        <v>1</v>
      </c>
      <c r="N95" s="10" t="b">
        <v>1</v>
      </c>
      <c r="O95" s="10" t="b">
        <v>1</v>
      </c>
      <c r="P95" s="10" t="b">
        <v>1</v>
      </c>
      <c r="Q95" s="10" t="b">
        <v>1</v>
      </c>
      <c r="R95" s="54" t="b">
        <v>1</v>
      </c>
      <c r="S95" s="10" t="b">
        <v>0</v>
      </c>
      <c r="T95" s="55">
        <v>46044.0</v>
      </c>
      <c r="U95" s="9" t="s">
        <v>357</v>
      </c>
      <c r="V95" s="56" t="s">
        <v>358</v>
      </c>
      <c r="W95" s="57" t="b">
        <v>0</v>
      </c>
      <c r="X95" s="56" t="s">
        <v>471</v>
      </c>
      <c r="Y95" s="53"/>
      <c r="Z95" s="58"/>
      <c r="AA95" s="4"/>
      <c r="AB95" s="9" t="s">
        <v>843</v>
      </c>
      <c r="AC95" s="55">
        <v>46114.0</v>
      </c>
      <c r="AD95" s="6" t="s">
        <v>404</v>
      </c>
      <c r="AE95" s="56" t="s">
        <v>405</v>
      </c>
    </row>
    <row r="96">
      <c r="A96" s="5" t="s">
        <v>22</v>
      </c>
      <c r="B96" s="4" t="s">
        <v>844</v>
      </c>
      <c r="C96" s="4" t="s">
        <v>845</v>
      </c>
      <c r="D96" s="6" t="s">
        <v>365</v>
      </c>
      <c r="E96" s="4" t="s">
        <v>846</v>
      </c>
      <c r="F96" s="4" t="s">
        <v>847</v>
      </c>
      <c r="G96" s="4" t="s">
        <v>354</v>
      </c>
      <c r="H96" s="53" t="s">
        <v>355</v>
      </c>
      <c r="I96" s="53" t="s">
        <v>356</v>
      </c>
      <c r="J96" s="12" t="b">
        <v>1</v>
      </c>
      <c r="K96" s="12" t="b">
        <v>1</v>
      </c>
      <c r="L96" s="10" t="b">
        <v>1</v>
      </c>
      <c r="M96" s="10" t="b">
        <v>1</v>
      </c>
      <c r="N96" s="57" t="b">
        <v>1</v>
      </c>
      <c r="O96" s="57" t="b">
        <v>1</v>
      </c>
      <c r="P96" s="54" t="b">
        <v>1</v>
      </c>
      <c r="Q96" s="10" t="b">
        <v>0</v>
      </c>
      <c r="R96" s="10" t="b">
        <v>0</v>
      </c>
      <c r="S96" s="10" t="b">
        <v>0</v>
      </c>
      <c r="T96" s="55">
        <v>46045.0</v>
      </c>
      <c r="U96" s="9" t="s">
        <v>357</v>
      </c>
      <c r="V96" s="56" t="s">
        <v>358</v>
      </c>
      <c r="W96" s="54" t="b">
        <v>1</v>
      </c>
      <c r="X96" s="56" t="s">
        <v>848</v>
      </c>
      <c r="Y96" s="6" t="s">
        <v>382</v>
      </c>
      <c r="Z96" s="56" t="s">
        <v>358</v>
      </c>
      <c r="AA96" s="9" t="s">
        <v>849</v>
      </c>
      <c r="AB96" s="9" t="s">
        <v>738</v>
      </c>
      <c r="AC96" s="55">
        <v>46114.0</v>
      </c>
      <c r="AD96" s="6" t="s">
        <v>361</v>
      </c>
      <c r="AE96" s="56" t="s">
        <v>362</v>
      </c>
    </row>
    <row r="97">
      <c r="A97" s="5" t="s">
        <v>22</v>
      </c>
      <c r="B97" s="4" t="s">
        <v>363</v>
      </c>
      <c r="C97" s="4" t="s">
        <v>364</v>
      </c>
      <c r="D97" s="6" t="s">
        <v>351</v>
      </c>
      <c r="E97" s="4" t="s">
        <v>850</v>
      </c>
      <c r="F97" s="4" t="s">
        <v>367</v>
      </c>
      <c r="G97" s="4" t="s">
        <v>354</v>
      </c>
      <c r="H97" s="53" t="s">
        <v>368</v>
      </c>
      <c r="I97" s="53" t="s">
        <v>356</v>
      </c>
      <c r="J97" s="12" t="b">
        <v>1</v>
      </c>
      <c r="K97" s="12" t="b">
        <v>1</v>
      </c>
      <c r="L97" s="12" t="b">
        <v>1</v>
      </c>
      <c r="M97" s="10" t="b">
        <v>1</v>
      </c>
      <c r="N97" s="10" t="b">
        <v>1</v>
      </c>
      <c r="O97" s="10" t="b">
        <v>1</v>
      </c>
      <c r="P97" s="10" t="b">
        <v>1</v>
      </c>
      <c r="Q97" s="54" t="b">
        <v>1</v>
      </c>
      <c r="R97" s="10" t="b">
        <v>0</v>
      </c>
      <c r="S97" s="10" t="b">
        <v>0</v>
      </c>
      <c r="T97" s="55">
        <v>46044.0</v>
      </c>
      <c r="U97" s="9" t="s">
        <v>357</v>
      </c>
      <c r="V97" s="56" t="s">
        <v>358</v>
      </c>
      <c r="W97" s="57" t="b">
        <v>0</v>
      </c>
      <c r="X97" s="56" t="s">
        <v>851</v>
      </c>
      <c r="Y97" s="53"/>
      <c r="Z97" s="58"/>
      <c r="AA97" s="4"/>
      <c r="AB97" s="9" t="s">
        <v>852</v>
      </c>
      <c r="AC97" s="55">
        <v>46114.0</v>
      </c>
      <c r="AD97" s="6" t="s">
        <v>784</v>
      </c>
      <c r="AE97" s="56" t="s">
        <v>362</v>
      </c>
    </row>
    <row r="98">
      <c r="A98" s="5" t="s">
        <v>22</v>
      </c>
      <c r="B98" s="4" t="s">
        <v>853</v>
      </c>
      <c r="C98" s="4" t="s">
        <v>854</v>
      </c>
      <c r="D98" s="6" t="s">
        <v>351</v>
      </c>
      <c r="E98" s="4" t="s">
        <v>855</v>
      </c>
      <c r="F98" s="4" t="s">
        <v>856</v>
      </c>
      <c r="G98" s="4" t="s">
        <v>354</v>
      </c>
      <c r="H98" s="53" t="s">
        <v>355</v>
      </c>
      <c r="I98" s="53" t="s">
        <v>356</v>
      </c>
      <c r="J98" s="12" t="b">
        <v>1</v>
      </c>
      <c r="K98" s="10" t="b">
        <v>1</v>
      </c>
      <c r="L98" s="10" t="b">
        <v>1</v>
      </c>
      <c r="M98" s="10" t="b">
        <v>1</v>
      </c>
      <c r="N98" s="54" t="b">
        <v>1</v>
      </c>
      <c r="O98" s="12" t="b">
        <v>0</v>
      </c>
      <c r="P98" s="12" t="b">
        <v>0</v>
      </c>
      <c r="Q98" s="10" t="b">
        <v>0</v>
      </c>
      <c r="R98" s="10" t="b">
        <v>0</v>
      </c>
      <c r="S98" s="10" t="b">
        <v>0</v>
      </c>
      <c r="T98" s="55">
        <v>46034.0</v>
      </c>
      <c r="U98" s="9" t="s">
        <v>357</v>
      </c>
      <c r="V98" s="56" t="s">
        <v>358</v>
      </c>
      <c r="W98" s="57" t="b">
        <v>0</v>
      </c>
      <c r="X98" s="56" t="s">
        <v>857</v>
      </c>
      <c r="Y98" s="53"/>
      <c r="Z98" s="58"/>
      <c r="AA98" s="4"/>
      <c r="AB98" s="9" t="s">
        <v>858</v>
      </c>
      <c r="AC98" s="55">
        <v>46114.0</v>
      </c>
      <c r="AD98" s="6" t="s">
        <v>357</v>
      </c>
      <c r="AE98" s="56" t="s">
        <v>358</v>
      </c>
    </row>
    <row r="99">
      <c r="A99" s="5" t="s">
        <v>22</v>
      </c>
      <c r="B99" s="4" t="s">
        <v>859</v>
      </c>
      <c r="C99" s="4" t="s">
        <v>860</v>
      </c>
      <c r="D99" s="6" t="s">
        <v>365</v>
      </c>
      <c r="E99" s="4" t="s">
        <v>861</v>
      </c>
      <c r="F99" s="4" t="s">
        <v>862</v>
      </c>
      <c r="G99" s="4" t="s">
        <v>354</v>
      </c>
      <c r="H99" s="53" t="s">
        <v>374</v>
      </c>
      <c r="I99" s="53" t="s">
        <v>356</v>
      </c>
      <c r="J99" s="12" t="b">
        <v>1</v>
      </c>
      <c r="K99" s="54" t="b">
        <v>1</v>
      </c>
      <c r="L99" s="12" t="b">
        <v>0</v>
      </c>
      <c r="M99" s="12" t="b">
        <v>0</v>
      </c>
      <c r="N99" s="12" t="b">
        <v>0</v>
      </c>
      <c r="O99" s="12" t="b">
        <v>0</v>
      </c>
      <c r="P99" s="12" t="b">
        <v>0</v>
      </c>
      <c r="Q99" s="10" t="b">
        <v>0</v>
      </c>
      <c r="R99" s="10" t="b">
        <v>0</v>
      </c>
      <c r="S99" s="10" t="b">
        <v>0</v>
      </c>
      <c r="T99" s="55">
        <v>46025.0</v>
      </c>
      <c r="U99" s="9" t="s">
        <v>357</v>
      </c>
      <c r="V99" s="56" t="s">
        <v>358</v>
      </c>
      <c r="W99" s="57" t="b">
        <v>0</v>
      </c>
      <c r="X99" s="9" t="s">
        <v>863</v>
      </c>
      <c r="Y99" s="53"/>
      <c r="Z99" s="58"/>
      <c r="AA99" s="4"/>
      <c r="AB99" s="9" t="s">
        <v>384</v>
      </c>
      <c r="AC99" s="55">
        <v>46114.0</v>
      </c>
      <c r="AD99" s="6" t="s">
        <v>357</v>
      </c>
      <c r="AE99" s="56" t="s">
        <v>358</v>
      </c>
    </row>
    <row r="100">
      <c r="A100" s="5" t="s">
        <v>22</v>
      </c>
      <c r="B100" s="4" t="s">
        <v>864</v>
      </c>
      <c r="C100" s="4" t="s">
        <v>865</v>
      </c>
      <c r="D100" s="6" t="s">
        <v>351</v>
      </c>
      <c r="E100" s="4" t="s">
        <v>866</v>
      </c>
      <c r="F100" s="4" t="s">
        <v>409</v>
      </c>
      <c r="G100" s="4" t="s">
        <v>354</v>
      </c>
      <c r="H100" s="53" t="s">
        <v>355</v>
      </c>
      <c r="I100" s="53" t="s">
        <v>446</v>
      </c>
      <c r="J100" s="12" t="b">
        <v>1</v>
      </c>
      <c r="K100" s="12" t="b">
        <v>1</v>
      </c>
      <c r="L100" s="12" t="b">
        <v>1</v>
      </c>
      <c r="M100" s="12" t="b">
        <v>1</v>
      </c>
      <c r="N100" s="12" t="b">
        <v>1</v>
      </c>
      <c r="O100" s="10" t="b">
        <v>1</v>
      </c>
      <c r="P100" s="10" t="b">
        <v>1</v>
      </c>
      <c r="Q100" s="10" t="b">
        <v>1</v>
      </c>
      <c r="R100" s="10" t="b">
        <v>1</v>
      </c>
      <c r="S100" s="54" t="b">
        <v>1</v>
      </c>
      <c r="T100" s="55">
        <v>46044.0</v>
      </c>
      <c r="U100" s="9" t="s">
        <v>357</v>
      </c>
      <c r="V100" s="56" t="s">
        <v>358</v>
      </c>
      <c r="W100" s="57" t="b">
        <v>0</v>
      </c>
      <c r="X100" s="9" t="s">
        <v>867</v>
      </c>
      <c r="Y100" s="53"/>
      <c r="Z100" s="58"/>
      <c r="AA100" s="4"/>
      <c r="AB100" s="9" t="s">
        <v>852</v>
      </c>
      <c r="AC100" s="55">
        <v>46114.0</v>
      </c>
      <c r="AD100" s="6" t="s">
        <v>784</v>
      </c>
      <c r="AE100" s="56" t="s">
        <v>362</v>
      </c>
    </row>
    <row r="101">
      <c r="A101" s="5" t="s">
        <v>22</v>
      </c>
      <c r="B101" s="4" t="s">
        <v>868</v>
      </c>
      <c r="C101" s="4" t="s">
        <v>869</v>
      </c>
      <c r="D101" s="6" t="s">
        <v>365</v>
      </c>
      <c r="E101" s="4" t="s">
        <v>870</v>
      </c>
      <c r="F101" s="4" t="s">
        <v>871</v>
      </c>
      <c r="G101" s="4" t="s">
        <v>354</v>
      </c>
      <c r="H101" s="53" t="s">
        <v>374</v>
      </c>
      <c r="I101" s="53" t="s">
        <v>446</v>
      </c>
      <c r="J101" s="12" t="b">
        <v>1</v>
      </c>
      <c r="K101" s="12" t="b">
        <v>1</v>
      </c>
      <c r="L101" s="12" t="b">
        <v>1</v>
      </c>
      <c r="M101" s="12" t="b">
        <v>1</v>
      </c>
      <c r="N101" s="12" t="b">
        <v>1</v>
      </c>
      <c r="O101" s="12" t="b">
        <v>1</v>
      </c>
      <c r="P101" s="54" t="b">
        <v>1</v>
      </c>
      <c r="Q101" s="10" t="b">
        <v>0</v>
      </c>
      <c r="R101" s="10" t="b">
        <v>0</v>
      </c>
      <c r="S101" s="10" t="b">
        <v>0</v>
      </c>
      <c r="T101" s="55">
        <v>46025.0</v>
      </c>
      <c r="U101" s="9" t="s">
        <v>357</v>
      </c>
      <c r="V101" s="56" t="s">
        <v>358</v>
      </c>
      <c r="W101" s="57" t="b">
        <v>0</v>
      </c>
      <c r="X101" s="9" t="s">
        <v>872</v>
      </c>
      <c r="Y101" s="53"/>
      <c r="Z101" s="58"/>
      <c r="AA101" s="4"/>
      <c r="AB101" s="9" t="s">
        <v>738</v>
      </c>
      <c r="AC101" s="55">
        <v>46114.0</v>
      </c>
      <c r="AD101" s="6" t="s">
        <v>361</v>
      </c>
      <c r="AE101" s="56" t="s">
        <v>362</v>
      </c>
    </row>
    <row r="102">
      <c r="A102" s="5" t="s">
        <v>22</v>
      </c>
      <c r="B102" s="4" t="s">
        <v>873</v>
      </c>
      <c r="C102" s="4" t="s">
        <v>874</v>
      </c>
      <c r="D102" s="75" t="s">
        <v>365</v>
      </c>
      <c r="E102" s="4" t="s">
        <v>875</v>
      </c>
      <c r="F102" s="4" t="s">
        <v>465</v>
      </c>
      <c r="G102" s="4" t="s">
        <v>354</v>
      </c>
      <c r="H102" s="74" t="s">
        <v>374</v>
      </c>
      <c r="I102" s="74" t="s">
        <v>356</v>
      </c>
      <c r="J102" s="76" t="b">
        <v>1</v>
      </c>
      <c r="K102" s="76" t="b">
        <v>1</v>
      </c>
      <c r="L102" s="76" t="b">
        <v>1</v>
      </c>
      <c r="M102" s="76" t="b">
        <v>1</v>
      </c>
      <c r="N102" s="76" t="b">
        <v>1</v>
      </c>
      <c r="O102" s="76" t="b">
        <v>1</v>
      </c>
      <c r="P102" s="76" t="b">
        <v>1</v>
      </c>
      <c r="Q102" s="10" t="b">
        <v>1</v>
      </c>
      <c r="R102" s="10" t="b">
        <v>1</v>
      </c>
      <c r="S102" s="54" t="b">
        <v>1</v>
      </c>
      <c r="T102" s="55">
        <v>46044.0</v>
      </c>
      <c r="U102" s="9" t="s">
        <v>357</v>
      </c>
      <c r="V102" s="56" t="s">
        <v>358</v>
      </c>
      <c r="W102" s="57" t="b">
        <v>0</v>
      </c>
      <c r="X102" s="56" t="s">
        <v>876</v>
      </c>
      <c r="Y102" s="53"/>
      <c r="Z102" s="58"/>
      <c r="AA102" s="4"/>
      <c r="AB102" s="9" t="s">
        <v>738</v>
      </c>
      <c r="AC102" s="55">
        <v>46114.0</v>
      </c>
      <c r="AD102" s="6" t="s">
        <v>361</v>
      </c>
      <c r="AE102" s="56" t="s">
        <v>362</v>
      </c>
    </row>
    <row r="103">
      <c r="A103" s="5" t="s">
        <v>22</v>
      </c>
      <c r="B103" s="4" t="s">
        <v>877</v>
      </c>
      <c r="C103" s="4" t="s">
        <v>878</v>
      </c>
      <c r="D103" s="6" t="s">
        <v>351</v>
      </c>
      <c r="E103" s="4" t="s">
        <v>879</v>
      </c>
      <c r="F103" s="4" t="s">
        <v>880</v>
      </c>
      <c r="G103" s="4" t="s">
        <v>354</v>
      </c>
      <c r="H103" s="53" t="s">
        <v>355</v>
      </c>
      <c r="I103" s="53" t="s">
        <v>356</v>
      </c>
      <c r="J103" s="12" t="b">
        <v>1</v>
      </c>
      <c r="K103" s="12" t="b">
        <v>1</v>
      </c>
      <c r="L103" s="12" t="b">
        <v>1</v>
      </c>
      <c r="M103" s="10" t="b">
        <v>1</v>
      </c>
      <c r="N103" s="57" t="b">
        <v>1</v>
      </c>
      <c r="O103" s="54" t="b">
        <v>1</v>
      </c>
      <c r="P103" s="12" t="b">
        <v>0</v>
      </c>
      <c r="Q103" s="10" t="b">
        <v>0</v>
      </c>
      <c r="R103" s="10" t="b">
        <v>0</v>
      </c>
      <c r="S103" s="10" t="b">
        <v>0</v>
      </c>
      <c r="T103" s="55">
        <v>46034.0</v>
      </c>
      <c r="U103" s="9" t="s">
        <v>357</v>
      </c>
      <c r="V103" s="56" t="s">
        <v>358</v>
      </c>
      <c r="W103" s="57" t="b">
        <v>0</v>
      </c>
      <c r="X103" s="56" t="s">
        <v>881</v>
      </c>
      <c r="Y103" s="53"/>
      <c r="Z103" s="58"/>
      <c r="AA103" s="9" t="s">
        <v>882</v>
      </c>
      <c r="AB103" s="9" t="s">
        <v>852</v>
      </c>
      <c r="AC103" s="55">
        <v>46114.0</v>
      </c>
      <c r="AD103" s="6" t="s">
        <v>784</v>
      </c>
      <c r="AE103" s="56" t="s">
        <v>362</v>
      </c>
    </row>
    <row r="104">
      <c r="A104" s="5" t="s">
        <v>22</v>
      </c>
      <c r="B104" s="73" t="s">
        <v>747</v>
      </c>
      <c r="C104" s="4" t="s">
        <v>883</v>
      </c>
      <c r="D104" s="6" t="s">
        <v>351</v>
      </c>
      <c r="E104" s="4" t="s">
        <v>884</v>
      </c>
      <c r="F104" s="4" t="s">
        <v>465</v>
      </c>
      <c r="G104" s="4" t="s">
        <v>354</v>
      </c>
      <c r="H104" s="53" t="s">
        <v>368</v>
      </c>
      <c r="I104" s="53" t="s">
        <v>356</v>
      </c>
      <c r="J104" s="12" t="b">
        <v>1</v>
      </c>
      <c r="K104" s="12" t="b">
        <v>1</v>
      </c>
      <c r="L104" s="12" t="b">
        <v>1</v>
      </c>
      <c r="M104" s="57" t="b">
        <v>1</v>
      </c>
      <c r="N104" s="57" t="b">
        <v>1</v>
      </c>
      <c r="O104" s="57" t="b">
        <v>1</v>
      </c>
      <c r="P104" s="57" t="b">
        <v>1</v>
      </c>
      <c r="Q104" s="57" t="b">
        <v>1</v>
      </c>
      <c r="R104" s="57" t="b">
        <v>1</v>
      </c>
      <c r="S104" s="77" t="b">
        <v>1</v>
      </c>
      <c r="T104" s="55">
        <v>46112.0</v>
      </c>
      <c r="U104" s="9" t="s">
        <v>357</v>
      </c>
      <c r="V104" s="56" t="s">
        <v>358</v>
      </c>
      <c r="W104" s="54" t="b">
        <v>1</v>
      </c>
      <c r="X104" s="9" t="s">
        <v>885</v>
      </c>
      <c r="Y104" s="6" t="s">
        <v>357</v>
      </c>
      <c r="Z104" s="56" t="s">
        <v>358</v>
      </c>
      <c r="AA104" s="9" t="s">
        <v>886</v>
      </c>
      <c r="AB104" s="9" t="s">
        <v>738</v>
      </c>
      <c r="AC104" s="55">
        <v>46114.0</v>
      </c>
      <c r="AD104" s="6" t="s">
        <v>361</v>
      </c>
      <c r="AE104" s="56" t="s">
        <v>362</v>
      </c>
    </row>
    <row r="105">
      <c r="A105" s="5" t="s">
        <v>22</v>
      </c>
      <c r="B105" s="68" t="s">
        <v>887</v>
      </c>
      <c r="C105" s="4" t="s">
        <v>888</v>
      </c>
      <c r="D105" s="6" t="s">
        <v>365</v>
      </c>
      <c r="E105" s="4" t="s">
        <v>889</v>
      </c>
      <c r="F105" s="4" t="s">
        <v>801</v>
      </c>
      <c r="G105" s="4" t="s">
        <v>354</v>
      </c>
      <c r="H105" s="53" t="s">
        <v>355</v>
      </c>
      <c r="I105" s="53" t="s">
        <v>356</v>
      </c>
      <c r="J105" s="12" t="b">
        <v>1</v>
      </c>
      <c r="K105" s="12" t="b">
        <v>1</v>
      </c>
      <c r="L105" s="57" t="b">
        <v>1</v>
      </c>
      <c r="M105" s="67" t="b">
        <v>1</v>
      </c>
      <c r="N105" s="71" t="b">
        <v>1</v>
      </c>
      <c r="O105" s="12" t="b">
        <v>0</v>
      </c>
      <c r="P105" s="12" t="b">
        <v>0</v>
      </c>
      <c r="Q105" s="10" t="b">
        <v>0</v>
      </c>
      <c r="R105" s="10" t="b">
        <v>0</v>
      </c>
      <c r="S105" s="10" t="b">
        <v>0</v>
      </c>
      <c r="T105" s="55">
        <v>46032.0</v>
      </c>
      <c r="U105" s="9" t="s">
        <v>890</v>
      </c>
      <c r="V105" s="56" t="s">
        <v>891</v>
      </c>
      <c r="W105" s="57" t="b">
        <v>1</v>
      </c>
      <c r="X105" s="9" t="s">
        <v>892</v>
      </c>
      <c r="Y105" s="6" t="s">
        <v>890</v>
      </c>
      <c r="Z105" s="56" t="s">
        <v>891</v>
      </c>
      <c r="AA105" s="9" t="s">
        <v>893</v>
      </c>
      <c r="AB105" s="4"/>
      <c r="AC105" s="4"/>
      <c r="AD105" s="4"/>
      <c r="AE105" s="4"/>
    </row>
    <row r="106">
      <c r="A106" s="5" t="s">
        <v>22</v>
      </c>
      <c r="B106" s="68" t="s">
        <v>894</v>
      </c>
      <c r="C106" s="4" t="s">
        <v>895</v>
      </c>
      <c r="D106" s="6" t="s">
        <v>351</v>
      </c>
      <c r="E106" s="4" t="s">
        <v>896</v>
      </c>
      <c r="F106" s="4" t="s">
        <v>409</v>
      </c>
      <c r="G106" s="4" t="s">
        <v>354</v>
      </c>
      <c r="H106" s="53" t="s">
        <v>475</v>
      </c>
      <c r="I106" s="53" t="s">
        <v>380</v>
      </c>
      <c r="J106" s="12" t="b">
        <v>1</v>
      </c>
      <c r="K106" s="12" t="b">
        <v>1</v>
      </c>
      <c r="L106" s="10" t="b">
        <v>1</v>
      </c>
      <c r="M106" s="57" t="b">
        <v>1</v>
      </c>
      <c r="N106" s="78" t="b">
        <v>1</v>
      </c>
      <c r="O106" s="12" t="b">
        <v>0</v>
      </c>
      <c r="P106" s="12" t="b">
        <v>0</v>
      </c>
      <c r="Q106" s="10" t="b">
        <v>0</v>
      </c>
      <c r="R106" s="10" t="b">
        <v>0</v>
      </c>
      <c r="S106" s="10" t="b">
        <v>0</v>
      </c>
      <c r="T106" s="55">
        <v>46029.0</v>
      </c>
      <c r="U106" s="9" t="s">
        <v>424</v>
      </c>
      <c r="V106" s="56" t="s">
        <v>358</v>
      </c>
      <c r="W106" s="54" t="b">
        <v>1</v>
      </c>
      <c r="X106" s="9" t="s">
        <v>897</v>
      </c>
      <c r="Y106" s="6" t="s">
        <v>424</v>
      </c>
      <c r="Z106" s="56" t="s">
        <v>358</v>
      </c>
      <c r="AA106" s="9" t="s">
        <v>898</v>
      </c>
      <c r="AB106" s="4"/>
      <c r="AC106" s="4"/>
      <c r="AD106" s="4"/>
      <c r="AE106" s="4"/>
    </row>
    <row r="107">
      <c r="A107" s="5" t="s">
        <v>22</v>
      </c>
      <c r="B107" s="4" t="s">
        <v>899</v>
      </c>
      <c r="C107" s="4" t="s">
        <v>900</v>
      </c>
      <c r="D107" s="6" t="s">
        <v>365</v>
      </c>
      <c r="E107" s="4" t="s">
        <v>901</v>
      </c>
      <c r="F107" s="4" t="s">
        <v>409</v>
      </c>
      <c r="G107" s="4" t="s">
        <v>354</v>
      </c>
      <c r="H107" s="53" t="s">
        <v>355</v>
      </c>
      <c r="I107" s="53" t="s">
        <v>356</v>
      </c>
      <c r="J107" s="12" t="b">
        <v>1</v>
      </c>
      <c r="K107" s="12" t="b">
        <v>1</v>
      </c>
      <c r="L107" s="10" t="b">
        <v>1</v>
      </c>
      <c r="M107" s="54" t="b">
        <v>1</v>
      </c>
      <c r="N107" s="12" t="b">
        <v>0</v>
      </c>
      <c r="O107" s="12" t="b">
        <v>0</v>
      </c>
      <c r="P107" s="12" t="b">
        <v>0</v>
      </c>
      <c r="Q107" s="10" t="b">
        <v>0</v>
      </c>
      <c r="R107" s="10" t="b">
        <v>0</v>
      </c>
      <c r="S107" s="10" t="b">
        <v>0</v>
      </c>
      <c r="T107" s="55">
        <v>46027.0</v>
      </c>
      <c r="U107" s="9" t="s">
        <v>357</v>
      </c>
      <c r="V107" s="56" t="s">
        <v>358</v>
      </c>
      <c r="W107" s="57" t="b">
        <v>0</v>
      </c>
      <c r="X107" s="9" t="s">
        <v>902</v>
      </c>
      <c r="Y107" s="53"/>
      <c r="Z107" s="58"/>
      <c r="AA107" s="4"/>
      <c r="AB107" s="9" t="s">
        <v>738</v>
      </c>
      <c r="AC107" s="55">
        <v>46114.0</v>
      </c>
      <c r="AD107" s="6" t="s">
        <v>361</v>
      </c>
      <c r="AE107" s="56" t="s">
        <v>362</v>
      </c>
    </row>
    <row r="108">
      <c r="A108" s="5" t="s">
        <v>22</v>
      </c>
      <c r="B108" s="4" t="s">
        <v>903</v>
      </c>
      <c r="C108" s="4" t="s">
        <v>904</v>
      </c>
      <c r="D108" s="6" t="s">
        <v>365</v>
      </c>
      <c r="E108" s="4" t="s">
        <v>905</v>
      </c>
      <c r="F108" s="4" t="s">
        <v>906</v>
      </c>
      <c r="G108" s="4" t="s">
        <v>354</v>
      </c>
      <c r="H108" s="53" t="s">
        <v>355</v>
      </c>
      <c r="I108" s="53" t="s">
        <v>356</v>
      </c>
      <c r="J108" s="12" t="b">
        <v>1</v>
      </c>
      <c r="K108" s="12" t="b">
        <v>1</v>
      </c>
      <c r="L108" s="10" t="b">
        <v>1</v>
      </c>
      <c r="M108" s="10" t="b">
        <v>1</v>
      </c>
      <c r="N108" s="54" t="b">
        <v>1</v>
      </c>
      <c r="O108" s="12" t="b">
        <v>0</v>
      </c>
      <c r="P108" s="12" t="b">
        <v>0</v>
      </c>
      <c r="Q108" s="10" t="b">
        <v>0</v>
      </c>
      <c r="R108" s="10" t="b">
        <v>0</v>
      </c>
      <c r="S108" s="10" t="b">
        <v>0</v>
      </c>
      <c r="T108" s="55">
        <v>46027.0</v>
      </c>
      <c r="U108" s="9" t="s">
        <v>357</v>
      </c>
      <c r="V108" s="56" t="s">
        <v>358</v>
      </c>
      <c r="W108" s="57" t="b">
        <v>0</v>
      </c>
      <c r="X108" s="56" t="s">
        <v>907</v>
      </c>
      <c r="Y108" s="53"/>
      <c r="Z108" s="58"/>
      <c r="AA108" s="4"/>
      <c r="AB108" s="9" t="s">
        <v>908</v>
      </c>
      <c r="AC108" s="55">
        <v>46114.0</v>
      </c>
      <c r="AD108" s="6" t="s">
        <v>784</v>
      </c>
      <c r="AE108" s="56" t="s">
        <v>362</v>
      </c>
    </row>
    <row r="109">
      <c r="A109" s="5" t="s">
        <v>22</v>
      </c>
      <c r="B109" s="68" t="s">
        <v>909</v>
      </c>
      <c r="C109" s="4" t="s">
        <v>910</v>
      </c>
      <c r="D109" s="6" t="s">
        <v>351</v>
      </c>
      <c r="E109" s="4" t="s">
        <v>911</v>
      </c>
      <c r="F109" s="4" t="s">
        <v>768</v>
      </c>
      <c r="G109" s="4" t="s">
        <v>354</v>
      </c>
      <c r="H109" s="53" t="s">
        <v>368</v>
      </c>
      <c r="I109" s="53" t="s">
        <v>380</v>
      </c>
      <c r="J109" s="12" t="b">
        <v>1</v>
      </c>
      <c r="K109" s="57" t="b">
        <v>1</v>
      </c>
      <c r="L109" s="67" t="b">
        <v>1</v>
      </c>
      <c r="M109" s="54" t="b">
        <v>1</v>
      </c>
      <c r="N109" s="12" t="b">
        <v>0</v>
      </c>
      <c r="O109" s="12" t="b">
        <v>0</v>
      </c>
      <c r="P109" s="12" t="b">
        <v>0</v>
      </c>
      <c r="Q109" s="10" t="b">
        <v>0</v>
      </c>
      <c r="R109" s="10" t="b">
        <v>0</v>
      </c>
      <c r="S109" s="10" t="b">
        <v>0</v>
      </c>
      <c r="T109" s="55">
        <v>46044.0</v>
      </c>
      <c r="U109" s="9" t="s">
        <v>357</v>
      </c>
      <c r="V109" s="56" t="s">
        <v>358</v>
      </c>
      <c r="W109" s="54" t="b">
        <v>1</v>
      </c>
      <c r="X109" s="9" t="s">
        <v>912</v>
      </c>
      <c r="Y109" s="6" t="s">
        <v>357</v>
      </c>
      <c r="Z109" s="56" t="s">
        <v>358</v>
      </c>
      <c r="AA109" s="9" t="s">
        <v>913</v>
      </c>
      <c r="AB109" s="9" t="s">
        <v>858</v>
      </c>
      <c r="AC109" s="55">
        <v>46114.0</v>
      </c>
      <c r="AD109" s="6" t="s">
        <v>357</v>
      </c>
      <c r="AE109" s="56" t="s">
        <v>358</v>
      </c>
    </row>
    <row r="110">
      <c r="A110" s="5" t="s">
        <v>22</v>
      </c>
      <c r="B110" s="9" t="s">
        <v>914</v>
      </c>
      <c r="C110" s="4" t="s">
        <v>915</v>
      </c>
      <c r="D110" s="6" t="s">
        <v>365</v>
      </c>
      <c r="E110" s="4" t="s">
        <v>916</v>
      </c>
      <c r="F110" s="4" t="s">
        <v>542</v>
      </c>
      <c r="G110" s="4" t="s">
        <v>354</v>
      </c>
      <c r="H110" s="53" t="s">
        <v>355</v>
      </c>
      <c r="I110" s="53" t="s">
        <v>356</v>
      </c>
      <c r="J110" s="12" t="b">
        <v>1</v>
      </c>
      <c r="K110" s="10" t="b">
        <v>1</v>
      </c>
      <c r="L110" s="57" t="b">
        <v>1</v>
      </c>
      <c r="M110" s="54" t="b">
        <v>1</v>
      </c>
      <c r="N110" s="12" t="b">
        <v>0</v>
      </c>
      <c r="O110" s="12" t="b">
        <v>0</v>
      </c>
      <c r="P110" s="12" t="b">
        <v>0</v>
      </c>
      <c r="Q110" s="10" t="b">
        <v>0</v>
      </c>
      <c r="R110" s="10" t="b">
        <v>0</v>
      </c>
      <c r="S110" s="10" t="b">
        <v>0</v>
      </c>
      <c r="T110" s="55">
        <v>46034.0</v>
      </c>
      <c r="U110" s="9" t="s">
        <v>357</v>
      </c>
      <c r="V110" s="56" t="s">
        <v>358</v>
      </c>
      <c r="W110" s="57" t="b">
        <v>0</v>
      </c>
      <c r="X110" s="9" t="s">
        <v>917</v>
      </c>
      <c r="Y110" s="6" t="s">
        <v>684</v>
      </c>
      <c r="Z110" s="56" t="s">
        <v>358</v>
      </c>
      <c r="AA110" s="9" t="s">
        <v>918</v>
      </c>
      <c r="AB110" s="65" t="s">
        <v>919</v>
      </c>
      <c r="AC110" s="55">
        <v>46114.0</v>
      </c>
      <c r="AD110" s="6" t="s">
        <v>404</v>
      </c>
      <c r="AE110" s="56" t="s">
        <v>405</v>
      </c>
    </row>
    <row r="111">
      <c r="A111" s="5" t="s">
        <v>22</v>
      </c>
      <c r="B111" s="4" t="s">
        <v>920</v>
      </c>
      <c r="C111" s="4" t="s">
        <v>921</v>
      </c>
      <c r="D111" s="6" t="s">
        <v>365</v>
      </c>
      <c r="E111" s="4" t="s">
        <v>922</v>
      </c>
      <c r="F111" s="4" t="s">
        <v>414</v>
      </c>
      <c r="G111" s="4" t="s">
        <v>354</v>
      </c>
      <c r="H111" s="53" t="s">
        <v>475</v>
      </c>
      <c r="I111" s="53" t="s">
        <v>356</v>
      </c>
      <c r="J111" s="12" t="b">
        <v>1</v>
      </c>
      <c r="K111" s="12" t="b">
        <v>1</v>
      </c>
      <c r="L111" s="54" t="b">
        <v>1</v>
      </c>
      <c r="M111" s="12" t="b">
        <v>0</v>
      </c>
      <c r="N111" s="12" t="b">
        <v>0</v>
      </c>
      <c r="O111" s="12" t="b">
        <v>0</v>
      </c>
      <c r="P111" s="12" t="b">
        <v>0</v>
      </c>
      <c r="Q111" s="10" t="b">
        <v>0</v>
      </c>
      <c r="R111" s="10" t="b">
        <v>0</v>
      </c>
      <c r="S111" s="10" t="b">
        <v>0</v>
      </c>
      <c r="T111" s="55">
        <v>46025.0</v>
      </c>
      <c r="U111" s="9" t="s">
        <v>375</v>
      </c>
      <c r="V111" s="56" t="s">
        <v>358</v>
      </c>
      <c r="W111" s="57" t="b">
        <v>0</v>
      </c>
      <c r="X111" s="9" t="s">
        <v>376</v>
      </c>
      <c r="Y111" s="53"/>
      <c r="Z111" s="58"/>
      <c r="AA111" s="4"/>
      <c r="AB111" s="4"/>
      <c r="AC111" s="4"/>
      <c r="AD111" s="4"/>
      <c r="AE111" s="4"/>
    </row>
    <row r="112">
      <c r="A112" s="5" t="s">
        <v>22</v>
      </c>
      <c r="B112" s="4" t="s">
        <v>923</v>
      </c>
      <c r="C112" s="4" t="s">
        <v>924</v>
      </c>
      <c r="D112" s="6" t="s">
        <v>365</v>
      </c>
      <c r="E112" s="4" t="s">
        <v>925</v>
      </c>
      <c r="F112" s="4" t="s">
        <v>926</v>
      </c>
      <c r="G112" s="4" t="s">
        <v>354</v>
      </c>
      <c r="H112" s="53" t="s">
        <v>400</v>
      </c>
      <c r="I112" s="53" t="s">
        <v>356</v>
      </c>
      <c r="J112" s="12" t="b">
        <v>1</v>
      </c>
      <c r="K112" s="12" t="b">
        <v>1</v>
      </c>
      <c r="L112" s="12" t="b">
        <v>1</v>
      </c>
      <c r="M112" s="10" t="b">
        <v>1</v>
      </c>
      <c r="N112" s="10" t="b">
        <v>1</v>
      </c>
      <c r="O112" s="54" t="b">
        <v>1</v>
      </c>
      <c r="P112" s="12" t="b">
        <v>0</v>
      </c>
      <c r="Q112" s="10" t="b">
        <v>0</v>
      </c>
      <c r="R112" s="10" t="b">
        <v>0</v>
      </c>
      <c r="S112" s="10" t="b">
        <v>0</v>
      </c>
      <c r="T112" s="55">
        <v>46029.0</v>
      </c>
      <c r="U112" s="9" t="s">
        <v>357</v>
      </c>
      <c r="V112" s="56" t="s">
        <v>358</v>
      </c>
      <c r="W112" s="57" t="b">
        <v>0</v>
      </c>
      <c r="X112" s="56" t="s">
        <v>672</v>
      </c>
      <c r="Y112" s="53"/>
      <c r="Z112" s="58"/>
      <c r="AA112" s="4"/>
      <c r="AB112" s="9" t="s">
        <v>440</v>
      </c>
      <c r="AC112" s="55">
        <v>46114.0</v>
      </c>
      <c r="AD112" s="6" t="s">
        <v>441</v>
      </c>
      <c r="AE112" s="56" t="s">
        <v>362</v>
      </c>
    </row>
    <row r="113">
      <c r="A113" s="5" t="s">
        <v>22</v>
      </c>
      <c r="B113" s="4" t="s">
        <v>923</v>
      </c>
      <c r="C113" s="4" t="s">
        <v>924</v>
      </c>
      <c r="D113" s="6" t="s">
        <v>365</v>
      </c>
      <c r="E113" s="4" t="s">
        <v>925</v>
      </c>
      <c r="F113" s="4" t="s">
        <v>926</v>
      </c>
      <c r="G113" s="4" t="s">
        <v>354</v>
      </c>
      <c r="H113" s="53" t="s">
        <v>400</v>
      </c>
      <c r="I113" s="53" t="s">
        <v>356</v>
      </c>
      <c r="J113" s="12" t="b">
        <v>1</v>
      </c>
      <c r="K113" s="12" t="b">
        <v>1</v>
      </c>
      <c r="L113" s="12" t="b">
        <v>1</v>
      </c>
      <c r="M113" s="10" t="b">
        <v>1</v>
      </c>
      <c r="N113" s="10" t="b">
        <v>1</v>
      </c>
      <c r="O113" s="54" t="b">
        <v>1</v>
      </c>
      <c r="P113" s="12" t="b">
        <v>0</v>
      </c>
      <c r="Q113" s="10" t="b">
        <v>0</v>
      </c>
      <c r="R113" s="10" t="b">
        <v>0</v>
      </c>
      <c r="S113" s="10" t="b">
        <v>0</v>
      </c>
      <c r="T113" s="55">
        <v>46029.0</v>
      </c>
      <c r="U113" s="9" t="s">
        <v>357</v>
      </c>
      <c r="V113" s="56" t="s">
        <v>358</v>
      </c>
      <c r="W113" s="57" t="b">
        <v>0</v>
      </c>
      <c r="X113" s="56" t="s">
        <v>672</v>
      </c>
      <c r="Y113" s="53"/>
      <c r="Z113" s="58"/>
      <c r="AA113" s="4"/>
      <c r="AB113" s="9" t="s">
        <v>927</v>
      </c>
      <c r="AC113" s="55">
        <v>46114.0</v>
      </c>
      <c r="AD113" s="6" t="s">
        <v>357</v>
      </c>
      <c r="AE113" s="56" t="s">
        <v>358</v>
      </c>
    </row>
    <row r="114">
      <c r="A114" s="5" t="s">
        <v>22</v>
      </c>
      <c r="B114" s="68" t="s">
        <v>928</v>
      </c>
      <c r="C114" s="4" t="s">
        <v>929</v>
      </c>
      <c r="D114" s="6" t="s">
        <v>351</v>
      </c>
      <c r="E114" s="4" t="s">
        <v>930</v>
      </c>
      <c r="F114" s="4" t="s">
        <v>931</v>
      </c>
      <c r="G114" s="4" t="s">
        <v>354</v>
      </c>
      <c r="H114" s="53" t="s">
        <v>355</v>
      </c>
      <c r="I114" s="53" t="s">
        <v>356</v>
      </c>
      <c r="J114" s="12" t="b">
        <v>1</v>
      </c>
      <c r="K114" s="12" t="b">
        <v>1</v>
      </c>
      <c r="L114" s="12" t="b">
        <v>1</v>
      </c>
      <c r="M114" s="57" t="b">
        <v>1</v>
      </c>
      <c r="N114" s="57" t="b">
        <v>1</v>
      </c>
      <c r="O114" s="54" t="b">
        <v>1</v>
      </c>
      <c r="P114" s="12" t="b">
        <v>0</v>
      </c>
      <c r="Q114" s="10" t="b">
        <v>0</v>
      </c>
      <c r="R114" s="10" t="b">
        <v>0</v>
      </c>
      <c r="S114" s="10" t="b">
        <v>0</v>
      </c>
      <c r="T114" s="55">
        <v>46045.0</v>
      </c>
      <c r="U114" s="9" t="s">
        <v>357</v>
      </c>
      <c r="V114" s="56" t="s">
        <v>358</v>
      </c>
      <c r="W114" s="54" t="b">
        <v>1</v>
      </c>
      <c r="X114" s="9" t="s">
        <v>932</v>
      </c>
      <c r="Y114" s="6" t="s">
        <v>357</v>
      </c>
      <c r="Z114" s="56" t="s">
        <v>358</v>
      </c>
      <c r="AA114" s="9" t="s">
        <v>933</v>
      </c>
      <c r="AB114" s="9" t="s">
        <v>738</v>
      </c>
      <c r="AC114" s="55">
        <v>46114.0</v>
      </c>
      <c r="AD114" s="6" t="s">
        <v>361</v>
      </c>
      <c r="AE114" s="56" t="s">
        <v>362</v>
      </c>
    </row>
    <row r="115">
      <c r="A115" s="5" t="s">
        <v>22</v>
      </c>
      <c r="B115" s="4" t="s">
        <v>934</v>
      </c>
      <c r="C115" s="4" t="s">
        <v>935</v>
      </c>
      <c r="D115" s="6" t="s">
        <v>365</v>
      </c>
      <c r="E115" s="4" t="s">
        <v>936</v>
      </c>
      <c r="F115" s="4" t="s">
        <v>409</v>
      </c>
      <c r="G115" s="4" t="s">
        <v>354</v>
      </c>
      <c r="H115" s="53" t="s">
        <v>374</v>
      </c>
      <c r="I115" s="53" t="s">
        <v>356</v>
      </c>
      <c r="J115" s="12" t="b">
        <v>1</v>
      </c>
      <c r="K115" s="10" t="b">
        <v>1</v>
      </c>
      <c r="L115" s="10" t="b">
        <v>1</v>
      </c>
      <c r="M115" s="10" t="b">
        <v>1</v>
      </c>
      <c r="N115" s="54" t="b">
        <v>1</v>
      </c>
      <c r="O115" s="12" t="b">
        <v>0</v>
      </c>
      <c r="P115" s="12" t="b">
        <v>0</v>
      </c>
      <c r="Q115" s="10" t="b">
        <v>0</v>
      </c>
      <c r="R115" s="10" t="b">
        <v>0</v>
      </c>
      <c r="S115" s="10" t="b">
        <v>0</v>
      </c>
      <c r="T115" s="55">
        <v>46029.0</v>
      </c>
      <c r="U115" s="9" t="s">
        <v>375</v>
      </c>
      <c r="V115" s="56" t="s">
        <v>358</v>
      </c>
      <c r="W115" s="57" t="b">
        <v>0</v>
      </c>
      <c r="X115" s="56" t="s">
        <v>937</v>
      </c>
      <c r="Y115" s="53"/>
      <c r="Z115" s="58"/>
      <c r="AA115" s="4"/>
      <c r="AB115" s="4"/>
      <c r="AC115" s="4"/>
      <c r="AD115" s="4"/>
      <c r="AE115" s="4"/>
    </row>
    <row r="116">
      <c r="A116" s="5" t="s">
        <v>22</v>
      </c>
      <c r="B116" s="4" t="s">
        <v>938</v>
      </c>
      <c r="C116" s="4" t="s">
        <v>939</v>
      </c>
      <c r="D116" s="6" t="s">
        <v>365</v>
      </c>
      <c r="E116" s="4" t="s">
        <v>940</v>
      </c>
      <c r="F116" s="4" t="s">
        <v>941</v>
      </c>
      <c r="G116" s="4" t="s">
        <v>354</v>
      </c>
      <c r="H116" s="53" t="s">
        <v>355</v>
      </c>
      <c r="I116" s="53" t="s">
        <v>380</v>
      </c>
      <c r="J116" s="12" t="b">
        <v>1</v>
      </c>
      <c r="K116" s="57" t="b">
        <v>1</v>
      </c>
      <c r="L116" s="54" t="b">
        <v>1</v>
      </c>
      <c r="M116" s="12" t="b">
        <v>0</v>
      </c>
      <c r="N116" s="12" t="b">
        <v>0</v>
      </c>
      <c r="O116" s="12" t="b">
        <v>0</v>
      </c>
      <c r="P116" s="12" t="b">
        <v>0</v>
      </c>
      <c r="Q116" s="10" t="b">
        <v>0</v>
      </c>
      <c r="R116" s="10" t="b">
        <v>0</v>
      </c>
      <c r="S116" s="10" t="b">
        <v>0</v>
      </c>
      <c r="T116" s="55">
        <v>46044.0</v>
      </c>
      <c r="U116" s="9" t="s">
        <v>357</v>
      </c>
      <c r="V116" s="56" t="s">
        <v>358</v>
      </c>
      <c r="W116" s="57" t="b">
        <v>0</v>
      </c>
      <c r="X116" s="9" t="s">
        <v>942</v>
      </c>
      <c r="Y116" s="6" t="s">
        <v>357</v>
      </c>
      <c r="Z116" s="56" t="s">
        <v>358</v>
      </c>
      <c r="AA116" s="9" t="s">
        <v>943</v>
      </c>
      <c r="AB116" s="9" t="s">
        <v>908</v>
      </c>
      <c r="AC116" s="55">
        <v>46114.0</v>
      </c>
      <c r="AD116" s="6" t="s">
        <v>784</v>
      </c>
      <c r="AE116" s="56" t="s">
        <v>362</v>
      </c>
    </row>
    <row r="117">
      <c r="A117" s="5" t="s">
        <v>22</v>
      </c>
      <c r="B117" s="68" t="s">
        <v>944</v>
      </c>
      <c r="C117" s="4" t="s">
        <v>945</v>
      </c>
      <c r="D117" s="6" t="s">
        <v>351</v>
      </c>
      <c r="E117" s="4" t="s">
        <v>946</v>
      </c>
      <c r="F117" s="4" t="s">
        <v>947</v>
      </c>
      <c r="G117" s="4" t="s">
        <v>716</v>
      </c>
      <c r="H117" s="53" t="s">
        <v>355</v>
      </c>
      <c r="I117" s="53" t="s">
        <v>356</v>
      </c>
      <c r="J117" s="12" t="b">
        <v>1</v>
      </c>
      <c r="K117" s="12" t="b">
        <v>1</v>
      </c>
      <c r="L117" s="12" t="b">
        <v>1</v>
      </c>
      <c r="M117" s="57" t="b">
        <v>1</v>
      </c>
      <c r="N117" s="57" t="b">
        <v>1</v>
      </c>
      <c r="O117" s="57" t="b">
        <v>1</v>
      </c>
      <c r="P117" s="54" t="b">
        <v>1</v>
      </c>
      <c r="Q117" s="10" t="b">
        <v>0</v>
      </c>
      <c r="R117" s="10" t="b">
        <v>0</v>
      </c>
      <c r="S117" s="10" t="b">
        <v>0</v>
      </c>
      <c r="T117" s="55">
        <v>46045.0</v>
      </c>
      <c r="U117" s="9" t="s">
        <v>357</v>
      </c>
      <c r="V117" s="56" t="s">
        <v>358</v>
      </c>
      <c r="W117" s="54" t="b">
        <v>1</v>
      </c>
      <c r="X117" s="9" t="s">
        <v>948</v>
      </c>
      <c r="Y117" s="6" t="s">
        <v>382</v>
      </c>
      <c r="Z117" s="56" t="s">
        <v>358</v>
      </c>
      <c r="AA117" s="9" t="s">
        <v>949</v>
      </c>
      <c r="AB117" s="65" t="s">
        <v>950</v>
      </c>
      <c r="AC117" s="55">
        <v>46114.0</v>
      </c>
      <c r="AD117" s="6" t="s">
        <v>431</v>
      </c>
      <c r="AE117" s="56" t="s">
        <v>588</v>
      </c>
    </row>
    <row r="118">
      <c r="A118" s="5" t="s">
        <v>22</v>
      </c>
      <c r="B118" s="4" t="s">
        <v>951</v>
      </c>
      <c r="C118" s="4" t="s">
        <v>952</v>
      </c>
      <c r="D118" s="6" t="s">
        <v>365</v>
      </c>
      <c r="E118" s="4" t="s">
        <v>953</v>
      </c>
      <c r="F118" s="4" t="s">
        <v>704</v>
      </c>
      <c r="G118" s="4" t="s">
        <v>354</v>
      </c>
      <c r="H118" s="53" t="s">
        <v>368</v>
      </c>
      <c r="I118" s="53" t="s">
        <v>380</v>
      </c>
      <c r="J118" s="12" t="b">
        <v>1</v>
      </c>
      <c r="K118" s="10" t="b">
        <v>1</v>
      </c>
      <c r="L118" s="10" t="b">
        <v>1</v>
      </c>
      <c r="M118" s="10" t="b">
        <v>1</v>
      </c>
      <c r="N118" s="54" t="b">
        <v>1</v>
      </c>
      <c r="O118" s="12" t="b">
        <v>0</v>
      </c>
      <c r="P118" s="12" t="b">
        <v>0</v>
      </c>
      <c r="Q118" s="10" t="b">
        <v>0</v>
      </c>
      <c r="R118" s="10" t="b">
        <v>0</v>
      </c>
      <c r="S118" s="10" t="b">
        <v>0</v>
      </c>
      <c r="T118" s="55">
        <v>46034.0</v>
      </c>
      <c r="U118" s="9" t="s">
        <v>357</v>
      </c>
      <c r="V118" s="56" t="s">
        <v>358</v>
      </c>
      <c r="W118" s="57" t="b">
        <v>0</v>
      </c>
      <c r="X118" s="9" t="s">
        <v>954</v>
      </c>
      <c r="Y118" s="53"/>
      <c r="Z118" s="58"/>
      <c r="AA118" s="4"/>
      <c r="AB118" s="9" t="s">
        <v>738</v>
      </c>
      <c r="AC118" s="55">
        <v>46114.0</v>
      </c>
      <c r="AD118" s="6" t="s">
        <v>361</v>
      </c>
      <c r="AE118" s="56" t="s">
        <v>362</v>
      </c>
    </row>
    <row r="119">
      <c r="A119" s="5" t="s">
        <v>22</v>
      </c>
      <c r="B119" s="4" t="s">
        <v>955</v>
      </c>
      <c r="C119" s="4" t="s">
        <v>956</v>
      </c>
      <c r="D119" s="6" t="s">
        <v>365</v>
      </c>
      <c r="E119" s="4" t="s">
        <v>957</v>
      </c>
      <c r="F119" s="4" t="s">
        <v>409</v>
      </c>
      <c r="G119" s="4" t="s">
        <v>354</v>
      </c>
      <c r="H119" s="53" t="s">
        <v>368</v>
      </c>
      <c r="I119" s="53" t="s">
        <v>356</v>
      </c>
      <c r="J119" s="10" t="b">
        <v>1</v>
      </c>
      <c r="K119" s="12" t="b">
        <v>1</v>
      </c>
      <c r="L119" s="12" t="b">
        <v>1</v>
      </c>
      <c r="M119" s="12" t="b">
        <v>1</v>
      </c>
      <c r="N119" s="57" t="b">
        <v>1</v>
      </c>
      <c r="O119" s="54" t="b">
        <v>1</v>
      </c>
      <c r="P119" s="12" t="b">
        <v>0</v>
      </c>
      <c r="Q119" s="10" t="b">
        <v>0</v>
      </c>
      <c r="R119" s="10" t="b">
        <v>0</v>
      </c>
      <c r="S119" s="10" t="b">
        <v>0</v>
      </c>
      <c r="T119" s="55">
        <v>46034.0</v>
      </c>
      <c r="U119" s="9" t="s">
        <v>357</v>
      </c>
      <c r="V119" s="56" t="s">
        <v>358</v>
      </c>
      <c r="W119" s="57" t="b">
        <v>0</v>
      </c>
      <c r="X119" s="56" t="s">
        <v>958</v>
      </c>
      <c r="Y119" s="6" t="s">
        <v>361</v>
      </c>
      <c r="Z119" s="56" t="s">
        <v>362</v>
      </c>
      <c r="AA119" s="9" t="s">
        <v>959</v>
      </c>
      <c r="AB119" s="9" t="s">
        <v>384</v>
      </c>
      <c r="AC119" s="55">
        <v>46114.0</v>
      </c>
      <c r="AD119" s="6" t="s">
        <v>357</v>
      </c>
      <c r="AE119" s="56" t="s">
        <v>358</v>
      </c>
    </row>
    <row r="120">
      <c r="A120" s="5" t="s">
        <v>22</v>
      </c>
      <c r="B120" s="4" t="s">
        <v>960</v>
      </c>
      <c r="C120" s="4" t="s">
        <v>961</v>
      </c>
      <c r="D120" s="6" t="s">
        <v>351</v>
      </c>
      <c r="E120" s="4" t="s">
        <v>962</v>
      </c>
      <c r="F120" s="4" t="s">
        <v>768</v>
      </c>
      <c r="G120" s="4" t="s">
        <v>354</v>
      </c>
      <c r="H120" s="53" t="s">
        <v>374</v>
      </c>
      <c r="I120" s="53" t="s">
        <v>356</v>
      </c>
      <c r="J120" s="12" t="b">
        <v>1</v>
      </c>
      <c r="K120" s="57" t="b">
        <v>1</v>
      </c>
      <c r="L120" s="57" t="b">
        <v>1</v>
      </c>
      <c r="M120" s="57" t="b">
        <v>1</v>
      </c>
      <c r="N120" s="54" t="b">
        <v>1</v>
      </c>
      <c r="O120" s="67" t="b">
        <v>1</v>
      </c>
      <c r="P120" s="67" t="b">
        <v>1</v>
      </c>
      <c r="Q120" s="67" t="b">
        <v>1</v>
      </c>
      <c r="R120" s="71" t="b">
        <v>1</v>
      </c>
      <c r="S120" s="54" t="b">
        <v>1</v>
      </c>
      <c r="T120" s="55">
        <v>46104.0</v>
      </c>
      <c r="U120" s="9" t="s">
        <v>357</v>
      </c>
      <c r="V120" s="56" t="s">
        <v>358</v>
      </c>
      <c r="W120" s="54" t="b">
        <v>1</v>
      </c>
      <c r="X120" s="9" t="s">
        <v>963</v>
      </c>
      <c r="Y120" s="6" t="s">
        <v>684</v>
      </c>
      <c r="Z120" s="56" t="s">
        <v>358</v>
      </c>
      <c r="AA120" s="9" t="s">
        <v>964</v>
      </c>
      <c r="AB120" s="9" t="s">
        <v>738</v>
      </c>
      <c r="AC120" s="55">
        <v>46114.0</v>
      </c>
      <c r="AD120" s="6" t="s">
        <v>361</v>
      </c>
      <c r="AE120" s="56" t="s">
        <v>362</v>
      </c>
    </row>
    <row r="121">
      <c r="A121" s="5" t="s">
        <v>22</v>
      </c>
      <c r="B121" s="4" t="s">
        <v>965</v>
      </c>
      <c r="C121" s="4" t="s">
        <v>966</v>
      </c>
      <c r="D121" s="6" t="s">
        <v>365</v>
      </c>
      <c r="E121" s="4" t="s">
        <v>967</v>
      </c>
      <c r="F121" s="4" t="s">
        <v>409</v>
      </c>
      <c r="G121" s="4" t="s">
        <v>354</v>
      </c>
      <c r="H121" s="53" t="s">
        <v>368</v>
      </c>
      <c r="I121" s="53" t="s">
        <v>380</v>
      </c>
      <c r="J121" s="12" t="b">
        <v>1</v>
      </c>
      <c r="K121" s="12" t="b">
        <v>1</v>
      </c>
      <c r="L121" s="10" t="b">
        <v>1</v>
      </c>
      <c r="M121" s="10" t="b">
        <v>1</v>
      </c>
      <c r="N121" s="57" t="b">
        <v>1</v>
      </c>
      <c r="O121" s="57" t="b">
        <v>1</v>
      </c>
      <c r="P121" s="57" t="b">
        <v>1</v>
      </c>
      <c r="Q121" s="54" t="b">
        <v>1</v>
      </c>
      <c r="R121" s="10" t="b">
        <v>0</v>
      </c>
      <c r="S121" s="10" t="b">
        <v>0</v>
      </c>
      <c r="T121" s="55">
        <v>46046.0</v>
      </c>
      <c r="U121" s="9" t="s">
        <v>357</v>
      </c>
      <c r="V121" s="56" t="s">
        <v>358</v>
      </c>
      <c r="W121" s="54" t="b">
        <v>1</v>
      </c>
      <c r="X121" s="56" t="s">
        <v>968</v>
      </c>
      <c r="Y121" s="6" t="s">
        <v>382</v>
      </c>
      <c r="Z121" s="56" t="s">
        <v>358</v>
      </c>
      <c r="AA121" s="9" t="s">
        <v>969</v>
      </c>
      <c r="AB121" s="9" t="s">
        <v>738</v>
      </c>
      <c r="AC121" s="55">
        <v>46114.0</v>
      </c>
      <c r="AD121" s="6" t="s">
        <v>361</v>
      </c>
      <c r="AE121" s="56" t="s">
        <v>362</v>
      </c>
    </row>
    <row r="122">
      <c r="A122" s="5" t="s">
        <v>22</v>
      </c>
      <c r="B122" s="4" t="s">
        <v>970</v>
      </c>
      <c r="C122" s="4" t="s">
        <v>971</v>
      </c>
      <c r="D122" s="6" t="s">
        <v>351</v>
      </c>
      <c r="E122" s="4" t="s">
        <v>972</v>
      </c>
      <c r="F122" s="4" t="s">
        <v>973</v>
      </c>
      <c r="G122" s="4" t="s">
        <v>354</v>
      </c>
      <c r="H122" s="53" t="s">
        <v>355</v>
      </c>
      <c r="I122" s="53" t="s">
        <v>380</v>
      </c>
      <c r="J122" s="12" t="b">
        <v>1</v>
      </c>
      <c r="K122" s="10" t="b">
        <v>1</v>
      </c>
      <c r="L122" s="10" t="b">
        <v>1</v>
      </c>
      <c r="M122" s="54" t="b">
        <v>1</v>
      </c>
      <c r="N122" s="12" t="b">
        <v>0</v>
      </c>
      <c r="O122" s="12" t="b">
        <v>0</v>
      </c>
      <c r="P122" s="12" t="b">
        <v>0</v>
      </c>
      <c r="Q122" s="10" t="b">
        <v>0</v>
      </c>
      <c r="R122" s="10" t="b">
        <v>0</v>
      </c>
      <c r="S122" s="10" t="b">
        <v>0</v>
      </c>
      <c r="T122" s="55">
        <v>46027.0</v>
      </c>
      <c r="U122" s="9" t="s">
        <v>357</v>
      </c>
      <c r="V122" s="56" t="s">
        <v>358</v>
      </c>
      <c r="W122" s="57" t="b">
        <v>0</v>
      </c>
      <c r="X122" s="9" t="s">
        <v>974</v>
      </c>
      <c r="Y122" s="53"/>
      <c r="Z122" s="4"/>
      <c r="AA122" s="4"/>
      <c r="AC122" s="55"/>
      <c r="AD122" s="6"/>
      <c r="AE122" s="58"/>
    </row>
    <row r="123">
      <c r="A123" s="5" t="s">
        <v>22</v>
      </c>
      <c r="B123" s="79" t="s">
        <v>975</v>
      </c>
      <c r="C123" s="4" t="s">
        <v>976</v>
      </c>
      <c r="D123" s="6" t="s">
        <v>351</v>
      </c>
      <c r="E123" s="4" t="s">
        <v>977</v>
      </c>
      <c r="F123" s="4" t="s">
        <v>978</v>
      </c>
      <c r="G123" s="4" t="s">
        <v>354</v>
      </c>
      <c r="H123" s="53" t="s">
        <v>400</v>
      </c>
      <c r="I123" s="53" t="s">
        <v>380</v>
      </c>
      <c r="J123" s="12" t="b">
        <v>1</v>
      </c>
      <c r="K123" s="10" t="b">
        <v>1</v>
      </c>
      <c r="L123" s="57" t="b">
        <v>1</v>
      </c>
      <c r="M123" s="57" t="b">
        <v>1</v>
      </c>
      <c r="N123" s="57" t="b">
        <v>1</v>
      </c>
      <c r="O123" s="54" t="b">
        <v>1</v>
      </c>
      <c r="P123" s="10" t="b">
        <v>0</v>
      </c>
      <c r="Q123" s="10" t="b">
        <v>0</v>
      </c>
      <c r="R123" s="10" t="b">
        <v>0</v>
      </c>
      <c r="S123" s="10" t="b">
        <v>0</v>
      </c>
      <c r="T123" s="55">
        <v>46046.0</v>
      </c>
      <c r="U123" s="9" t="s">
        <v>357</v>
      </c>
      <c r="V123" s="56" t="s">
        <v>358</v>
      </c>
      <c r="W123" s="54" t="b">
        <v>1</v>
      </c>
      <c r="X123" s="56" t="s">
        <v>979</v>
      </c>
      <c r="Y123" s="6" t="s">
        <v>382</v>
      </c>
      <c r="Z123" s="56" t="s">
        <v>358</v>
      </c>
      <c r="AA123" s="9" t="s">
        <v>980</v>
      </c>
      <c r="AB123" s="4"/>
      <c r="AC123" s="55"/>
      <c r="AD123" s="6"/>
      <c r="AE123" s="58"/>
    </row>
    <row r="124">
      <c r="A124" s="5" t="s">
        <v>22</v>
      </c>
      <c r="B124" s="68" t="s">
        <v>981</v>
      </c>
      <c r="C124" s="4" t="s">
        <v>982</v>
      </c>
      <c r="D124" s="6" t="s">
        <v>365</v>
      </c>
      <c r="E124" s="4" t="s">
        <v>983</v>
      </c>
      <c r="F124" s="4" t="s">
        <v>984</v>
      </c>
      <c r="G124" s="4" t="s">
        <v>354</v>
      </c>
      <c r="H124" s="53" t="s">
        <v>355</v>
      </c>
      <c r="I124" s="53" t="s">
        <v>380</v>
      </c>
      <c r="J124" s="12" t="b">
        <v>1</v>
      </c>
      <c r="K124" s="12" t="b">
        <v>1</v>
      </c>
      <c r="L124" s="12" t="b">
        <v>1</v>
      </c>
      <c r="M124" s="12" t="b">
        <v>1</v>
      </c>
      <c r="N124" s="57" t="b">
        <v>1</v>
      </c>
      <c r="O124" s="57" t="b">
        <v>1</v>
      </c>
      <c r="P124" s="57" t="b">
        <v>1</v>
      </c>
      <c r="Q124" s="57" t="b">
        <v>1</v>
      </c>
      <c r="R124" s="54" t="b">
        <v>1</v>
      </c>
      <c r="S124" s="10" t="b">
        <v>0</v>
      </c>
      <c r="T124" s="55">
        <v>46046.0</v>
      </c>
      <c r="U124" s="9" t="s">
        <v>357</v>
      </c>
      <c r="V124" s="56" t="s">
        <v>358</v>
      </c>
      <c r="W124" s="54" t="b">
        <v>1</v>
      </c>
      <c r="X124" s="9" t="s">
        <v>985</v>
      </c>
      <c r="Y124" s="6" t="s">
        <v>382</v>
      </c>
      <c r="Z124" s="56" t="s">
        <v>358</v>
      </c>
      <c r="AA124" s="9" t="s">
        <v>986</v>
      </c>
      <c r="AB124" s="4"/>
      <c r="AC124" s="55"/>
      <c r="AD124" s="6"/>
      <c r="AE124" s="58"/>
    </row>
    <row r="125">
      <c r="A125" s="5" t="s">
        <v>22</v>
      </c>
      <c r="B125" s="68" t="s">
        <v>987</v>
      </c>
      <c r="C125" s="4" t="s">
        <v>988</v>
      </c>
      <c r="D125" s="6" t="s">
        <v>365</v>
      </c>
      <c r="E125" s="4" t="s">
        <v>989</v>
      </c>
      <c r="F125" s="4" t="s">
        <v>990</v>
      </c>
      <c r="G125" s="4" t="s">
        <v>354</v>
      </c>
      <c r="H125" s="53" t="s">
        <v>475</v>
      </c>
      <c r="I125" s="53" t="s">
        <v>356</v>
      </c>
      <c r="J125" s="12" t="b">
        <v>1</v>
      </c>
      <c r="K125" s="57" t="b">
        <v>1</v>
      </c>
      <c r="L125" s="57" t="b">
        <v>1</v>
      </c>
      <c r="M125" s="54" t="b">
        <v>1</v>
      </c>
      <c r="N125" s="12" t="b">
        <v>0</v>
      </c>
      <c r="O125" s="12" t="b">
        <v>0</v>
      </c>
      <c r="P125" s="12" t="b">
        <v>0</v>
      </c>
      <c r="Q125" s="10" t="b">
        <v>0</v>
      </c>
      <c r="R125" s="10" t="b">
        <v>0</v>
      </c>
      <c r="S125" s="10" t="b">
        <v>0</v>
      </c>
      <c r="T125" s="55">
        <v>46034.0</v>
      </c>
      <c r="U125" s="9" t="s">
        <v>357</v>
      </c>
      <c r="V125" s="56" t="s">
        <v>358</v>
      </c>
      <c r="W125" s="54" t="b">
        <v>1</v>
      </c>
      <c r="X125" s="9" t="s">
        <v>991</v>
      </c>
      <c r="Y125" s="6" t="s">
        <v>684</v>
      </c>
      <c r="Z125" s="56" t="s">
        <v>358</v>
      </c>
      <c r="AA125" s="9" t="s">
        <v>992</v>
      </c>
      <c r="AB125" s="4"/>
      <c r="AC125" s="55"/>
      <c r="AD125" s="6"/>
      <c r="AE125" s="58"/>
    </row>
    <row r="126">
      <c r="A126" s="5" t="s">
        <v>22</v>
      </c>
      <c r="B126" s="68" t="s">
        <v>993</v>
      </c>
      <c r="C126" s="4" t="s">
        <v>994</v>
      </c>
      <c r="D126" s="6" t="s">
        <v>365</v>
      </c>
      <c r="E126" s="4" t="s">
        <v>995</v>
      </c>
      <c r="F126" s="4" t="s">
        <v>996</v>
      </c>
      <c r="G126" s="4" t="s">
        <v>716</v>
      </c>
      <c r="H126" s="53" t="s">
        <v>475</v>
      </c>
      <c r="I126" s="53" t="s">
        <v>356</v>
      </c>
      <c r="J126" s="12" t="b">
        <v>1</v>
      </c>
      <c r="K126" s="12" t="b">
        <v>1</v>
      </c>
      <c r="L126" s="12" t="b">
        <v>1</v>
      </c>
      <c r="M126" s="10" t="b">
        <v>1</v>
      </c>
      <c r="N126" s="57" t="b">
        <v>1</v>
      </c>
      <c r="O126" s="67" t="b">
        <v>1</v>
      </c>
      <c r="P126" s="71" t="b">
        <v>1</v>
      </c>
      <c r="Q126" s="10" t="b">
        <v>0</v>
      </c>
      <c r="R126" s="10" t="b">
        <v>0</v>
      </c>
      <c r="S126" s="10" t="b">
        <v>0</v>
      </c>
      <c r="T126" s="55">
        <v>46041.0</v>
      </c>
      <c r="U126" s="9" t="s">
        <v>890</v>
      </c>
      <c r="V126" s="56" t="s">
        <v>891</v>
      </c>
      <c r="W126" s="57" t="b">
        <v>1</v>
      </c>
      <c r="X126" s="56" t="s">
        <v>997</v>
      </c>
      <c r="Y126" s="6" t="s">
        <v>890</v>
      </c>
      <c r="Z126" s="56" t="s">
        <v>891</v>
      </c>
      <c r="AA126" s="9" t="s">
        <v>998</v>
      </c>
      <c r="AB126" s="4"/>
      <c r="AC126" s="4"/>
      <c r="AD126" s="4"/>
      <c r="AE126" s="4"/>
    </row>
    <row r="127">
      <c r="A127" s="30" t="s">
        <v>22</v>
      </c>
      <c r="B127" s="72" t="s">
        <v>999</v>
      </c>
      <c r="C127" s="9" t="s">
        <v>1000</v>
      </c>
      <c r="D127" s="6" t="s">
        <v>351</v>
      </c>
      <c r="E127" s="4"/>
      <c r="F127" s="4" t="s">
        <v>996</v>
      </c>
      <c r="G127" s="9" t="s">
        <v>1001</v>
      </c>
      <c r="H127" s="53"/>
      <c r="I127" s="53"/>
      <c r="J127" s="57" t="b">
        <v>1</v>
      </c>
      <c r="K127" s="67" t="b">
        <v>1</v>
      </c>
      <c r="L127" s="71" t="b">
        <v>1</v>
      </c>
      <c r="M127" s="10" t="b">
        <v>0</v>
      </c>
      <c r="N127" s="12" t="b">
        <v>0</v>
      </c>
      <c r="O127" s="12" t="b">
        <v>0</v>
      </c>
      <c r="P127" s="12" t="b">
        <v>0</v>
      </c>
      <c r="Q127" s="10" t="b">
        <v>0</v>
      </c>
      <c r="R127" s="10" t="b">
        <v>0</v>
      </c>
      <c r="S127" s="10" t="b">
        <v>0</v>
      </c>
      <c r="T127" s="55">
        <v>46039.0</v>
      </c>
      <c r="U127" s="9" t="s">
        <v>890</v>
      </c>
      <c r="V127" s="56" t="s">
        <v>891</v>
      </c>
      <c r="W127" s="57" t="b">
        <v>1</v>
      </c>
      <c r="X127" s="56" t="s">
        <v>1002</v>
      </c>
      <c r="Y127" s="6" t="s">
        <v>890</v>
      </c>
      <c r="Z127" s="56" t="s">
        <v>891</v>
      </c>
      <c r="AA127" s="9" t="s">
        <v>1003</v>
      </c>
      <c r="AB127" s="4"/>
      <c r="AC127" s="4"/>
      <c r="AD127" s="4"/>
      <c r="AE127" s="4"/>
    </row>
    <row r="128">
      <c r="A128" s="5" t="s">
        <v>22</v>
      </c>
      <c r="B128" s="4" t="s">
        <v>1004</v>
      </c>
      <c r="C128" s="4" t="s">
        <v>1005</v>
      </c>
      <c r="D128" s="6" t="s">
        <v>365</v>
      </c>
      <c r="E128" s="4" t="s">
        <v>1006</v>
      </c>
      <c r="F128" s="4" t="s">
        <v>465</v>
      </c>
      <c r="G128" s="4" t="s">
        <v>354</v>
      </c>
      <c r="H128" s="53" t="s">
        <v>475</v>
      </c>
      <c r="I128" s="53" t="s">
        <v>446</v>
      </c>
      <c r="J128" s="12" t="b">
        <v>1</v>
      </c>
      <c r="K128" s="54" t="b">
        <v>1</v>
      </c>
      <c r="L128" s="12" t="b">
        <v>0</v>
      </c>
      <c r="M128" s="12" t="b">
        <v>0</v>
      </c>
      <c r="N128" s="12" t="b">
        <v>0</v>
      </c>
      <c r="O128" s="12" t="b">
        <v>0</v>
      </c>
      <c r="P128" s="12" t="b">
        <v>0</v>
      </c>
      <c r="Q128" s="10" t="b">
        <v>0</v>
      </c>
      <c r="R128" s="10" t="b">
        <v>0</v>
      </c>
      <c r="S128" s="10" t="b">
        <v>0</v>
      </c>
      <c r="T128" s="55">
        <v>46025.0</v>
      </c>
      <c r="U128" s="9" t="s">
        <v>357</v>
      </c>
      <c r="V128" s="56" t="s">
        <v>358</v>
      </c>
      <c r="W128" s="57" t="b">
        <v>0</v>
      </c>
      <c r="X128" s="9" t="s">
        <v>447</v>
      </c>
      <c r="Y128" s="53"/>
      <c r="Z128" s="58"/>
      <c r="AA128" s="4"/>
      <c r="AB128" s="4"/>
      <c r="AC128" s="55"/>
      <c r="AD128" s="6"/>
      <c r="AE128" s="58"/>
    </row>
    <row r="129">
      <c r="A129" s="5" t="s">
        <v>22</v>
      </c>
      <c r="B129" s="4" t="s">
        <v>1007</v>
      </c>
      <c r="C129" s="4" t="s">
        <v>1008</v>
      </c>
      <c r="D129" s="6" t="s">
        <v>351</v>
      </c>
      <c r="E129" s="4" t="s">
        <v>1009</v>
      </c>
      <c r="F129" s="4" t="s">
        <v>399</v>
      </c>
      <c r="G129" s="4" t="s">
        <v>354</v>
      </c>
      <c r="H129" s="53" t="s">
        <v>355</v>
      </c>
      <c r="I129" s="53" t="s">
        <v>380</v>
      </c>
      <c r="J129" s="12" t="b">
        <v>1</v>
      </c>
      <c r="K129" s="12" t="b">
        <v>1</v>
      </c>
      <c r="L129" s="12" t="b">
        <v>1</v>
      </c>
      <c r="M129" s="10" t="b">
        <v>1</v>
      </c>
      <c r="N129" s="10" t="b">
        <v>1</v>
      </c>
      <c r="O129" s="10" t="b">
        <v>1</v>
      </c>
      <c r="P129" s="10" t="b">
        <v>1</v>
      </c>
      <c r="Q129" s="10" t="b">
        <v>1</v>
      </c>
      <c r="R129" s="10" t="b">
        <v>1</v>
      </c>
      <c r="S129" s="10" t="b">
        <v>0</v>
      </c>
      <c r="T129" s="55">
        <v>46058.0</v>
      </c>
      <c r="U129" s="9" t="s">
        <v>361</v>
      </c>
      <c r="V129" s="56" t="s">
        <v>362</v>
      </c>
      <c r="W129" s="57" t="b">
        <v>0</v>
      </c>
      <c r="X129" s="9" t="s">
        <v>1010</v>
      </c>
      <c r="Y129" s="6" t="s">
        <v>834</v>
      </c>
      <c r="Z129" s="56" t="s">
        <v>429</v>
      </c>
      <c r="AA129" s="9" t="s">
        <v>1011</v>
      </c>
      <c r="AB129" s="4"/>
      <c r="AC129" s="55"/>
      <c r="AD129" s="6"/>
      <c r="AE129" s="58"/>
    </row>
    <row r="130">
      <c r="A130" s="5" t="s">
        <v>22</v>
      </c>
      <c r="B130" s="4" t="s">
        <v>1012</v>
      </c>
      <c r="C130" s="4" t="s">
        <v>1013</v>
      </c>
      <c r="D130" s="6" t="s">
        <v>351</v>
      </c>
      <c r="E130" s="4" t="s">
        <v>1014</v>
      </c>
      <c r="F130" s="4" t="s">
        <v>399</v>
      </c>
      <c r="G130" s="4" t="s">
        <v>354</v>
      </c>
      <c r="H130" s="53" t="s">
        <v>374</v>
      </c>
      <c r="I130" s="53" t="s">
        <v>356</v>
      </c>
      <c r="J130" s="12" t="b">
        <v>1</v>
      </c>
      <c r="K130" s="10" t="b">
        <v>1</v>
      </c>
      <c r="L130" s="10" t="b">
        <v>1</v>
      </c>
      <c r="M130" s="10" t="b">
        <v>1</v>
      </c>
      <c r="N130" s="54" t="b">
        <v>1</v>
      </c>
      <c r="O130" s="12" t="b">
        <v>0</v>
      </c>
      <c r="P130" s="12" t="b">
        <v>0</v>
      </c>
      <c r="Q130" s="10" t="b">
        <v>0</v>
      </c>
      <c r="R130" s="10" t="b">
        <v>0</v>
      </c>
      <c r="S130" s="10" t="b">
        <v>0</v>
      </c>
      <c r="T130" s="55">
        <v>46044.0</v>
      </c>
      <c r="U130" s="9" t="s">
        <v>424</v>
      </c>
      <c r="V130" s="56" t="s">
        <v>358</v>
      </c>
      <c r="W130" s="57" t="b">
        <v>0</v>
      </c>
      <c r="X130" s="56" t="s">
        <v>1015</v>
      </c>
      <c r="Y130" s="53"/>
      <c r="Z130" s="58"/>
      <c r="AA130" s="4"/>
      <c r="AB130" s="4"/>
      <c r="AC130" s="4"/>
      <c r="AD130" s="4"/>
      <c r="AE130" s="4"/>
    </row>
    <row r="586">
      <c r="A586" s="5" t="s">
        <v>22</v>
      </c>
      <c r="B586" s="80"/>
      <c r="C586" s="80"/>
      <c r="D586" s="80"/>
      <c r="E586" s="4"/>
      <c r="F586" s="4"/>
      <c r="G586" s="4"/>
      <c r="H586" s="4"/>
      <c r="I586" s="4"/>
      <c r="J586" s="10" t="b">
        <v>0</v>
      </c>
      <c r="K586" s="10" t="b">
        <v>0</v>
      </c>
      <c r="L586" s="10" t="b">
        <v>0</v>
      </c>
      <c r="M586" s="10" t="b">
        <v>0</v>
      </c>
      <c r="N586" s="10" t="b">
        <v>0</v>
      </c>
      <c r="O586" s="10" t="b">
        <v>0</v>
      </c>
      <c r="P586" s="10" t="b">
        <v>0</v>
      </c>
      <c r="Q586" s="10" t="b">
        <v>0</v>
      </c>
      <c r="R586" s="10" t="b">
        <v>0</v>
      </c>
      <c r="S586" s="10" t="b">
        <v>0</v>
      </c>
      <c r="T586" s="12"/>
      <c r="U586" s="9"/>
      <c r="V586" s="58"/>
      <c r="W586" s="57" t="b">
        <v>0</v>
      </c>
      <c r="X586" s="4"/>
      <c r="Y586" s="4"/>
      <c r="Z586" s="4"/>
      <c r="AA586" s="4"/>
      <c r="AB586" s="4"/>
      <c r="AC586" s="12"/>
      <c r="AD586" s="4"/>
      <c r="AE586" s="4"/>
    </row>
    <row r="587">
      <c r="A587" s="5" t="s">
        <v>22</v>
      </c>
      <c r="B587" s="80"/>
      <c r="C587" s="80"/>
      <c r="D587" s="80"/>
      <c r="E587" s="4"/>
      <c r="F587" s="4"/>
      <c r="G587" s="4"/>
      <c r="H587" s="4"/>
      <c r="I587" s="4"/>
      <c r="J587" s="10" t="b">
        <v>0</v>
      </c>
      <c r="K587" s="10" t="b">
        <v>0</v>
      </c>
      <c r="L587" s="10" t="b">
        <v>0</v>
      </c>
      <c r="M587" s="10" t="b">
        <v>0</v>
      </c>
      <c r="N587" s="10" t="b">
        <v>0</v>
      </c>
      <c r="O587" s="10" t="b">
        <v>0</v>
      </c>
      <c r="P587" s="10" t="b">
        <v>0</v>
      </c>
      <c r="Q587" s="10" t="b">
        <v>0</v>
      </c>
      <c r="R587" s="10" t="b">
        <v>0</v>
      </c>
      <c r="S587" s="10" t="b">
        <v>0</v>
      </c>
      <c r="T587" s="12"/>
      <c r="U587" s="9"/>
      <c r="V587" s="58"/>
      <c r="W587" s="57" t="b">
        <v>0</v>
      </c>
      <c r="X587" s="4"/>
      <c r="Y587" s="4"/>
      <c r="Z587" s="4"/>
      <c r="AA587" s="4"/>
      <c r="AB587" s="4"/>
      <c r="AC587" s="12"/>
      <c r="AD587" s="4"/>
      <c r="AE587" s="4"/>
    </row>
    <row r="588">
      <c r="A588" s="5" t="s">
        <v>22</v>
      </c>
      <c r="B588" s="80"/>
      <c r="C588" s="80"/>
      <c r="D588" s="80"/>
      <c r="E588" s="4"/>
      <c r="F588" s="4"/>
      <c r="G588" s="4"/>
      <c r="H588" s="4"/>
      <c r="I588" s="4"/>
      <c r="J588" s="10" t="b">
        <v>0</v>
      </c>
      <c r="K588" s="10" t="b">
        <v>0</v>
      </c>
      <c r="L588" s="10" t="b">
        <v>0</v>
      </c>
      <c r="M588" s="10" t="b">
        <v>0</v>
      </c>
      <c r="N588" s="10" t="b">
        <v>0</v>
      </c>
      <c r="O588" s="10" t="b">
        <v>0</v>
      </c>
      <c r="P588" s="10" t="b">
        <v>0</v>
      </c>
      <c r="Q588" s="10" t="b">
        <v>0</v>
      </c>
      <c r="R588" s="10" t="b">
        <v>0</v>
      </c>
      <c r="S588" s="10" t="b">
        <v>0</v>
      </c>
      <c r="T588" s="12"/>
      <c r="U588" s="9"/>
      <c r="V588" s="58"/>
      <c r="W588" s="57" t="b">
        <v>0</v>
      </c>
      <c r="X588" s="4"/>
      <c r="Y588" s="4"/>
      <c r="Z588" s="4"/>
      <c r="AA588" s="4"/>
      <c r="AB588" s="4"/>
      <c r="AC588" s="12"/>
      <c r="AD588" s="4"/>
      <c r="AE588" s="4"/>
    </row>
    <row r="589">
      <c r="A589" s="5" t="s">
        <v>22</v>
      </c>
      <c r="B589" s="80"/>
      <c r="C589" s="80"/>
      <c r="D589" s="80"/>
      <c r="E589" s="4"/>
      <c r="F589" s="4"/>
      <c r="G589" s="4"/>
      <c r="H589" s="4"/>
      <c r="I589" s="4"/>
      <c r="J589" s="10" t="b">
        <v>0</v>
      </c>
      <c r="K589" s="10" t="b">
        <v>0</v>
      </c>
      <c r="L589" s="10" t="b">
        <v>0</v>
      </c>
      <c r="M589" s="10" t="b">
        <v>0</v>
      </c>
      <c r="N589" s="10" t="b">
        <v>0</v>
      </c>
      <c r="O589" s="10" t="b">
        <v>0</v>
      </c>
      <c r="P589" s="10" t="b">
        <v>0</v>
      </c>
      <c r="Q589" s="10" t="b">
        <v>0</v>
      </c>
      <c r="R589" s="10" t="b">
        <v>0</v>
      </c>
      <c r="S589" s="10" t="b">
        <v>0</v>
      </c>
      <c r="T589" s="12"/>
      <c r="U589" s="9"/>
      <c r="V589" s="58"/>
      <c r="W589" s="57" t="b">
        <v>0</v>
      </c>
      <c r="X589" s="4"/>
      <c r="Y589" s="4"/>
      <c r="Z589" s="4"/>
      <c r="AA589" s="4"/>
      <c r="AB589" s="4"/>
      <c r="AC589" s="12"/>
      <c r="AD589" s="4"/>
      <c r="AE589" s="4"/>
    </row>
    <row r="590">
      <c r="A590" s="5" t="s">
        <v>22</v>
      </c>
      <c r="B590" s="80"/>
      <c r="C590" s="80"/>
      <c r="D590" s="80"/>
      <c r="E590" s="4"/>
      <c r="F590" s="4"/>
      <c r="G590" s="4"/>
      <c r="H590" s="4"/>
      <c r="I590" s="4"/>
      <c r="J590" s="10" t="b">
        <v>0</v>
      </c>
      <c r="K590" s="10" t="b">
        <v>0</v>
      </c>
      <c r="L590" s="10" t="b">
        <v>0</v>
      </c>
      <c r="M590" s="10" t="b">
        <v>0</v>
      </c>
      <c r="N590" s="10" t="b">
        <v>0</v>
      </c>
      <c r="O590" s="10" t="b">
        <v>0</v>
      </c>
      <c r="P590" s="10" t="b">
        <v>0</v>
      </c>
      <c r="Q590" s="10" t="b">
        <v>0</v>
      </c>
      <c r="R590" s="10" t="b">
        <v>0</v>
      </c>
      <c r="S590" s="10" t="b">
        <v>0</v>
      </c>
      <c r="T590" s="12"/>
      <c r="U590" s="9"/>
      <c r="V590" s="58"/>
      <c r="W590" s="57" t="b">
        <v>0</v>
      </c>
      <c r="X590" s="4"/>
      <c r="Y590" s="4"/>
      <c r="Z590" s="4"/>
      <c r="AA590" s="4"/>
      <c r="AB590" s="4"/>
      <c r="AC590" s="12"/>
      <c r="AD590" s="4"/>
      <c r="AE590" s="4"/>
    </row>
    <row r="591">
      <c r="A591" s="5" t="s">
        <v>22</v>
      </c>
      <c r="B591" s="80"/>
      <c r="C591" s="80"/>
      <c r="D591" s="80"/>
      <c r="E591" s="4"/>
      <c r="F591" s="4"/>
      <c r="G591" s="4"/>
      <c r="H591" s="4"/>
      <c r="I591" s="4"/>
      <c r="J591" s="10" t="b">
        <v>0</v>
      </c>
      <c r="K591" s="10" t="b">
        <v>0</v>
      </c>
      <c r="L591" s="10" t="b">
        <v>0</v>
      </c>
      <c r="M591" s="10" t="b">
        <v>0</v>
      </c>
      <c r="N591" s="10" t="b">
        <v>0</v>
      </c>
      <c r="O591" s="10" t="b">
        <v>0</v>
      </c>
      <c r="P591" s="10" t="b">
        <v>0</v>
      </c>
      <c r="Q591" s="10" t="b">
        <v>0</v>
      </c>
      <c r="R591" s="10" t="b">
        <v>0</v>
      </c>
      <c r="S591" s="10" t="b">
        <v>0</v>
      </c>
      <c r="T591" s="12"/>
      <c r="U591" s="9"/>
      <c r="V591" s="58"/>
      <c r="W591" s="57" t="b">
        <v>0</v>
      </c>
      <c r="X591" s="4"/>
      <c r="Y591" s="4"/>
      <c r="Z591" s="4"/>
      <c r="AA591" s="4"/>
      <c r="AB591" s="4"/>
      <c r="AC591" s="12"/>
      <c r="AD591" s="4"/>
      <c r="AE591" s="4"/>
    </row>
    <row r="592">
      <c r="A592" s="5" t="s">
        <v>22</v>
      </c>
      <c r="B592" s="80"/>
      <c r="C592" s="80"/>
      <c r="D592" s="80"/>
      <c r="E592" s="4"/>
      <c r="F592" s="4"/>
      <c r="G592" s="4"/>
      <c r="H592" s="4"/>
      <c r="I592" s="4"/>
      <c r="J592" s="10" t="b">
        <v>0</v>
      </c>
      <c r="K592" s="10" t="b">
        <v>0</v>
      </c>
      <c r="L592" s="10" t="b">
        <v>0</v>
      </c>
      <c r="M592" s="10" t="b">
        <v>0</v>
      </c>
      <c r="N592" s="10" t="b">
        <v>0</v>
      </c>
      <c r="O592" s="10" t="b">
        <v>0</v>
      </c>
      <c r="P592" s="10" t="b">
        <v>0</v>
      </c>
      <c r="Q592" s="10" t="b">
        <v>0</v>
      </c>
      <c r="R592" s="10" t="b">
        <v>0</v>
      </c>
      <c r="S592" s="10" t="b">
        <v>0</v>
      </c>
      <c r="T592" s="12"/>
      <c r="U592" s="9"/>
      <c r="V592" s="58"/>
      <c r="W592" s="57" t="b">
        <v>0</v>
      </c>
      <c r="X592" s="4"/>
      <c r="Y592" s="4"/>
      <c r="Z592" s="4"/>
      <c r="AA592" s="4"/>
      <c r="AB592" s="4"/>
      <c r="AC592" s="12"/>
      <c r="AD592" s="4"/>
      <c r="AE592" s="4"/>
    </row>
    <row r="593">
      <c r="A593" s="5" t="s">
        <v>22</v>
      </c>
      <c r="B593" s="80"/>
      <c r="C593" s="80"/>
      <c r="D593" s="80"/>
      <c r="E593" s="4"/>
      <c r="F593" s="4"/>
      <c r="G593" s="4"/>
      <c r="H593" s="4"/>
      <c r="I593" s="4"/>
      <c r="J593" s="10" t="b">
        <v>0</v>
      </c>
      <c r="K593" s="10" t="b">
        <v>0</v>
      </c>
      <c r="L593" s="10" t="b">
        <v>0</v>
      </c>
      <c r="M593" s="10" t="b">
        <v>0</v>
      </c>
      <c r="N593" s="10" t="b">
        <v>0</v>
      </c>
      <c r="O593" s="10" t="b">
        <v>0</v>
      </c>
      <c r="P593" s="10" t="b">
        <v>0</v>
      </c>
      <c r="Q593" s="10" t="b">
        <v>0</v>
      </c>
      <c r="R593" s="10" t="b">
        <v>0</v>
      </c>
      <c r="S593" s="10" t="b">
        <v>0</v>
      </c>
      <c r="T593" s="12"/>
      <c r="U593" s="9"/>
      <c r="V593" s="58"/>
      <c r="W593" s="57" t="b">
        <v>0</v>
      </c>
      <c r="X593" s="4"/>
      <c r="Y593" s="4"/>
      <c r="Z593" s="4"/>
      <c r="AA593" s="4"/>
      <c r="AB593" s="4"/>
      <c r="AC593" s="12"/>
      <c r="AD593" s="4"/>
      <c r="AE593" s="4"/>
    </row>
    <row r="594">
      <c r="A594" s="5" t="s">
        <v>22</v>
      </c>
      <c r="B594" s="80"/>
      <c r="C594" s="80"/>
      <c r="D594" s="80"/>
      <c r="E594" s="4"/>
      <c r="F594" s="4"/>
      <c r="G594" s="4"/>
      <c r="H594" s="4"/>
      <c r="I594" s="4"/>
      <c r="J594" s="10" t="b">
        <v>0</v>
      </c>
      <c r="K594" s="10" t="b">
        <v>0</v>
      </c>
      <c r="L594" s="10" t="b">
        <v>0</v>
      </c>
      <c r="M594" s="10" t="b">
        <v>0</v>
      </c>
      <c r="N594" s="10" t="b">
        <v>0</v>
      </c>
      <c r="O594" s="10" t="b">
        <v>0</v>
      </c>
      <c r="P594" s="10" t="b">
        <v>0</v>
      </c>
      <c r="Q594" s="10" t="b">
        <v>0</v>
      </c>
      <c r="R594" s="10" t="b">
        <v>0</v>
      </c>
      <c r="S594" s="10" t="b">
        <v>0</v>
      </c>
      <c r="T594" s="12"/>
      <c r="U594" s="9"/>
      <c r="V594" s="58"/>
      <c r="W594" s="57" t="b">
        <v>0</v>
      </c>
      <c r="X594" s="4"/>
      <c r="Y594" s="4"/>
      <c r="Z594" s="4"/>
      <c r="AA594" s="4"/>
      <c r="AB594" s="4"/>
      <c r="AC594" s="12"/>
      <c r="AD594" s="4"/>
      <c r="AE594" s="4"/>
    </row>
    <row r="595">
      <c r="A595" s="5" t="s">
        <v>22</v>
      </c>
      <c r="B595" s="80"/>
      <c r="C595" s="80"/>
      <c r="D595" s="80"/>
      <c r="E595" s="4"/>
      <c r="F595" s="4"/>
      <c r="G595" s="4"/>
      <c r="H595" s="4"/>
      <c r="I595" s="4"/>
      <c r="J595" s="10" t="b">
        <v>0</v>
      </c>
      <c r="K595" s="10" t="b">
        <v>0</v>
      </c>
      <c r="L595" s="10" t="b">
        <v>0</v>
      </c>
      <c r="M595" s="10" t="b">
        <v>0</v>
      </c>
      <c r="N595" s="10" t="b">
        <v>0</v>
      </c>
      <c r="O595" s="10" t="b">
        <v>0</v>
      </c>
      <c r="P595" s="10" t="b">
        <v>0</v>
      </c>
      <c r="Q595" s="10" t="b">
        <v>0</v>
      </c>
      <c r="R595" s="10" t="b">
        <v>0</v>
      </c>
      <c r="S595" s="10" t="b">
        <v>0</v>
      </c>
      <c r="T595" s="12"/>
      <c r="U595" s="9"/>
      <c r="V595" s="58"/>
      <c r="W595" s="57" t="b">
        <v>0</v>
      </c>
      <c r="X595" s="4"/>
      <c r="Y595" s="4"/>
      <c r="Z595" s="4"/>
      <c r="AA595" s="4"/>
      <c r="AB595" s="4"/>
      <c r="AC595" s="12"/>
      <c r="AD595" s="4"/>
      <c r="AE595" s="4"/>
    </row>
    <row r="596">
      <c r="A596" s="5" t="s">
        <v>22</v>
      </c>
      <c r="B596" s="80"/>
      <c r="C596" s="80"/>
      <c r="D596" s="80"/>
      <c r="E596" s="4"/>
      <c r="F596" s="4"/>
      <c r="G596" s="4"/>
      <c r="H596" s="4"/>
      <c r="I596" s="4"/>
      <c r="J596" s="10" t="b">
        <v>0</v>
      </c>
      <c r="K596" s="10" t="b">
        <v>0</v>
      </c>
      <c r="L596" s="10" t="b">
        <v>0</v>
      </c>
      <c r="M596" s="10" t="b">
        <v>0</v>
      </c>
      <c r="N596" s="10" t="b">
        <v>0</v>
      </c>
      <c r="O596" s="10" t="b">
        <v>0</v>
      </c>
      <c r="P596" s="10" t="b">
        <v>0</v>
      </c>
      <c r="Q596" s="10" t="b">
        <v>0</v>
      </c>
      <c r="R596" s="10" t="b">
        <v>0</v>
      </c>
      <c r="S596" s="10" t="b">
        <v>0</v>
      </c>
      <c r="T596" s="12"/>
      <c r="U596" s="9"/>
      <c r="V596" s="58"/>
      <c r="W596" s="57" t="b">
        <v>0</v>
      </c>
      <c r="X596" s="4"/>
      <c r="Y596" s="4"/>
      <c r="Z596" s="4"/>
      <c r="AA596" s="4"/>
      <c r="AB596" s="4"/>
      <c r="AC596" s="12"/>
      <c r="AD596" s="4"/>
      <c r="AE596" s="4"/>
    </row>
    <row r="597">
      <c r="A597" s="5" t="s">
        <v>22</v>
      </c>
      <c r="B597" s="80"/>
      <c r="C597" s="80"/>
      <c r="D597" s="80"/>
      <c r="E597" s="4"/>
      <c r="F597" s="4"/>
      <c r="G597" s="4"/>
      <c r="H597" s="4"/>
      <c r="I597" s="4"/>
      <c r="J597" s="10" t="b">
        <v>0</v>
      </c>
      <c r="K597" s="10" t="b">
        <v>0</v>
      </c>
      <c r="L597" s="10" t="b">
        <v>0</v>
      </c>
      <c r="M597" s="10" t="b">
        <v>0</v>
      </c>
      <c r="N597" s="10" t="b">
        <v>0</v>
      </c>
      <c r="O597" s="10" t="b">
        <v>0</v>
      </c>
      <c r="P597" s="10" t="b">
        <v>0</v>
      </c>
      <c r="Q597" s="10" t="b">
        <v>0</v>
      </c>
      <c r="R597" s="10" t="b">
        <v>0</v>
      </c>
      <c r="S597" s="10" t="b">
        <v>0</v>
      </c>
      <c r="T597" s="12"/>
      <c r="U597" s="9"/>
      <c r="V597" s="58"/>
      <c r="W597" s="57" t="b">
        <v>0</v>
      </c>
      <c r="X597" s="4"/>
      <c r="Y597" s="4"/>
      <c r="Z597" s="4"/>
      <c r="AA597" s="4"/>
      <c r="AB597" s="4"/>
      <c r="AC597" s="12"/>
      <c r="AD597" s="4"/>
      <c r="AE597" s="4"/>
    </row>
    <row r="598">
      <c r="A598" s="5" t="s">
        <v>22</v>
      </c>
      <c r="B598" s="80"/>
      <c r="C598" s="80"/>
      <c r="D598" s="80"/>
      <c r="E598" s="4"/>
      <c r="F598" s="4"/>
      <c r="G598" s="4"/>
      <c r="H598" s="4"/>
      <c r="I598" s="4"/>
      <c r="J598" s="10" t="b">
        <v>0</v>
      </c>
      <c r="K598" s="10" t="b">
        <v>0</v>
      </c>
      <c r="L598" s="10" t="b">
        <v>0</v>
      </c>
      <c r="M598" s="10" t="b">
        <v>0</v>
      </c>
      <c r="N598" s="10" t="b">
        <v>0</v>
      </c>
      <c r="O598" s="10" t="b">
        <v>0</v>
      </c>
      <c r="P598" s="10" t="b">
        <v>0</v>
      </c>
      <c r="Q598" s="10" t="b">
        <v>0</v>
      </c>
      <c r="R598" s="10" t="b">
        <v>0</v>
      </c>
      <c r="S598" s="10" t="b">
        <v>0</v>
      </c>
      <c r="T598" s="12"/>
      <c r="U598" s="9"/>
      <c r="V598" s="58"/>
      <c r="W598" s="57" t="b">
        <v>0</v>
      </c>
      <c r="X598" s="4"/>
      <c r="Y598" s="4"/>
      <c r="Z598" s="4"/>
      <c r="AA598" s="4"/>
      <c r="AB598" s="4"/>
      <c r="AC598" s="12"/>
      <c r="AD598" s="4"/>
      <c r="AE598" s="4"/>
    </row>
    <row r="599">
      <c r="A599" s="5" t="s">
        <v>22</v>
      </c>
      <c r="B599" s="80"/>
      <c r="C599" s="80"/>
      <c r="D599" s="80"/>
      <c r="E599" s="4"/>
      <c r="F599" s="4"/>
      <c r="G599" s="4"/>
      <c r="H599" s="4"/>
      <c r="I599" s="4"/>
      <c r="J599" s="10" t="b">
        <v>0</v>
      </c>
      <c r="K599" s="10" t="b">
        <v>0</v>
      </c>
      <c r="L599" s="10" t="b">
        <v>0</v>
      </c>
      <c r="M599" s="10" t="b">
        <v>0</v>
      </c>
      <c r="N599" s="10" t="b">
        <v>0</v>
      </c>
      <c r="O599" s="10" t="b">
        <v>0</v>
      </c>
      <c r="P599" s="10" t="b">
        <v>0</v>
      </c>
      <c r="Q599" s="10" t="b">
        <v>0</v>
      </c>
      <c r="R599" s="10" t="b">
        <v>0</v>
      </c>
      <c r="S599" s="10" t="b">
        <v>0</v>
      </c>
      <c r="T599" s="12"/>
      <c r="U599" s="9"/>
      <c r="V599" s="58"/>
      <c r="W599" s="57" t="b">
        <v>0</v>
      </c>
      <c r="X599" s="4"/>
      <c r="Y599" s="4"/>
      <c r="Z599" s="4"/>
      <c r="AA599" s="4"/>
      <c r="AB599" s="4"/>
      <c r="AC599" s="12"/>
      <c r="AD599" s="4"/>
      <c r="AE599" s="4"/>
    </row>
    <row r="600">
      <c r="A600" s="5" t="s">
        <v>22</v>
      </c>
      <c r="B600" s="80"/>
      <c r="C600" s="80"/>
      <c r="D600" s="80"/>
      <c r="E600" s="4"/>
      <c r="F600" s="4"/>
      <c r="G600" s="4"/>
      <c r="H600" s="4"/>
      <c r="I600" s="4"/>
      <c r="J600" s="10" t="b">
        <v>0</v>
      </c>
      <c r="K600" s="10" t="b">
        <v>0</v>
      </c>
      <c r="L600" s="10" t="b">
        <v>0</v>
      </c>
      <c r="M600" s="10" t="b">
        <v>0</v>
      </c>
      <c r="N600" s="10" t="b">
        <v>0</v>
      </c>
      <c r="O600" s="10" t="b">
        <v>0</v>
      </c>
      <c r="P600" s="10" t="b">
        <v>0</v>
      </c>
      <c r="Q600" s="10" t="b">
        <v>0</v>
      </c>
      <c r="R600" s="10" t="b">
        <v>0</v>
      </c>
      <c r="S600" s="10" t="b">
        <v>0</v>
      </c>
      <c r="T600" s="12"/>
      <c r="U600" s="9"/>
      <c r="V600" s="58"/>
      <c r="W600" s="57" t="b">
        <v>0</v>
      </c>
      <c r="X600" s="4"/>
      <c r="Y600" s="4"/>
      <c r="Z600" s="4"/>
      <c r="AA600" s="4"/>
      <c r="AB600" s="4"/>
      <c r="AC600" s="12"/>
      <c r="AD600" s="4"/>
      <c r="AE600" s="4"/>
    </row>
    <row r="601">
      <c r="A601" s="5" t="s">
        <v>22</v>
      </c>
      <c r="B601" s="80"/>
      <c r="C601" s="80"/>
      <c r="D601" s="80"/>
      <c r="E601" s="4"/>
      <c r="F601" s="4"/>
      <c r="G601" s="4"/>
      <c r="H601" s="4"/>
      <c r="I601" s="4"/>
      <c r="J601" s="10" t="b">
        <v>0</v>
      </c>
      <c r="K601" s="10" t="b">
        <v>0</v>
      </c>
      <c r="L601" s="10" t="b">
        <v>0</v>
      </c>
      <c r="M601" s="10" t="b">
        <v>0</v>
      </c>
      <c r="N601" s="10" t="b">
        <v>0</v>
      </c>
      <c r="O601" s="10" t="b">
        <v>0</v>
      </c>
      <c r="P601" s="10" t="b">
        <v>0</v>
      </c>
      <c r="Q601" s="10" t="b">
        <v>0</v>
      </c>
      <c r="R601" s="10" t="b">
        <v>0</v>
      </c>
      <c r="S601" s="10" t="b">
        <v>0</v>
      </c>
      <c r="T601" s="12"/>
      <c r="U601" s="9"/>
      <c r="V601" s="58"/>
      <c r="W601" s="57" t="b">
        <v>0</v>
      </c>
      <c r="X601" s="4"/>
      <c r="Y601" s="4"/>
      <c r="Z601" s="4"/>
      <c r="AA601" s="4"/>
      <c r="AB601" s="4"/>
      <c r="AC601" s="12"/>
      <c r="AD601" s="4"/>
      <c r="AE601" s="4"/>
    </row>
    <row r="602">
      <c r="A602" s="5" t="s">
        <v>22</v>
      </c>
      <c r="B602" s="80"/>
      <c r="C602" s="80"/>
      <c r="D602" s="80"/>
      <c r="E602" s="4"/>
      <c r="F602" s="4"/>
      <c r="G602" s="4"/>
      <c r="H602" s="4"/>
      <c r="I602" s="4"/>
      <c r="J602" s="10" t="b">
        <v>0</v>
      </c>
      <c r="K602" s="10" t="b">
        <v>0</v>
      </c>
      <c r="L602" s="10" t="b">
        <v>0</v>
      </c>
      <c r="M602" s="10" t="b">
        <v>0</v>
      </c>
      <c r="N602" s="10" t="b">
        <v>0</v>
      </c>
      <c r="O602" s="10" t="b">
        <v>0</v>
      </c>
      <c r="P602" s="10" t="b">
        <v>0</v>
      </c>
      <c r="Q602" s="10" t="b">
        <v>0</v>
      </c>
      <c r="R602" s="10" t="b">
        <v>0</v>
      </c>
      <c r="S602" s="10" t="b">
        <v>0</v>
      </c>
      <c r="T602" s="12"/>
      <c r="U602" s="9"/>
      <c r="V602" s="58"/>
      <c r="W602" s="57" t="b">
        <v>0</v>
      </c>
      <c r="X602" s="4"/>
      <c r="Y602" s="4"/>
      <c r="Z602" s="4"/>
      <c r="AA602" s="4"/>
      <c r="AB602" s="4"/>
      <c r="AC602" s="12"/>
      <c r="AD602" s="4"/>
      <c r="AE602" s="4"/>
    </row>
    <row r="603">
      <c r="A603" s="5" t="s">
        <v>22</v>
      </c>
      <c r="B603" s="80"/>
      <c r="C603" s="80"/>
      <c r="D603" s="80"/>
      <c r="E603" s="4"/>
      <c r="F603" s="4"/>
      <c r="G603" s="4"/>
      <c r="H603" s="4"/>
      <c r="I603" s="4"/>
      <c r="J603" s="10" t="b">
        <v>0</v>
      </c>
      <c r="K603" s="10" t="b">
        <v>0</v>
      </c>
      <c r="L603" s="10" t="b">
        <v>0</v>
      </c>
      <c r="M603" s="10" t="b">
        <v>0</v>
      </c>
      <c r="N603" s="10" t="b">
        <v>0</v>
      </c>
      <c r="O603" s="10" t="b">
        <v>0</v>
      </c>
      <c r="P603" s="10" t="b">
        <v>0</v>
      </c>
      <c r="Q603" s="10" t="b">
        <v>0</v>
      </c>
      <c r="R603" s="10" t="b">
        <v>0</v>
      </c>
      <c r="S603" s="10" t="b">
        <v>0</v>
      </c>
      <c r="T603" s="12"/>
      <c r="U603" s="9"/>
      <c r="V603" s="58"/>
      <c r="W603" s="57" t="b">
        <v>0</v>
      </c>
      <c r="X603" s="4"/>
      <c r="Y603" s="4"/>
      <c r="Z603" s="4"/>
      <c r="AA603" s="4"/>
      <c r="AB603" s="4"/>
      <c r="AC603" s="12"/>
      <c r="AD603" s="4"/>
      <c r="AE603" s="4"/>
    </row>
    <row r="604">
      <c r="A604" s="5" t="s">
        <v>22</v>
      </c>
      <c r="B604" s="80"/>
      <c r="C604" s="80"/>
      <c r="D604" s="80"/>
      <c r="E604" s="4"/>
      <c r="F604" s="4"/>
      <c r="G604" s="4"/>
      <c r="H604" s="4"/>
      <c r="I604" s="4"/>
      <c r="J604" s="10" t="b">
        <v>0</v>
      </c>
      <c r="K604" s="10" t="b">
        <v>0</v>
      </c>
      <c r="L604" s="10" t="b">
        <v>0</v>
      </c>
      <c r="M604" s="10" t="b">
        <v>0</v>
      </c>
      <c r="N604" s="10" t="b">
        <v>0</v>
      </c>
      <c r="O604" s="10" t="b">
        <v>0</v>
      </c>
      <c r="P604" s="10" t="b">
        <v>0</v>
      </c>
      <c r="Q604" s="10" t="b">
        <v>0</v>
      </c>
      <c r="R604" s="10" t="b">
        <v>0</v>
      </c>
      <c r="S604" s="10" t="b">
        <v>0</v>
      </c>
      <c r="T604" s="12"/>
      <c r="U604" s="9"/>
      <c r="V604" s="58"/>
      <c r="W604" s="57" t="b">
        <v>0</v>
      </c>
      <c r="X604" s="4"/>
      <c r="Y604" s="4"/>
      <c r="Z604" s="4"/>
      <c r="AA604" s="4"/>
      <c r="AB604" s="4"/>
      <c r="AC604" s="12"/>
      <c r="AD604" s="4"/>
      <c r="AE604" s="4"/>
    </row>
    <row r="605">
      <c r="A605" s="5" t="s">
        <v>22</v>
      </c>
      <c r="B605" s="80"/>
      <c r="C605" s="80"/>
      <c r="D605" s="80"/>
      <c r="E605" s="4"/>
      <c r="F605" s="4"/>
      <c r="G605" s="4"/>
      <c r="H605" s="4"/>
      <c r="I605" s="4"/>
      <c r="J605" s="10" t="b">
        <v>0</v>
      </c>
      <c r="K605" s="10" t="b">
        <v>0</v>
      </c>
      <c r="L605" s="10" t="b">
        <v>0</v>
      </c>
      <c r="M605" s="10" t="b">
        <v>0</v>
      </c>
      <c r="N605" s="10" t="b">
        <v>0</v>
      </c>
      <c r="O605" s="10" t="b">
        <v>0</v>
      </c>
      <c r="P605" s="10" t="b">
        <v>0</v>
      </c>
      <c r="Q605" s="10" t="b">
        <v>0</v>
      </c>
      <c r="R605" s="10" t="b">
        <v>0</v>
      </c>
      <c r="S605" s="10" t="b">
        <v>0</v>
      </c>
      <c r="T605" s="12"/>
      <c r="U605" s="9"/>
      <c r="V605" s="58"/>
      <c r="W605" s="57" t="b">
        <v>0</v>
      </c>
      <c r="X605" s="4"/>
      <c r="Y605" s="4"/>
      <c r="Z605" s="4"/>
      <c r="AA605" s="4"/>
      <c r="AB605" s="4"/>
      <c r="AC605" s="12"/>
      <c r="AD605" s="4"/>
      <c r="AE605" s="4"/>
    </row>
    <row r="606">
      <c r="A606" s="5" t="s">
        <v>22</v>
      </c>
      <c r="B606" s="80"/>
      <c r="C606" s="80"/>
      <c r="D606" s="80"/>
      <c r="E606" s="4"/>
      <c r="F606" s="4"/>
      <c r="G606" s="4"/>
      <c r="H606" s="4"/>
      <c r="I606" s="4"/>
      <c r="J606" s="10" t="b">
        <v>0</v>
      </c>
      <c r="K606" s="10" t="b">
        <v>0</v>
      </c>
      <c r="L606" s="10" t="b">
        <v>0</v>
      </c>
      <c r="M606" s="10" t="b">
        <v>0</v>
      </c>
      <c r="N606" s="10" t="b">
        <v>0</v>
      </c>
      <c r="O606" s="10" t="b">
        <v>0</v>
      </c>
      <c r="P606" s="10" t="b">
        <v>0</v>
      </c>
      <c r="Q606" s="10" t="b">
        <v>0</v>
      </c>
      <c r="R606" s="10" t="b">
        <v>0</v>
      </c>
      <c r="S606" s="10" t="b">
        <v>0</v>
      </c>
      <c r="T606" s="12"/>
      <c r="U606" s="9"/>
      <c r="V606" s="58"/>
      <c r="W606" s="57" t="b">
        <v>0</v>
      </c>
      <c r="X606" s="4"/>
      <c r="Y606" s="4"/>
      <c r="Z606" s="4"/>
      <c r="AA606" s="4"/>
      <c r="AB606" s="4"/>
      <c r="AC606" s="12"/>
      <c r="AD606" s="4"/>
      <c r="AE606" s="4"/>
    </row>
    <row r="607">
      <c r="A607" s="5" t="s">
        <v>22</v>
      </c>
      <c r="B607" s="80"/>
      <c r="C607" s="80"/>
      <c r="D607" s="80"/>
      <c r="E607" s="4"/>
      <c r="F607" s="4"/>
      <c r="G607" s="4"/>
      <c r="H607" s="4"/>
      <c r="I607" s="4"/>
      <c r="J607" s="10" t="b">
        <v>0</v>
      </c>
      <c r="K607" s="10" t="b">
        <v>0</v>
      </c>
      <c r="L607" s="10" t="b">
        <v>0</v>
      </c>
      <c r="M607" s="10" t="b">
        <v>0</v>
      </c>
      <c r="N607" s="10" t="b">
        <v>0</v>
      </c>
      <c r="O607" s="10" t="b">
        <v>0</v>
      </c>
      <c r="P607" s="10" t="b">
        <v>0</v>
      </c>
      <c r="Q607" s="10" t="b">
        <v>0</v>
      </c>
      <c r="R607" s="10" t="b">
        <v>0</v>
      </c>
      <c r="S607" s="10" t="b">
        <v>0</v>
      </c>
      <c r="T607" s="12"/>
      <c r="U607" s="9"/>
      <c r="V607" s="58"/>
      <c r="W607" s="57" t="b">
        <v>0</v>
      </c>
      <c r="X607" s="4"/>
      <c r="Y607" s="4"/>
      <c r="Z607" s="4"/>
      <c r="AA607" s="4"/>
      <c r="AB607" s="4"/>
      <c r="AC607" s="12"/>
      <c r="AD607" s="4"/>
      <c r="AE607" s="4"/>
    </row>
    <row r="608">
      <c r="A608" s="5" t="s">
        <v>22</v>
      </c>
      <c r="B608" s="80"/>
      <c r="C608" s="80"/>
      <c r="D608" s="80"/>
      <c r="E608" s="4"/>
      <c r="F608" s="4"/>
      <c r="G608" s="4"/>
      <c r="H608" s="4"/>
      <c r="I608" s="4"/>
      <c r="J608" s="10" t="b">
        <v>0</v>
      </c>
      <c r="K608" s="10" t="b">
        <v>0</v>
      </c>
      <c r="L608" s="10" t="b">
        <v>0</v>
      </c>
      <c r="M608" s="10" t="b">
        <v>0</v>
      </c>
      <c r="N608" s="10" t="b">
        <v>0</v>
      </c>
      <c r="O608" s="10" t="b">
        <v>0</v>
      </c>
      <c r="P608" s="10" t="b">
        <v>0</v>
      </c>
      <c r="Q608" s="10" t="b">
        <v>0</v>
      </c>
      <c r="R608" s="10" t="b">
        <v>0</v>
      </c>
      <c r="S608" s="10" t="b">
        <v>0</v>
      </c>
      <c r="T608" s="12"/>
      <c r="U608" s="9"/>
      <c r="V608" s="58"/>
      <c r="W608" s="57" t="b">
        <v>0</v>
      </c>
      <c r="X608" s="4"/>
      <c r="Y608" s="4"/>
      <c r="Z608" s="4"/>
      <c r="AA608" s="4"/>
      <c r="AB608" s="4"/>
      <c r="AC608" s="12"/>
      <c r="AD608" s="4"/>
      <c r="AE608" s="4"/>
    </row>
    <row r="609">
      <c r="A609" s="5" t="s">
        <v>22</v>
      </c>
      <c r="B609" s="80"/>
      <c r="C609" s="80"/>
      <c r="D609" s="80"/>
      <c r="E609" s="4"/>
      <c r="F609" s="4"/>
      <c r="G609" s="4"/>
      <c r="H609" s="4"/>
      <c r="I609" s="4"/>
      <c r="J609" s="10" t="b">
        <v>0</v>
      </c>
      <c r="K609" s="10" t="b">
        <v>0</v>
      </c>
      <c r="L609" s="10" t="b">
        <v>0</v>
      </c>
      <c r="M609" s="10" t="b">
        <v>0</v>
      </c>
      <c r="N609" s="10" t="b">
        <v>0</v>
      </c>
      <c r="O609" s="10" t="b">
        <v>0</v>
      </c>
      <c r="P609" s="10" t="b">
        <v>0</v>
      </c>
      <c r="Q609" s="10" t="b">
        <v>0</v>
      </c>
      <c r="R609" s="10" t="b">
        <v>0</v>
      </c>
      <c r="S609" s="10" t="b">
        <v>0</v>
      </c>
      <c r="T609" s="12"/>
      <c r="U609" s="9"/>
      <c r="V609" s="58"/>
      <c r="W609" s="57" t="b">
        <v>0</v>
      </c>
      <c r="X609" s="4"/>
      <c r="Y609" s="4"/>
      <c r="Z609" s="4"/>
      <c r="AA609" s="4"/>
      <c r="AB609" s="4"/>
      <c r="AC609" s="12"/>
      <c r="AD609" s="4"/>
      <c r="AE609" s="4"/>
    </row>
    <row r="610">
      <c r="A610" s="5" t="s">
        <v>22</v>
      </c>
      <c r="B610" s="80"/>
      <c r="C610" s="80"/>
      <c r="D610" s="80"/>
      <c r="E610" s="4"/>
      <c r="F610" s="4"/>
      <c r="G610" s="4"/>
      <c r="H610" s="4"/>
      <c r="I610" s="4"/>
      <c r="J610" s="10" t="b">
        <v>0</v>
      </c>
      <c r="K610" s="10" t="b">
        <v>0</v>
      </c>
      <c r="L610" s="10" t="b">
        <v>0</v>
      </c>
      <c r="M610" s="10" t="b">
        <v>0</v>
      </c>
      <c r="N610" s="10" t="b">
        <v>0</v>
      </c>
      <c r="O610" s="10" t="b">
        <v>0</v>
      </c>
      <c r="P610" s="10" t="b">
        <v>0</v>
      </c>
      <c r="Q610" s="10" t="b">
        <v>0</v>
      </c>
      <c r="R610" s="10" t="b">
        <v>0</v>
      </c>
      <c r="S610" s="10" t="b">
        <v>0</v>
      </c>
      <c r="T610" s="12"/>
      <c r="U610" s="9"/>
      <c r="V610" s="58"/>
      <c r="W610" s="57" t="b">
        <v>0</v>
      </c>
      <c r="X610" s="4"/>
      <c r="Y610" s="4"/>
      <c r="Z610" s="4"/>
      <c r="AA610" s="4"/>
      <c r="AB610" s="4"/>
      <c r="AC610" s="12"/>
      <c r="AD610" s="4"/>
      <c r="AE610" s="4"/>
    </row>
    <row r="611">
      <c r="A611" s="5" t="s">
        <v>22</v>
      </c>
      <c r="B611" s="80"/>
      <c r="C611" s="80"/>
      <c r="D611" s="80"/>
      <c r="E611" s="4"/>
      <c r="F611" s="4"/>
      <c r="G611" s="4"/>
      <c r="H611" s="4"/>
      <c r="I611" s="4"/>
      <c r="J611" s="10" t="b">
        <v>0</v>
      </c>
      <c r="K611" s="10" t="b">
        <v>0</v>
      </c>
      <c r="L611" s="10" t="b">
        <v>0</v>
      </c>
      <c r="M611" s="10" t="b">
        <v>0</v>
      </c>
      <c r="N611" s="10" t="b">
        <v>0</v>
      </c>
      <c r="O611" s="10" t="b">
        <v>0</v>
      </c>
      <c r="P611" s="10" t="b">
        <v>0</v>
      </c>
      <c r="Q611" s="10" t="b">
        <v>0</v>
      </c>
      <c r="R611" s="10" t="b">
        <v>0</v>
      </c>
      <c r="S611" s="10" t="b">
        <v>0</v>
      </c>
      <c r="T611" s="12"/>
      <c r="U611" s="9"/>
      <c r="V611" s="58"/>
      <c r="W611" s="57" t="b">
        <v>0</v>
      </c>
      <c r="X611" s="4"/>
      <c r="Y611" s="4"/>
      <c r="Z611" s="4"/>
      <c r="AA611" s="4"/>
      <c r="AB611" s="4"/>
      <c r="AC611" s="12"/>
      <c r="AD611" s="4"/>
      <c r="AE611" s="4"/>
    </row>
    <row r="612">
      <c r="A612" s="5" t="s">
        <v>22</v>
      </c>
      <c r="B612" s="80"/>
      <c r="C612" s="80"/>
      <c r="D612" s="80"/>
      <c r="E612" s="4"/>
      <c r="F612" s="4"/>
      <c r="G612" s="4"/>
      <c r="H612" s="4"/>
      <c r="I612" s="4"/>
      <c r="J612" s="10" t="b">
        <v>0</v>
      </c>
      <c r="K612" s="10" t="b">
        <v>0</v>
      </c>
      <c r="L612" s="10" t="b">
        <v>0</v>
      </c>
      <c r="M612" s="10" t="b">
        <v>0</v>
      </c>
      <c r="N612" s="10" t="b">
        <v>0</v>
      </c>
      <c r="O612" s="10" t="b">
        <v>0</v>
      </c>
      <c r="P612" s="10" t="b">
        <v>0</v>
      </c>
      <c r="Q612" s="10" t="b">
        <v>0</v>
      </c>
      <c r="R612" s="10" t="b">
        <v>0</v>
      </c>
      <c r="S612" s="10" t="b">
        <v>0</v>
      </c>
      <c r="T612" s="12"/>
      <c r="U612" s="9"/>
      <c r="V612" s="58"/>
      <c r="W612" s="57" t="b">
        <v>0</v>
      </c>
      <c r="X612" s="4"/>
      <c r="Y612" s="4"/>
      <c r="Z612" s="4"/>
      <c r="AA612" s="4"/>
      <c r="AB612" s="4"/>
      <c r="AC612" s="12"/>
      <c r="AD612" s="4"/>
      <c r="AE612" s="4"/>
    </row>
    <row r="613">
      <c r="A613" s="5" t="s">
        <v>22</v>
      </c>
      <c r="B613" s="80"/>
      <c r="C613" s="80"/>
      <c r="D613" s="80"/>
      <c r="E613" s="4"/>
      <c r="F613" s="4"/>
      <c r="G613" s="4"/>
      <c r="H613" s="4"/>
      <c r="I613" s="4"/>
      <c r="J613" s="10" t="b">
        <v>0</v>
      </c>
      <c r="K613" s="10" t="b">
        <v>0</v>
      </c>
      <c r="L613" s="10" t="b">
        <v>0</v>
      </c>
      <c r="M613" s="10" t="b">
        <v>0</v>
      </c>
      <c r="N613" s="10" t="b">
        <v>0</v>
      </c>
      <c r="O613" s="10" t="b">
        <v>0</v>
      </c>
      <c r="P613" s="10" t="b">
        <v>0</v>
      </c>
      <c r="Q613" s="10" t="b">
        <v>0</v>
      </c>
      <c r="R613" s="10" t="b">
        <v>0</v>
      </c>
      <c r="S613" s="10" t="b">
        <v>0</v>
      </c>
      <c r="T613" s="12"/>
      <c r="U613" s="9"/>
      <c r="V613" s="58"/>
      <c r="W613" s="57" t="b">
        <v>0</v>
      </c>
      <c r="X613" s="4"/>
      <c r="Y613" s="4"/>
      <c r="Z613" s="4"/>
      <c r="AA613" s="4"/>
      <c r="AB613" s="4"/>
      <c r="AC613" s="12"/>
      <c r="AD613" s="4"/>
      <c r="AE613" s="4"/>
    </row>
    <row r="614">
      <c r="A614" s="5" t="s">
        <v>22</v>
      </c>
      <c r="B614" s="80"/>
      <c r="C614" s="80"/>
      <c r="D614" s="80"/>
      <c r="E614" s="4"/>
      <c r="F614" s="4"/>
      <c r="G614" s="4"/>
      <c r="H614" s="4"/>
      <c r="I614" s="4"/>
      <c r="J614" s="10" t="b">
        <v>0</v>
      </c>
      <c r="K614" s="10" t="b">
        <v>0</v>
      </c>
      <c r="L614" s="10" t="b">
        <v>0</v>
      </c>
      <c r="M614" s="10" t="b">
        <v>0</v>
      </c>
      <c r="N614" s="10" t="b">
        <v>0</v>
      </c>
      <c r="O614" s="10" t="b">
        <v>0</v>
      </c>
      <c r="P614" s="10" t="b">
        <v>0</v>
      </c>
      <c r="Q614" s="10" t="b">
        <v>0</v>
      </c>
      <c r="R614" s="10" t="b">
        <v>0</v>
      </c>
      <c r="S614" s="10" t="b">
        <v>0</v>
      </c>
      <c r="T614" s="12"/>
      <c r="U614" s="9"/>
      <c r="V614" s="58"/>
      <c r="W614" s="57" t="b">
        <v>0</v>
      </c>
      <c r="X614" s="4"/>
      <c r="Y614" s="4"/>
      <c r="Z614" s="4"/>
      <c r="AA614" s="4"/>
      <c r="AB614" s="4"/>
      <c r="AC614" s="12"/>
      <c r="AD614" s="4"/>
      <c r="AE614" s="4"/>
    </row>
    <row r="615">
      <c r="A615" s="5" t="s">
        <v>22</v>
      </c>
      <c r="B615" s="80"/>
      <c r="C615" s="80"/>
      <c r="D615" s="80"/>
      <c r="E615" s="4"/>
      <c r="F615" s="4"/>
      <c r="G615" s="4"/>
      <c r="H615" s="4"/>
      <c r="I615" s="4"/>
      <c r="J615" s="10" t="b">
        <v>0</v>
      </c>
      <c r="K615" s="10" t="b">
        <v>0</v>
      </c>
      <c r="L615" s="10" t="b">
        <v>0</v>
      </c>
      <c r="M615" s="10" t="b">
        <v>0</v>
      </c>
      <c r="N615" s="10" t="b">
        <v>0</v>
      </c>
      <c r="O615" s="10" t="b">
        <v>0</v>
      </c>
      <c r="P615" s="10" t="b">
        <v>0</v>
      </c>
      <c r="Q615" s="10" t="b">
        <v>0</v>
      </c>
      <c r="R615" s="10" t="b">
        <v>0</v>
      </c>
      <c r="S615" s="10" t="b">
        <v>0</v>
      </c>
      <c r="T615" s="12"/>
      <c r="U615" s="9"/>
      <c r="V615" s="58"/>
      <c r="W615" s="57" t="b">
        <v>0</v>
      </c>
      <c r="X615" s="4"/>
      <c r="Y615" s="4"/>
      <c r="Z615" s="4"/>
      <c r="AA615" s="4"/>
      <c r="AB615" s="4"/>
      <c r="AC615" s="12"/>
      <c r="AD615" s="4"/>
      <c r="AE615" s="4"/>
    </row>
    <row r="616">
      <c r="A616" s="5" t="s">
        <v>22</v>
      </c>
      <c r="B616" s="80"/>
      <c r="C616" s="80"/>
      <c r="D616" s="80"/>
      <c r="E616" s="4"/>
      <c r="F616" s="4"/>
      <c r="G616" s="4"/>
      <c r="H616" s="4"/>
      <c r="I616" s="4"/>
      <c r="J616" s="10" t="b">
        <v>0</v>
      </c>
      <c r="K616" s="10" t="b">
        <v>0</v>
      </c>
      <c r="L616" s="10" t="b">
        <v>0</v>
      </c>
      <c r="M616" s="10" t="b">
        <v>0</v>
      </c>
      <c r="N616" s="10" t="b">
        <v>0</v>
      </c>
      <c r="O616" s="10" t="b">
        <v>0</v>
      </c>
      <c r="P616" s="10" t="b">
        <v>0</v>
      </c>
      <c r="Q616" s="10" t="b">
        <v>0</v>
      </c>
      <c r="R616" s="10" t="b">
        <v>0</v>
      </c>
      <c r="S616" s="10" t="b">
        <v>0</v>
      </c>
      <c r="T616" s="12"/>
      <c r="U616" s="9"/>
      <c r="V616" s="58"/>
      <c r="W616" s="57" t="b">
        <v>0</v>
      </c>
      <c r="X616" s="4"/>
      <c r="Y616" s="4"/>
      <c r="Z616" s="4"/>
      <c r="AA616" s="4"/>
      <c r="AB616" s="4"/>
      <c r="AC616" s="12"/>
      <c r="AD616" s="4"/>
      <c r="AE616" s="4"/>
    </row>
    <row r="617">
      <c r="A617" s="5" t="s">
        <v>22</v>
      </c>
      <c r="B617" s="80"/>
      <c r="C617" s="80"/>
      <c r="D617" s="80"/>
      <c r="E617" s="4"/>
      <c r="F617" s="4"/>
      <c r="G617" s="4"/>
      <c r="H617" s="4"/>
      <c r="I617" s="4"/>
      <c r="J617" s="10" t="b">
        <v>0</v>
      </c>
      <c r="K617" s="10" t="b">
        <v>0</v>
      </c>
      <c r="L617" s="10" t="b">
        <v>0</v>
      </c>
      <c r="M617" s="10" t="b">
        <v>0</v>
      </c>
      <c r="N617" s="10" t="b">
        <v>0</v>
      </c>
      <c r="O617" s="10" t="b">
        <v>0</v>
      </c>
      <c r="P617" s="10" t="b">
        <v>0</v>
      </c>
      <c r="Q617" s="10" t="b">
        <v>0</v>
      </c>
      <c r="R617" s="10" t="b">
        <v>0</v>
      </c>
      <c r="S617" s="10" t="b">
        <v>0</v>
      </c>
      <c r="T617" s="12"/>
      <c r="U617" s="9"/>
      <c r="V617" s="58"/>
      <c r="W617" s="57" t="b">
        <v>0</v>
      </c>
      <c r="X617" s="4"/>
      <c r="Y617" s="4"/>
      <c r="Z617" s="4"/>
      <c r="AA617" s="4"/>
      <c r="AB617" s="4"/>
      <c r="AC617" s="12"/>
      <c r="AD617" s="4"/>
      <c r="AE617" s="4"/>
    </row>
    <row r="618">
      <c r="A618" s="5" t="s">
        <v>22</v>
      </c>
      <c r="B618" s="80"/>
      <c r="C618" s="80"/>
      <c r="D618" s="80"/>
      <c r="E618" s="4"/>
      <c r="F618" s="4"/>
      <c r="G618" s="4"/>
      <c r="H618" s="4"/>
      <c r="I618" s="4"/>
      <c r="J618" s="10" t="b">
        <v>0</v>
      </c>
      <c r="K618" s="10" t="b">
        <v>0</v>
      </c>
      <c r="L618" s="10" t="b">
        <v>0</v>
      </c>
      <c r="M618" s="10" t="b">
        <v>0</v>
      </c>
      <c r="N618" s="10" t="b">
        <v>0</v>
      </c>
      <c r="O618" s="10" t="b">
        <v>0</v>
      </c>
      <c r="P618" s="10" t="b">
        <v>0</v>
      </c>
      <c r="Q618" s="10" t="b">
        <v>0</v>
      </c>
      <c r="R618" s="10" t="b">
        <v>0</v>
      </c>
      <c r="S618" s="10" t="b">
        <v>0</v>
      </c>
      <c r="T618" s="12"/>
      <c r="U618" s="9"/>
      <c r="V618" s="58"/>
      <c r="W618" s="57" t="b">
        <v>0</v>
      </c>
      <c r="X618" s="4"/>
      <c r="Y618" s="4"/>
      <c r="Z618" s="4"/>
      <c r="AA618" s="4"/>
      <c r="AB618" s="4"/>
      <c r="AC618" s="12"/>
      <c r="AD618" s="4"/>
      <c r="AE618" s="4"/>
    </row>
    <row r="619">
      <c r="A619" s="5" t="s">
        <v>22</v>
      </c>
      <c r="B619" s="80"/>
      <c r="C619" s="80"/>
      <c r="D619" s="80"/>
      <c r="E619" s="4"/>
      <c r="F619" s="4"/>
      <c r="G619" s="4"/>
      <c r="H619" s="4"/>
      <c r="I619" s="4"/>
      <c r="J619" s="10" t="b">
        <v>0</v>
      </c>
      <c r="K619" s="10" t="b">
        <v>0</v>
      </c>
      <c r="L619" s="10" t="b">
        <v>0</v>
      </c>
      <c r="M619" s="10" t="b">
        <v>0</v>
      </c>
      <c r="N619" s="10" t="b">
        <v>0</v>
      </c>
      <c r="O619" s="10" t="b">
        <v>0</v>
      </c>
      <c r="P619" s="10" t="b">
        <v>0</v>
      </c>
      <c r="Q619" s="10" t="b">
        <v>0</v>
      </c>
      <c r="R619" s="10" t="b">
        <v>0</v>
      </c>
      <c r="S619" s="10" t="b">
        <v>0</v>
      </c>
      <c r="T619" s="12"/>
      <c r="U619" s="9"/>
      <c r="V619" s="58"/>
      <c r="W619" s="57" t="b">
        <v>0</v>
      </c>
      <c r="X619" s="4"/>
      <c r="Y619" s="4"/>
      <c r="Z619" s="4"/>
      <c r="AA619" s="4"/>
      <c r="AB619" s="4"/>
      <c r="AC619" s="12"/>
      <c r="AD619" s="4"/>
      <c r="AE619" s="4"/>
    </row>
    <row r="620">
      <c r="A620" s="5" t="s">
        <v>22</v>
      </c>
      <c r="B620" s="80"/>
      <c r="C620" s="80"/>
      <c r="D620" s="80"/>
      <c r="E620" s="4"/>
      <c r="F620" s="4"/>
      <c r="G620" s="4"/>
      <c r="H620" s="4"/>
      <c r="I620" s="4"/>
      <c r="J620" s="10" t="b">
        <v>0</v>
      </c>
      <c r="K620" s="10" t="b">
        <v>0</v>
      </c>
      <c r="L620" s="10" t="b">
        <v>0</v>
      </c>
      <c r="M620" s="10" t="b">
        <v>0</v>
      </c>
      <c r="N620" s="10" t="b">
        <v>0</v>
      </c>
      <c r="O620" s="10" t="b">
        <v>0</v>
      </c>
      <c r="P620" s="10" t="b">
        <v>0</v>
      </c>
      <c r="Q620" s="10" t="b">
        <v>0</v>
      </c>
      <c r="R620" s="10" t="b">
        <v>0</v>
      </c>
      <c r="S620" s="10" t="b">
        <v>0</v>
      </c>
      <c r="T620" s="12"/>
      <c r="U620" s="9"/>
      <c r="V620" s="58"/>
      <c r="W620" s="57" t="b">
        <v>0</v>
      </c>
      <c r="X620" s="4"/>
      <c r="Y620" s="4"/>
      <c r="Z620" s="4"/>
      <c r="AA620" s="4"/>
      <c r="AB620" s="4"/>
      <c r="AC620" s="12"/>
      <c r="AD620" s="4"/>
      <c r="AE620" s="4"/>
    </row>
    <row r="621">
      <c r="A621" s="5" t="s">
        <v>22</v>
      </c>
      <c r="B621" s="80"/>
      <c r="C621" s="80"/>
      <c r="D621" s="80"/>
      <c r="E621" s="4"/>
      <c r="F621" s="4"/>
      <c r="G621" s="4"/>
      <c r="H621" s="4"/>
      <c r="I621" s="4"/>
      <c r="J621" s="10" t="b">
        <v>0</v>
      </c>
      <c r="K621" s="10" t="b">
        <v>0</v>
      </c>
      <c r="L621" s="10" t="b">
        <v>0</v>
      </c>
      <c r="M621" s="10" t="b">
        <v>0</v>
      </c>
      <c r="N621" s="10" t="b">
        <v>0</v>
      </c>
      <c r="O621" s="10" t="b">
        <v>0</v>
      </c>
      <c r="P621" s="10" t="b">
        <v>0</v>
      </c>
      <c r="Q621" s="10" t="b">
        <v>0</v>
      </c>
      <c r="R621" s="10" t="b">
        <v>0</v>
      </c>
      <c r="S621" s="10" t="b">
        <v>0</v>
      </c>
      <c r="T621" s="12"/>
      <c r="U621" s="9"/>
      <c r="V621" s="58"/>
      <c r="W621" s="57" t="b">
        <v>0</v>
      </c>
      <c r="X621" s="4"/>
      <c r="Y621" s="4"/>
      <c r="Z621" s="4"/>
      <c r="AA621" s="4"/>
      <c r="AB621" s="4"/>
      <c r="AC621" s="12"/>
      <c r="AD621" s="4"/>
      <c r="AE621" s="4"/>
    </row>
    <row r="622">
      <c r="A622" s="5" t="s">
        <v>22</v>
      </c>
      <c r="B622" s="80"/>
      <c r="C622" s="80"/>
      <c r="D622" s="80"/>
      <c r="E622" s="4"/>
      <c r="F622" s="4"/>
      <c r="G622" s="4"/>
      <c r="H622" s="4"/>
      <c r="I622" s="4"/>
      <c r="J622" s="10" t="b">
        <v>0</v>
      </c>
      <c r="K622" s="10" t="b">
        <v>0</v>
      </c>
      <c r="L622" s="10" t="b">
        <v>0</v>
      </c>
      <c r="M622" s="10" t="b">
        <v>0</v>
      </c>
      <c r="N622" s="10" t="b">
        <v>0</v>
      </c>
      <c r="O622" s="10" t="b">
        <v>0</v>
      </c>
      <c r="P622" s="10" t="b">
        <v>0</v>
      </c>
      <c r="Q622" s="10" t="b">
        <v>0</v>
      </c>
      <c r="R622" s="10" t="b">
        <v>0</v>
      </c>
      <c r="S622" s="10" t="b">
        <v>0</v>
      </c>
      <c r="T622" s="12"/>
      <c r="U622" s="9"/>
      <c r="V622" s="58"/>
      <c r="W622" s="57" t="b">
        <v>0</v>
      </c>
      <c r="X622" s="4"/>
      <c r="Y622" s="4"/>
      <c r="Z622" s="4"/>
      <c r="AA622" s="4"/>
      <c r="AB622" s="4"/>
      <c r="AC622" s="12"/>
      <c r="AD622" s="4"/>
      <c r="AE622" s="4"/>
    </row>
    <row r="623">
      <c r="A623" s="5" t="s">
        <v>22</v>
      </c>
      <c r="B623" s="80"/>
      <c r="C623" s="80"/>
      <c r="D623" s="80"/>
      <c r="E623" s="4"/>
      <c r="F623" s="4"/>
      <c r="G623" s="4"/>
      <c r="H623" s="4"/>
      <c r="I623" s="4"/>
      <c r="J623" s="10" t="b">
        <v>0</v>
      </c>
      <c r="K623" s="10" t="b">
        <v>0</v>
      </c>
      <c r="L623" s="10" t="b">
        <v>0</v>
      </c>
      <c r="M623" s="10" t="b">
        <v>0</v>
      </c>
      <c r="N623" s="10" t="b">
        <v>0</v>
      </c>
      <c r="O623" s="10" t="b">
        <v>0</v>
      </c>
      <c r="P623" s="10" t="b">
        <v>0</v>
      </c>
      <c r="Q623" s="10" t="b">
        <v>0</v>
      </c>
      <c r="R623" s="10" t="b">
        <v>0</v>
      </c>
      <c r="S623" s="10" t="b">
        <v>0</v>
      </c>
      <c r="T623" s="12"/>
      <c r="U623" s="9"/>
      <c r="V623" s="58"/>
      <c r="W623" s="57" t="b">
        <v>0</v>
      </c>
      <c r="X623" s="4"/>
      <c r="Y623" s="4"/>
      <c r="Z623" s="4"/>
      <c r="AA623" s="4"/>
      <c r="AB623" s="4"/>
      <c r="AC623" s="12"/>
      <c r="AD623" s="4"/>
      <c r="AE623" s="4"/>
    </row>
    <row r="624">
      <c r="A624" s="5" t="s">
        <v>22</v>
      </c>
      <c r="B624" s="80"/>
      <c r="C624" s="80"/>
      <c r="D624" s="80"/>
      <c r="E624" s="4"/>
      <c r="F624" s="4"/>
      <c r="G624" s="4"/>
      <c r="H624" s="4"/>
      <c r="I624" s="4"/>
      <c r="J624" s="10" t="b">
        <v>0</v>
      </c>
      <c r="K624" s="10" t="b">
        <v>0</v>
      </c>
      <c r="L624" s="10" t="b">
        <v>0</v>
      </c>
      <c r="M624" s="10" t="b">
        <v>0</v>
      </c>
      <c r="N624" s="10" t="b">
        <v>0</v>
      </c>
      <c r="O624" s="10" t="b">
        <v>0</v>
      </c>
      <c r="P624" s="10" t="b">
        <v>0</v>
      </c>
      <c r="Q624" s="10" t="b">
        <v>0</v>
      </c>
      <c r="R624" s="10" t="b">
        <v>0</v>
      </c>
      <c r="S624" s="10" t="b">
        <v>0</v>
      </c>
      <c r="T624" s="12"/>
      <c r="U624" s="9"/>
      <c r="V624" s="58"/>
      <c r="W624" s="57" t="b">
        <v>0</v>
      </c>
      <c r="X624" s="4"/>
      <c r="Y624" s="4"/>
      <c r="Z624" s="4"/>
      <c r="AA624" s="4"/>
      <c r="AB624" s="4"/>
      <c r="AC624" s="12"/>
      <c r="AD624" s="4"/>
      <c r="AE624" s="4"/>
    </row>
    <row r="625">
      <c r="A625" s="5" t="s">
        <v>22</v>
      </c>
      <c r="B625" s="80"/>
      <c r="C625" s="80"/>
      <c r="D625" s="80"/>
      <c r="E625" s="4"/>
      <c r="F625" s="4"/>
      <c r="G625" s="4"/>
      <c r="H625" s="4"/>
      <c r="I625" s="4"/>
      <c r="J625" s="10" t="b">
        <v>0</v>
      </c>
      <c r="K625" s="10" t="b">
        <v>0</v>
      </c>
      <c r="L625" s="10" t="b">
        <v>0</v>
      </c>
      <c r="M625" s="10" t="b">
        <v>0</v>
      </c>
      <c r="N625" s="10" t="b">
        <v>0</v>
      </c>
      <c r="O625" s="10" t="b">
        <v>0</v>
      </c>
      <c r="P625" s="10" t="b">
        <v>0</v>
      </c>
      <c r="Q625" s="10" t="b">
        <v>0</v>
      </c>
      <c r="R625" s="10" t="b">
        <v>0</v>
      </c>
      <c r="S625" s="10" t="b">
        <v>0</v>
      </c>
      <c r="T625" s="12"/>
      <c r="U625" s="9"/>
      <c r="V625" s="58"/>
      <c r="W625" s="57" t="b">
        <v>0</v>
      </c>
      <c r="X625" s="4"/>
      <c r="Y625" s="4"/>
      <c r="Z625" s="4"/>
      <c r="AA625" s="4"/>
      <c r="AB625" s="4"/>
      <c r="AC625" s="12"/>
      <c r="AD625" s="4"/>
      <c r="AE625" s="4"/>
    </row>
    <row r="626">
      <c r="A626" s="5" t="s">
        <v>22</v>
      </c>
      <c r="B626" s="80"/>
      <c r="C626" s="80"/>
      <c r="D626" s="80"/>
      <c r="E626" s="4"/>
      <c r="F626" s="4"/>
      <c r="G626" s="4"/>
      <c r="H626" s="4"/>
      <c r="I626" s="4"/>
      <c r="J626" s="10" t="b">
        <v>0</v>
      </c>
      <c r="K626" s="10" t="b">
        <v>0</v>
      </c>
      <c r="L626" s="10" t="b">
        <v>0</v>
      </c>
      <c r="M626" s="10" t="b">
        <v>0</v>
      </c>
      <c r="N626" s="10" t="b">
        <v>0</v>
      </c>
      <c r="O626" s="10" t="b">
        <v>0</v>
      </c>
      <c r="P626" s="10" t="b">
        <v>0</v>
      </c>
      <c r="Q626" s="10" t="b">
        <v>0</v>
      </c>
      <c r="R626" s="10" t="b">
        <v>0</v>
      </c>
      <c r="S626" s="10" t="b">
        <v>0</v>
      </c>
      <c r="T626" s="12"/>
      <c r="U626" s="9"/>
      <c r="V626" s="58"/>
      <c r="W626" s="57" t="b">
        <v>0</v>
      </c>
      <c r="X626" s="4"/>
      <c r="Y626" s="4"/>
      <c r="Z626" s="4"/>
      <c r="AA626" s="4"/>
      <c r="AB626" s="4"/>
      <c r="AC626" s="12"/>
      <c r="AD626" s="4"/>
      <c r="AE626" s="4"/>
    </row>
    <row r="627">
      <c r="A627" s="5" t="s">
        <v>22</v>
      </c>
      <c r="B627" s="80"/>
      <c r="C627" s="80"/>
      <c r="D627" s="80"/>
      <c r="E627" s="4"/>
      <c r="F627" s="4"/>
      <c r="G627" s="4"/>
      <c r="H627" s="4"/>
      <c r="I627" s="4"/>
      <c r="J627" s="10" t="b">
        <v>0</v>
      </c>
      <c r="K627" s="10" t="b">
        <v>0</v>
      </c>
      <c r="L627" s="10" t="b">
        <v>0</v>
      </c>
      <c r="M627" s="10" t="b">
        <v>0</v>
      </c>
      <c r="N627" s="10" t="b">
        <v>0</v>
      </c>
      <c r="O627" s="10" t="b">
        <v>0</v>
      </c>
      <c r="P627" s="10" t="b">
        <v>0</v>
      </c>
      <c r="Q627" s="10" t="b">
        <v>0</v>
      </c>
      <c r="R627" s="10" t="b">
        <v>0</v>
      </c>
      <c r="S627" s="10" t="b">
        <v>0</v>
      </c>
      <c r="T627" s="12"/>
      <c r="U627" s="9"/>
      <c r="V627" s="58"/>
      <c r="W627" s="57" t="b">
        <v>0</v>
      </c>
      <c r="X627" s="4"/>
      <c r="Y627" s="4"/>
      <c r="Z627" s="4"/>
      <c r="AA627" s="4"/>
      <c r="AB627" s="4"/>
      <c r="AC627" s="12"/>
      <c r="AD627" s="4"/>
      <c r="AE627" s="4"/>
    </row>
    <row r="628">
      <c r="A628" s="5" t="s">
        <v>22</v>
      </c>
      <c r="B628" s="80"/>
      <c r="C628" s="80"/>
      <c r="D628" s="80"/>
      <c r="E628" s="4"/>
      <c r="F628" s="4"/>
      <c r="G628" s="4"/>
      <c r="H628" s="4"/>
      <c r="I628" s="4"/>
      <c r="J628" s="10" t="b">
        <v>0</v>
      </c>
      <c r="K628" s="10" t="b">
        <v>0</v>
      </c>
      <c r="L628" s="10" t="b">
        <v>0</v>
      </c>
      <c r="M628" s="10" t="b">
        <v>0</v>
      </c>
      <c r="N628" s="10" t="b">
        <v>0</v>
      </c>
      <c r="O628" s="10" t="b">
        <v>0</v>
      </c>
      <c r="P628" s="10" t="b">
        <v>0</v>
      </c>
      <c r="Q628" s="10" t="b">
        <v>0</v>
      </c>
      <c r="R628" s="10" t="b">
        <v>0</v>
      </c>
      <c r="S628" s="10" t="b">
        <v>0</v>
      </c>
      <c r="T628" s="12"/>
      <c r="U628" s="9"/>
      <c r="V628" s="58"/>
      <c r="W628" s="57" t="b">
        <v>0</v>
      </c>
      <c r="X628" s="4"/>
      <c r="Y628" s="4"/>
      <c r="Z628" s="4"/>
      <c r="AA628" s="4"/>
      <c r="AB628" s="4"/>
      <c r="AC628" s="12"/>
      <c r="AD628" s="4"/>
      <c r="AE628" s="4"/>
    </row>
    <row r="629">
      <c r="A629" s="5" t="s">
        <v>22</v>
      </c>
      <c r="B629" s="80"/>
      <c r="C629" s="80"/>
      <c r="D629" s="80"/>
      <c r="E629" s="4"/>
      <c r="F629" s="4"/>
      <c r="G629" s="4"/>
      <c r="H629" s="4"/>
      <c r="I629" s="4"/>
      <c r="J629" s="10" t="b">
        <v>0</v>
      </c>
      <c r="K629" s="10" t="b">
        <v>0</v>
      </c>
      <c r="L629" s="10" t="b">
        <v>0</v>
      </c>
      <c r="M629" s="10" t="b">
        <v>0</v>
      </c>
      <c r="N629" s="10" t="b">
        <v>0</v>
      </c>
      <c r="O629" s="10" t="b">
        <v>0</v>
      </c>
      <c r="P629" s="10" t="b">
        <v>0</v>
      </c>
      <c r="Q629" s="10" t="b">
        <v>0</v>
      </c>
      <c r="R629" s="10" t="b">
        <v>0</v>
      </c>
      <c r="S629" s="10" t="b">
        <v>0</v>
      </c>
      <c r="T629" s="12"/>
      <c r="U629" s="9"/>
      <c r="V629" s="58"/>
      <c r="W629" s="57" t="b">
        <v>0</v>
      </c>
      <c r="X629" s="4"/>
      <c r="Y629" s="4"/>
      <c r="Z629" s="4"/>
      <c r="AA629" s="4"/>
      <c r="AB629" s="4"/>
      <c r="AC629" s="12"/>
      <c r="AD629" s="4"/>
      <c r="AE629" s="4"/>
    </row>
    <row r="630">
      <c r="A630" s="5" t="s">
        <v>22</v>
      </c>
      <c r="B630" s="80"/>
      <c r="C630" s="80"/>
      <c r="D630" s="80"/>
      <c r="E630" s="4"/>
      <c r="F630" s="4"/>
      <c r="G630" s="4"/>
      <c r="H630" s="4"/>
      <c r="I630" s="4"/>
      <c r="J630" s="10" t="b">
        <v>0</v>
      </c>
      <c r="K630" s="10" t="b">
        <v>0</v>
      </c>
      <c r="L630" s="10" t="b">
        <v>0</v>
      </c>
      <c r="M630" s="10" t="b">
        <v>0</v>
      </c>
      <c r="N630" s="10" t="b">
        <v>0</v>
      </c>
      <c r="O630" s="10" t="b">
        <v>0</v>
      </c>
      <c r="P630" s="10" t="b">
        <v>0</v>
      </c>
      <c r="Q630" s="10" t="b">
        <v>0</v>
      </c>
      <c r="R630" s="10" t="b">
        <v>0</v>
      </c>
      <c r="S630" s="10" t="b">
        <v>0</v>
      </c>
      <c r="T630" s="12"/>
      <c r="U630" s="9"/>
      <c r="V630" s="58"/>
      <c r="W630" s="57" t="b">
        <v>0</v>
      </c>
      <c r="X630" s="4"/>
      <c r="Y630" s="4"/>
      <c r="Z630" s="4"/>
      <c r="AA630" s="4"/>
      <c r="AB630" s="4"/>
      <c r="AC630" s="12"/>
      <c r="AD630" s="4"/>
      <c r="AE630" s="4"/>
    </row>
    <row r="631">
      <c r="A631" s="5" t="s">
        <v>22</v>
      </c>
      <c r="B631" s="80"/>
      <c r="C631" s="80"/>
      <c r="D631" s="80"/>
      <c r="E631" s="4"/>
      <c r="F631" s="4"/>
      <c r="G631" s="4"/>
      <c r="H631" s="4"/>
      <c r="I631" s="4"/>
      <c r="J631" s="10" t="b">
        <v>0</v>
      </c>
      <c r="K631" s="10" t="b">
        <v>0</v>
      </c>
      <c r="L631" s="10" t="b">
        <v>0</v>
      </c>
      <c r="M631" s="10" t="b">
        <v>0</v>
      </c>
      <c r="N631" s="10" t="b">
        <v>0</v>
      </c>
      <c r="O631" s="10" t="b">
        <v>0</v>
      </c>
      <c r="P631" s="10" t="b">
        <v>0</v>
      </c>
      <c r="Q631" s="10" t="b">
        <v>0</v>
      </c>
      <c r="R631" s="10" t="b">
        <v>0</v>
      </c>
      <c r="S631" s="10" t="b">
        <v>0</v>
      </c>
      <c r="T631" s="12"/>
      <c r="U631" s="9"/>
      <c r="V631" s="58"/>
      <c r="W631" s="57" t="b">
        <v>0</v>
      </c>
      <c r="X631" s="4"/>
      <c r="Y631" s="4"/>
      <c r="Z631" s="4"/>
      <c r="AA631" s="4"/>
      <c r="AB631" s="4"/>
      <c r="AC631" s="12"/>
      <c r="AD631" s="4"/>
      <c r="AE631" s="4"/>
    </row>
    <row r="632">
      <c r="A632" s="5" t="s">
        <v>22</v>
      </c>
      <c r="B632" s="80"/>
      <c r="C632" s="80"/>
      <c r="D632" s="80"/>
      <c r="E632" s="4"/>
      <c r="F632" s="4"/>
      <c r="G632" s="4"/>
      <c r="H632" s="4"/>
      <c r="I632" s="4"/>
      <c r="J632" s="10" t="b">
        <v>0</v>
      </c>
      <c r="K632" s="10" t="b">
        <v>0</v>
      </c>
      <c r="L632" s="10" t="b">
        <v>0</v>
      </c>
      <c r="M632" s="10" t="b">
        <v>0</v>
      </c>
      <c r="N632" s="10" t="b">
        <v>0</v>
      </c>
      <c r="O632" s="10" t="b">
        <v>0</v>
      </c>
      <c r="P632" s="10" t="b">
        <v>0</v>
      </c>
      <c r="Q632" s="10" t="b">
        <v>0</v>
      </c>
      <c r="R632" s="10" t="b">
        <v>0</v>
      </c>
      <c r="S632" s="10" t="b">
        <v>0</v>
      </c>
      <c r="T632" s="12"/>
      <c r="U632" s="9"/>
      <c r="V632" s="58"/>
      <c r="W632" s="57" t="b">
        <v>0</v>
      </c>
      <c r="X632" s="4"/>
      <c r="Y632" s="4"/>
      <c r="Z632" s="4"/>
      <c r="AA632" s="4"/>
      <c r="AB632" s="4"/>
      <c r="AC632" s="12"/>
      <c r="AD632" s="4"/>
      <c r="AE632" s="4"/>
    </row>
    <row r="633">
      <c r="A633" s="5" t="s">
        <v>22</v>
      </c>
      <c r="B633" s="80"/>
      <c r="C633" s="80"/>
      <c r="D633" s="80"/>
      <c r="E633" s="4"/>
      <c r="F633" s="4"/>
      <c r="G633" s="4"/>
      <c r="H633" s="4"/>
      <c r="I633" s="4"/>
      <c r="J633" s="10" t="b">
        <v>0</v>
      </c>
      <c r="K633" s="10" t="b">
        <v>0</v>
      </c>
      <c r="L633" s="10" t="b">
        <v>0</v>
      </c>
      <c r="M633" s="10" t="b">
        <v>0</v>
      </c>
      <c r="N633" s="10" t="b">
        <v>0</v>
      </c>
      <c r="O633" s="10" t="b">
        <v>0</v>
      </c>
      <c r="P633" s="10" t="b">
        <v>0</v>
      </c>
      <c r="Q633" s="10" t="b">
        <v>0</v>
      </c>
      <c r="R633" s="10" t="b">
        <v>0</v>
      </c>
      <c r="S633" s="10" t="b">
        <v>0</v>
      </c>
      <c r="T633" s="12"/>
      <c r="U633" s="9"/>
      <c r="V633" s="58"/>
      <c r="W633" s="57" t="b">
        <v>0</v>
      </c>
      <c r="X633" s="4"/>
      <c r="Y633" s="4"/>
      <c r="Z633" s="4"/>
      <c r="AA633" s="4"/>
      <c r="AB633" s="4"/>
      <c r="AC633" s="12"/>
      <c r="AD633" s="4"/>
      <c r="AE633" s="4"/>
    </row>
    <row r="634">
      <c r="A634" s="5" t="s">
        <v>22</v>
      </c>
      <c r="B634" s="80"/>
      <c r="C634" s="80"/>
      <c r="D634" s="80"/>
      <c r="E634" s="4"/>
      <c r="F634" s="4"/>
      <c r="G634" s="4"/>
      <c r="H634" s="4"/>
      <c r="I634" s="4"/>
      <c r="J634" s="10" t="b">
        <v>0</v>
      </c>
      <c r="K634" s="10" t="b">
        <v>0</v>
      </c>
      <c r="L634" s="10" t="b">
        <v>0</v>
      </c>
      <c r="M634" s="10" t="b">
        <v>0</v>
      </c>
      <c r="N634" s="10" t="b">
        <v>0</v>
      </c>
      <c r="O634" s="10" t="b">
        <v>0</v>
      </c>
      <c r="P634" s="10" t="b">
        <v>0</v>
      </c>
      <c r="Q634" s="10" t="b">
        <v>0</v>
      </c>
      <c r="R634" s="10" t="b">
        <v>0</v>
      </c>
      <c r="S634" s="10" t="b">
        <v>0</v>
      </c>
      <c r="T634" s="12"/>
      <c r="U634" s="9"/>
      <c r="V634" s="58"/>
      <c r="W634" s="57" t="b">
        <v>0</v>
      </c>
      <c r="X634" s="4"/>
      <c r="Y634" s="4"/>
      <c r="Z634" s="4"/>
      <c r="AA634" s="4"/>
      <c r="AB634" s="4"/>
      <c r="AC634" s="12"/>
      <c r="AD634" s="4"/>
      <c r="AE634" s="4"/>
    </row>
    <row r="635">
      <c r="A635" s="5" t="s">
        <v>22</v>
      </c>
      <c r="B635" s="80"/>
      <c r="C635" s="80"/>
      <c r="D635" s="80"/>
      <c r="E635" s="4"/>
      <c r="F635" s="4"/>
      <c r="G635" s="4"/>
      <c r="H635" s="4"/>
      <c r="I635" s="4"/>
      <c r="J635" s="10" t="b">
        <v>0</v>
      </c>
      <c r="K635" s="10" t="b">
        <v>0</v>
      </c>
      <c r="L635" s="10" t="b">
        <v>0</v>
      </c>
      <c r="M635" s="10" t="b">
        <v>0</v>
      </c>
      <c r="N635" s="10" t="b">
        <v>0</v>
      </c>
      <c r="O635" s="10" t="b">
        <v>0</v>
      </c>
      <c r="P635" s="10" t="b">
        <v>0</v>
      </c>
      <c r="Q635" s="10" t="b">
        <v>0</v>
      </c>
      <c r="R635" s="10" t="b">
        <v>0</v>
      </c>
      <c r="S635" s="10" t="b">
        <v>0</v>
      </c>
      <c r="T635" s="12"/>
      <c r="U635" s="9"/>
      <c r="V635" s="58"/>
      <c r="W635" s="57" t="b">
        <v>0</v>
      </c>
      <c r="X635" s="4"/>
      <c r="Y635" s="4"/>
      <c r="Z635" s="4"/>
      <c r="AA635" s="4"/>
      <c r="AB635" s="4"/>
      <c r="AC635" s="12"/>
      <c r="AD635" s="4"/>
      <c r="AE635" s="4"/>
    </row>
    <row r="636">
      <c r="A636" s="5" t="s">
        <v>22</v>
      </c>
      <c r="B636" s="80"/>
      <c r="C636" s="80"/>
      <c r="D636" s="80"/>
      <c r="E636" s="4"/>
      <c r="F636" s="4"/>
      <c r="G636" s="4"/>
      <c r="H636" s="4"/>
      <c r="I636" s="4"/>
      <c r="J636" s="10" t="b">
        <v>0</v>
      </c>
      <c r="K636" s="10" t="b">
        <v>0</v>
      </c>
      <c r="L636" s="10" t="b">
        <v>0</v>
      </c>
      <c r="M636" s="10" t="b">
        <v>0</v>
      </c>
      <c r="N636" s="10" t="b">
        <v>0</v>
      </c>
      <c r="O636" s="10" t="b">
        <v>0</v>
      </c>
      <c r="P636" s="10" t="b">
        <v>0</v>
      </c>
      <c r="Q636" s="10" t="b">
        <v>0</v>
      </c>
      <c r="R636" s="10" t="b">
        <v>0</v>
      </c>
      <c r="S636" s="10" t="b">
        <v>0</v>
      </c>
      <c r="T636" s="12"/>
      <c r="U636" s="9"/>
      <c r="V636" s="58"/>
      <c r="W636" s="57" t="b">
        <v>0</v>
      </c>
      <c r="X636" s="4"/>
      <c r="Y636" s="4"/>
      <c r="Z636" s="4"/>
      <c r="AA636" s="4"/>
      <c r="AB636" s="4"/>
      <c r="AC636" s="12"/>
      <c r="AD636" s="4"/>
      <c r="AE636" s="4"/>
    </row>
    <row r="637">
      <c r="A637" s="5" t="s">
        <v>22</v>
      </c>
      <c r="B637" s="80"/>
      <c r="C637" s="80"/>
      <c r="D637" s="80"/>
      <c r="E637" s="4"/>
      <c r="F637" s="4"/>
      <c r="G637" s="4"/>
      <c r="H637" s="4"/>
      <c r="I637" s="4"/>
      <c r="J637" s="10" t="b">
        <v>0</v>
      </c>
      <c r="K637" s="10" t="b">
        <v>0</v>
      </c>
      <c r="L637" s="10" t="b">
        <v>0</v>
      </c>
      <c r="M637" s="10" t="b">
        <v>0</v>
      </c>
      <c r="N637" s="10" t="b">
        <v>0</v>
      </c>
      <c r="O637" s="10" t="b">
        <v>0</v>
      </c>
      <c r="P637" s="10" t="b">
        <v>0</v>
      </c>
      <c r="Q637" s="10" t="b">
        <v>0</v>
      </c>
      <c r="R637" s="10" t="b">
        <v>0</v>
      </c>
      <c r="S637" s="10" t="b">
        <v>0</v>
      </c>
      <c r="T637" s="12"/>
      <c r="U637" s="9"/>
      <c r="V637" s="58"/>
      <c r="W637" s="57" t="b">
        <v>0</v>
      </c>
      <c r="X637" s="4"/>
      <c r="Y637" s="4"/>
      <c r="Z637" s="4"/>
      <c r="AA637" s="4"/>
      <c r="AB637" s="4"/>
      <c r="AC637" s="12"/>
      <c r="AD637" s="4"/>
      <c r="AE637" s="4"/>
    </row>
    <row r="638">
      <c r="A638" s="5" t="s">
        <v>22</v>
      </c>
      <c r="B638" s="80"/>
      <c r="C638" s="80"/>
      <c r="D638" s="80"/>
      <c r="E638" s="4"/>
      <c r="F638" s="4"/>
      <c r="G638" s="4"/>
      <c r="H638" s="4"/>
      <c r="I638" s="4"/>
      <c r="J638" s="10" t="b">
        <v>0</v>
      </c>
      <c r="K638" s="10" t="b">
        <v>0</v>
      </c>
      <c r="L638" s="10" t="b">
        <v>0</v>
      </c>
      <c r="M638" s="10" t="b">
        <v>0</v>
      </c>
      <c r="N638" s="10" t="b">
        <v>0</v>
      </c>
      <c r="O638" s="10" t="b">
        <v>0</v>
      </c>
      <c r="P638" s="10" t="b">
        <v>0</v>
      </c>
      <c r="Q638" s="10" t="b">
        <v>0</v>
      </c>
      <c r="R638" s="10" t="b">
        <v>0</v>
      </c>
      <c r="S638" s="10" t="b">
        <v>0</v>
      </c>
      <c r="T638" s="12"/>
      <c r="U638" s="9"/>
      <c r="V638" s="58"/>
      <c r="W638" s="57" t="b">
        <v>0</v>
      </c>
      <c r="X638" s="4"/>
      <c r="Y638" s="4"/>
      <c r="Z638" s="4"/>
      <c r="AA638" s="4"/>
      <c r="AB638" s="4"/>
      <c r="AC638" s="12"/>
      <c r="AD638" s="4"/>
      <c r="AE638" s="4"/>
    </row>
    <row r="639">
      <c r="A639" s="5" t="s">
        <v>22</v>
      </c>
      <c r="B639" s="80"/>
      <c r="C639" s="80"/>
      <c r="D639" s="80"/>
      <c r="E639" s="4"/>
      <c r="F639" s="4"/>
      <c r="G639" s="4"/>
      <c r="H639" s="4"/>
      <c r="I639" s="4"/>
      <c r="J639" s="10" t="b">
        <v>0</v>
      </c>
      <c r="K639" s="10" t="b">
        <v>0</v>
      </c>
      <c r="L639" s="10" t="b">
        <v>0</v>
      </c>
      <c r="M639" s="10" t="b">
        <v>0</v>
      </c>
      <c r="N639" s="10" t="b">
        <v>0</v>
      </c>
      <c r="O639" s="10" t="b">
        <v>0</v>
      </c>
      <c r="P639" s="10" t="b">
        <v>0</v>
      </c>
      <c r="Q639" s="10" t="b">
        <v>0</v>
      </c>
      <c r="R639" s="10" t="b">
        <v>0</v>
      </c>
      <c r="S639" s="10" t="b">
        <v>0</v>
      </c>
      <c r="T639" s="12"/>
      <c r="U639" s="9"/>
      <c r="V639" s="58"/>
      <c r="W639" s="57" t="b">
        <v>0</v>
      </c>
      <c r="X639" s="4"/>
      <c r="Y639" s="4"/>
      <c r="Z639" s="4"/>
      <c r="AA639" s="4"/>
      <c r="AB639" s="4"/>
      <c r="AC639" s="12"/>
      <c r="AD639" s="4"/>
      <c r="AE639" s="4"/>
    </row>
    <row r="640">
      <c r="A640" s="5" t="s">
        <v>22</v>
      </c>
      <c r="B640" s="81"/>
      <c r="C640" s="80"/>
      <c r="D640" s="80"/>
      <c r="E640" s="4"/>
      <c r="F640" s="4"/>
      <c r="G640" s="4"/>
      <c r="H640" s="4"/>
      <c r="I640" s="4"/>
      <c r="J640" s="10" t="b">
        <v>0</v>
      </c>
      <c r="K640" s="10" t="b">
        <v>0</v>
      </c>
      <c r="L640" s="10" t="b">
        <v>0</v>
      </c>
      <c r="M640" s="10" t="b">
        <v>0</v>
      </c>
      <c r="N640" s="10" t="b">
        <v>0</v>
      </c>
      <c r="O640" s="10" t="b">
        <v>0</v>
      </c>
      <c r="P640" s="10" t="b">
        <v>0</v>
      </c>
      <c r="Q640" s="10" t="b">
        <v>0</v>
      </c>
      <c r="R640" s="10" t="b">
        <v>0</v>
      </c>
      <c r="S640" s="10" t="b">
        <v>0</v>
      </c>
      <c r="T640" s="12"/>
      <c r="U640" s="9"/>
      <c r="V640" s="58"/>
      <c r="W640" s="57" t="b">
        <v>0</v>
      </c>
      <c r="X640" s="4"/>
      <c r="Y640" s="4"/>
      <c r="Z640" s="4"/>
      <c r="AA640" s="4"/>
      <c r="AB640" s="4"/>
      <c r="AC640" s="12"/>
      <c r="AD640" s="4"/>
      <c r="AE640" s="4"/>
    </row>
    <row r="641">
      <c r="A641" s="5" t="s">
        <v>22</v>
      </c>
      <c r="B641" s="81"/>
      <c r="C641" s="80"/>
      <c r="D641" s="80"/>
      <c r="E641" s="4"/>
      <c r="F641" s="4"/>
      <c r="G641" s="4"/>
      <c r="H641" s="4"/>
      <c r="I641" s="4"/>
      <c r="J641" s="10" t="b">
        <v>0</v>
      </c>
      <c r="K641" s="10" t="b">
        <v>0</v>
      </c>
      <c r="L641" s="10" t="b">
        <v>0</v>
      </c>
      <c r="M641" s="10" t="b">
        <v>0</v>
      </c>
      <c r="N641" s="10" t="b">
        <v>0</v>
      </c>
      <c r="O641" s="10" t="b">
        <v>0</v>
      </c>
      <c r="P641" s="10" t="b">
        <v>0</v>
      </c>
      <c r="Q641" s="10" t="b">
        <v>0</v>
      </c>
      <c r="R641" s="10" t="b">
        <v>0</v>
      </c>
      <c r="S641" s="10" t="b">
        <v>0</v>
      </c>
      <c r="T641" s="12"/>
      <c r="U641" s="9"/>
      <c r="V641" s="58"/>
      <c r="W641" s="57" t="b">
        <v>0</v>
      </c>
      <c r="X641" s="4"/>
      <c r="Y641" s="4"/>
      <c r="Z641" s="4"/>
      <c r="AA641" s="4"/>
      <c r="AB641" s="4"/>
      <c r="AC641" s="12"/>
      <c r="AD641" s="4"/>
      <c r="AE641" s="4"/>
    </row>
    <row r="642">
      <c r="A642" s="5" t="s">
        <v>22</v>
      </c>
      <c r="B642" s="80"/>
      <c r="C642" s="80"/>
      <c r="D642" s="80"/>
      <c r="E642" s="4"/>
      <c r="F642" s="4"/>
      <c r="G642" s="4"/>
      <c r="H642" s="4"/>
      <c r="I642" s="4"/>
      <c r="J642" s="10" t="b">
        <v>0</v>
      </c>
      <c r="K642" s="10" t="b">
        <v>0</v>
      </c>
      <c r="L642" s="10" t="b">
        <v>0</v>
      </c>
      <c r="M642" s="10" t="b">
        <v>0</v>
      </c>
      <c r="N642" s="10" t="b">
        <v>0</v>
      </c>
      <c r="O642" s="10" t="b">
        <v>0</v>
      </c>
      <c r="P642" s="10" t="b">
        <v>0</v>
      </c>
      <c r="Q642" s="10" t="b">
        <v>0</v>
      </c>
      <c r="R642" s="10" t="b">
        <v>0</v>
      </c>
      <c r="S642" s="10" t="b">
        <v>0</v>
      </c>
      <c r="T642" s="12"/>
      <c r="U642" s="9"/>
      <c r="V642" s="58"/>
      <c r="W642" s="57" t="b">
        <v>0</v>
      </c>
      <c r="X642" s="4"/>
      <c r="Y642" s="4"/>
      <c r="Z642" s="4"/>
      <c r="AA642" s="4"/>
      <c r="AB642" s="4"/>
      <c r="AC642" s="12"/>
      <c r="AD642" s="4"/>
      <c r="AE642" s="4"/>
    </row>
    <row r="643">
      <c r="A643" s="5" t="s">
        <v>22</v>
      </c>
      <c r="B643" s="80"/>
      <c r="C643" s="80"/>
      <c r="D643" s="80"/>
      <c r="E643" s="4"/>
      <c r="F643" s="4"/>
      <c r="G643" s="4"/>
      <c r="H643" s="4"/>
      <c r="I643" s="4"/>
      <c r="J643" s="10" t="b">
        <v>0</v>
      </c>
      <c r="K643" s="10" t="b">
        <v>0</v>
      </c>
      <c r="L643" s="10" t="b">
        <v>0</v>
      </c>
      <c r="M643" s="10" t="b">
        <v>0</v>
      </c>
      <c r="N643" s="10" t="b">
        <v>0</v>
      </c>
      <c r="O643" s="10" t="b">
        <v>0</v>
      </c>
      <c r="P643" s="10" t="b">
        <v>0</v>
      </c>
      <c r="Q643" s="10" t="b">
        <v>0</v>
      </c>
      <c r="R643" s="10" t="b">
        <v>0</v>
      </c>
      <c r="S643" s="10" t="b">
        <v>0</v>
      </c>
      <c r="T643" s="12"/>
      <c r="U643" s="9"/>
      <c r="V643" s="58"/>
      <c r="W643" s="57" t="b">
        <v>0</v>
      </c>
      <c r="X643" s="4"/>
      <c r="Y643" s="4"/>
      <c r="Z643" s="4"/>
      <c r="AA643" s="4"/>
      <c r="AB643" s="4"/>
      <c r="AC643" s="12"/>
      <c r="AD643" s="4"/>
      <c r="AE643" s="4"/>
    </row>
    <row r="644">
      <c r="A644" s="5" t="s">
        <v>22</v>
      </c>
      <c r="B644" s="80"/>
      <c r="C644" s="80"/>
      <c r="D644" s="80"/>
      <c r="E644" s="4"/>
      <c r="F644" s="4"/>
      <c r="G644" s="4"/>
      <c r="H644" s="4"/>
      <c r="I644" s="4"/>
      <c r="J644" s="10" t="b">
        <v>0</v>
      </c>
      <c r="K644" s="10" t="b">
        <v>0</v>
      </c>
      <c r="L644" s="10" t="b">
        <v>0</v>
      </c>
      <c r="M644" s="10" t="b">
        <v>0</v>
      </c>
      <c r="N644" s="10" t="b">
        <v>0</v>
      </c>
      <c r="O644" s="10" t="b">
        <v>0</v>
      </c>
      <c r="P644" s="10" t="b">
        <v>0</v>
      </c>
      <c r="Q644" s="10" t="b">
        <v>0</v>
      </c>
      <c r="R644" s="10" t="b">
        <v>0</v>
      </c>
      <c r="S644" s="10" t="b">
        <v>0</v>
      </c>
      <c r="T644" s="12"/>
      <c r="U644" s="9"/>
      <c r="V644" s="58"/>
      <c r="W644" s="57" t="b">
        <v>0</v>
      </c>
      <c r="X644" s="4"/>
      <c r="Y644" s="4"/>
      <c r="Z644" s="4"/>
      <c r="AA644" s="4"/>
      <c r="AB644" s="4"/>
      <c r="AC644" s="12"/>
      <c r="AD644" s="4"/>
      <c r="AE644" s="4"/>
    </row>
    <row r="645">
      <c r="A645" s="5" t="s">
        <v>22</v>
      </c>
      <c r="B645" s="80"/>
      <c r="C645" s="80"/>
      <c r="D645" s="80"/>
      <c r="E645" s="4"/>
      <c r="F645" s="4"/>
      <c r="G645" s="4"/>
      <c r="H645" s="4"/>
      <c r="I645" s="4"/>
      <c r="J645" s="10" t="b">
        <v>0</v>
      </c>
      <c r="K645" s="10" t="b">
        <v>0</v>
      </c>
      <c r="L645" s="10" t="b">
        <v>0</v>
      </c>
      <c r="M645" s="10" t="b">
        <v>0</v>
      </c>
      <c r="N645" s="10" t="b">
        <v>0</v>
      </c>
      <c r="O645" s="10" t="b">
        <v>0</v>
      </c>
      <c r="P645" s="10" t="b">
        <v>0</v>
      </c>
      <c r="Q645" s="10" t="b">
        <v>0</v>
      </c>
      <c r="R645" s="10" t="b">
        <v>0</v>
      </c>
      <c r="S645" s="10" t="b">
        <v>0</v>
      </c>
      <c r="T645" s="12"/>
      <c r="U645" s="9"/>
      <c r="V645" s="58"/>
      <c r="W645" s="57" t="b">
        <v>0</v>
      </c>
      <c r="X645" s="4"/>
      <c r="Y645" s="4"/>
      <c r="Z645" s="4"/>
      <c r="AA645" s="4"/>
      <c r="AB645" s="4"/>
      <c r="AC645" s="12"/>
      <c r="AD645" s="4"/>
      <c r="AE645" s="4"/>
    </row>
    <row r="646">
      <c r="A646" s="5" t="s">
        <v>22</v>
      </c>
      <c r="B646" s="80"/>
      <c r="C646" s="80"/>
      <c r="D646" s="80"/>
      <c r="E646" s="4"/>
      <c r="F646" s="4"/>
      <c r="G646" s="4"/>
      <c r="H646" s="4"/>
      <c r="I646" s="4"/>
      <c r="J646" s="10" t="b">
        <v>0</v>
      </c>
      <c r="K646" s="10" t="b">
        <v>0</v>
      </c>
      <c r="L646" s="10" t="b">
        <v>0</v>
      </c>
      <c r="M646" s="10" t="b">
        <v>0</v>
      </c>
      <c r="N646" s="10" t="b">
        <v>0</v>
      </c>
      <c r="O646" s="10" t="b">
        <v>0</v>
      </c>
      <c r="P646" s="10" t="b">
        <v>0</v>
      </c>
      <c r="Q646" s="10" t="b">
        <v>0</v>
      </c>
      <c r="R646" s="10" t="b">
        <v>0</v>
      </c>
      <c r="S646" s="10" t="b">
        <v>0</v>
      </c>
      <c r="T646" s="12"/>
      <c r="U646" s="9"/>
      <c r="V646" s="58"/>
      <c r="W646" s="57" t="b">
        <v>0</v>
      </c>
      <c r="X646" s="4"/>
      <c r="Y646" s="4"/>
      <c r="Z646" s="4"/>
      <c r="AA646" s="4"/>
      <c r="AB646" s="4"/>
      <c r="AC646" s="12"/>
      <c r="AD646" s="4"/>
      <c r="AE646" s="4"/>
    </row>
    <row r="647">
      <c r="A647" s="5" t="s">
        <v>22</v>
      </c>
      <c r="B647" s="80"/>
      <c r="C647" s="80"/>
      <c r="D647" s="80"/>
      <c r="E647" s="4"/>
      <c r="F647" s="4"/>
      <c r="G647" s="4"/>
      <c r="H647" s="4"/>
      <c r="I647" s="4"/>
      <c r="J647" s="10" t="b">
        <v>0</v>
      </c>
      <c r="K647" s="10" t="b">
        <v>0</v>
      </c>
      <c r="L647" s="10" t="b">
        <v>0</v>
      </c>
      <c r="M647" s="10" t="b">
        <v>0</v>
      </c>
      <c r="N647" s="10" t="b">
        <v>0</v>
      </c>
      <c r="O647" s="10" t="b">
        <v>0</v>
      </c>
      <c r="P647" s="10" t="b">
        <v>0</v>
      </c>
      <c r="Q647" s="10" t="b">
        <v>0</v>
      </c>
      <c r="R647" s="10" t="b">
        <v>0</v>
      </c>
      <c r="S647" s="10" t="b">
        <v>0</v>
      </c>
      <c r="T647" s="12"/>
      <c r="U647" s="9"/>
      <c r="V647" s="58"/>
      <c r="W647" s="57" t="b">
        <v>0</v>
      </c>
      <c r="X647" s="4"/>
      <c r="Y647" s="4"/>
      <c r="Z647" s="4"/>
      <c r="AA647" s="4"/>
      <c r="AB647" s="4"/>
      <c r="AC647" s="12"/>
      <c r="AD647" s="4"/>
      <c r="AE647" s="4"/>
    </row>
    <row r="648">
      <c r="A648" s="5" t="s">
        <v>22</v>
      </c>
      <c r="B648" s="80"/>
      <c r="C648" s="80"/>
      <c r="D648" s="80"/>
      <c r="E648" s="4"/>
      <c r="F648" s="4"/>
      <c r="G648" s="4"/>
      <c r="H648" s="4"/>
      <c r="I648" s="4"/>
      <c r="J648" s="10" t="b">
        <v>0</v>
      </c>
      <c r="K648" s="10" t="b">
        <v>0</v>
      </c>
      <c r="L648" s="10" t="b">
        <v>0</v>
      </c>
      <c r="M648" s="10" t="b">
        <v>0</v>
      </c>
      <c r="N648" s="10" t="b">
        <v>0</v>
      </c>
      <c r="O648" s="10" t="b">
        <v>0</v>
      </c>
      <c r="P648" s="10" t="b">
        <v>0</v>
      </c>
      <c r="Q648" s="10" t="b">
        <v>0</v>
      </c>
      <c r="R648" s="10" t="b">
        <v>0</v>
      </c>
      <c r="S648" s="10" t="b">
        <v>0</v>
      </c>
      <c r="T648" s="12"/>
      <c r="U648" s="9"/>
      <c r="V648" s="58"/>
      <c r="W648" s="57" t="b">
        <v>0</v>
      </c>
      <c r="X648" s="4"/>
      <c r="Y648" s="4"/>
      <c r="Z648" s="4"/>
      <c r="AA648" s="4"/>
      <c r="AB648" s="4"/>
      <c r="AC648" s="12"/>
      <c r="AD648" s="4"/>
      <c r="AE648" s="4"/>
    </row>
    <row r="649">
      <c r="A649" s="5" t="s">
        <v>22</v>
      </c>
      <c r="B649" s="80"/>
      <c r="C649" s="80"/>
      <c r="D649" s="80"/>
      <c r="E649" s="4"/>
      <c r="F649" s="4"/>
      <c r="G649" s="4"/>
      <c r="H649" s="4"/>
      <c r="I649" s="4"/>
      <c r="J649" s="10" t="b">
        <v>0</v>
      </c>
      <c r="K649" s="10" t="b">
        <v>0</v>
      </c>
      <c r="L649" s="10" t="b">
        <v>0</v>
      </c>
      <c r="M649" s="10" t="b">
        <v>0</v>
      </c>
      <c r="N649" s="10" t="b">
        <v>0</v>
      </c>
      <c r="O649" s="10" t="b">
        <v>0</v>
      </c>
      <c r="P649" s="10" t="b">
        <v>0</v>
      </c>
      <c r="Q649" s="10" t="b">
        <v>0</v>
      </c>
      <c r="R649" s="10" t="b">
        <v>0</v>
      </c>
      <c r="S649" s="10" t="b">
        <v>0</v>
      </c>
      <c r="T649" s="12"/>
      <c r="U649" s="9"/>
      <c r="V649" s="58"/>
      <c r="W649" s="57" t="b">
        <v>0</v>
      </c>
      <c r="X649" s="4"/>
      <c r="Y649" s="4"/>
      <c r="Z649" s="4"/>
      <c r="AA649" s="4"/>
      <c r="AB649" s="4"/>
      <c r="AC649" s="12"/>
      <c r="AD649" s="4"/>
      <c r="AE649" s="4"/>
    </row>
    <row r="650">
      <c r="A650" s="5" t="s">
        <v>22</v>
      </c>
      <c r="B650" s="80"/>
      <c r="C650" s="80"/>
      <c r="D650" s="80"/>
      <c r="E650" s="4"/>
      <c r="F650" s="4"/>
      <c r="G650" s="4"/>
      <c r="H650" s="4"/>
      <c r="I650" s="4"/>
      <c r="J650" s="10" t="b">
        <v>0</v>
      </c>
      <c r="K650" s="10" t="b">
        <v>0</v>
      </c>
      <c r="L650" s="10" t="b">
        <v>0</v>
      </c>
      <c r="M650" s="10" t="b">
        <v>0</v>
      </c>
      <c r="N650" s="10" t="b">
        <v>0</v>
      </c>
      <c r="O650" s="10" t="b">
        <v>0</v>
      </c>
      <c r="P650" s="10" t="b">
        <v>0</v>
      </c>
      <c r="Q650" s="10" t="b">
        <v>0</v>
      </c>
      <c r="R650" s="10" t="b">
        <v>0</v>
      </c>
      <c r="S650" s="10" t="b">
        <v>0</v>
      </c>
      <c r="T650" s="12"/>
      <c r="U650" s="9"/>
      <c r="V650" s="58"/>
      <c r="W650" s="57" t="b">
        <v>0</v>
      </c>
      <c r="X650" s="4"/>
      <c r="Y650" s="4"/>
      <c r="Z650" s="4"/>
      <c r="AA650" s="4"/>
      <c r="AB650" s="4"/>
      <c r="AC650" s="12"/>
      <c r="AD650" s="4"/>
      <c r="AE650" s="4"/>
    </row>
    <row r="651">
      <c r="A651" s="5" t="s">
        <v>22</v>
      </c>
      <c r="B651" s="80"/>
      <c r="C651" s="80"/>
      <c r="D651" s="80"/>
      <c r="E651" s="4"/>
      <c r="F651" s="4"/>
      <c r="G651" s="4"/>
      <c r="H651" s="4"/>
      <c r="I651" s="4"/>
      <c r="J651" s="10" t="b">
        <v>0</v>
      </c>
      <c r="K651" s="10" t="b">
        <v>0</v>
      </c>
      <c r="L651" s="10" t="b">
        <v>0</v>
      </c>
      <c r="M651" s="10" t="b">
        <v>0</v>
      </c>
      <c r="N651" s="10" t="b">
        <v>0</v>
      </c>
      <c r="O651" s="10" t="b">
        <v>0</v>
      </c>
      <c r="P651" s="10" t="b">
        <v>0</v>
      </c>
      <c r="Q651" s="10" t="b">
        <v>0</v>
      </c>
      <c r="R651" s="10" t="b">
        <v>0</v>
      </c>
      <c r="S651" s="10" t="b">
        <v>0</v>
      </c>
      <c r="T651" s="12"/>
      <c r="U651" s="9"/>
      <c r="V651" s="58"/>
      <c r="W651" s="57" t="b">
        <v>0</v>
      </c>
      <c r="X651" s="4"/>
      <c r="Y651" s="4"/>
      <c r="Z651" s="4"/>
      <c r="AA651" s="4"/>
      <c r="AB651" s="4"/>
      <c r="AC651" s="12"/>
      <c r="AD651" s="4"/>
      <c r="AE651" s="4"/>
    </row>
    <row r="652">
      <c r="A652" s="5" t="s">
        <v>22</v>
      </c>
      <c r="B652" s="80"/>
      <c r="C652" s="80"/>
      <c r="D652" s="80"/>
      <c r="E652" s="4"/>
      <c r="F652" s="4"/>
      <c r="G652" s="4"/>
      <c r="H652" s="4"/>
      <c r="I652" s="4"/>
      <c r="J652" s="10" t="b">
        <v>0</v>
      </c>
      <c r="K652" s="10" t="b">
        <v>0</v>
      </c>
      <c r="L652" s="10" t="b">
        <v>0</v>
      </c>
      <c r="M652" s="10" t="b">
        <v>0</v>
      </c>
      <c r="N652" s="10" t="b">
        <v>0</v>
      </c>
      <c r="O652" s="10" t="b">
        <v>0</v>
      </c>
      <c r="P652" s="10" t="b">
        <v>0</v>
      </c>
      <c r="Q652" s="10" t="b">
        <v>0</v>
      </c>
      <c r="R652" s="10" t="b">
        <v>0</v>
      </c>
      <c r="S652" s="10" t="b">
        <v>0</v>
      </c>
      <c r="T652" s="12"/>
      <c r="U652" s="9"/>
      <c r="V652" s="58"/>
      <c r="W652" s="57" t="b">
        <v>0</v>
      </c>
      <c r="X652" s="4"/>
      <c r="Y652" s="4"/>
      <c r="Z652" s="4"/>
      <c r="AA652" s="4"/>
      <c r="AB652" s="4"/>
      <c r="AC652" s="12"/>
      <c r="AD652" s="4"/>
      <c r="AE652" s="4"/>
    </row>
    <row r="653">
      <c r="A653" s="5" t="s">
        <v>22</v>
      </c>
      <c r="B653" s="80"/>
      <c r="C653" s="82"/>
      <c r="D653" s="80"/>
      <c r="E653" s="4"/>
      <c r="F653" s="4"/>
      <c r="G653" s="4"/>
      <c r="H653" s="4"/>
      <c r="I653" s="4"/>
      <c r="J653" s="10" t="b">
        <v>0</v>
      </c>
      <c r="K653" s="10" t="b">
        <v>0</v>
      </c>
      <c r="L653" s="10" t="b">
        <v>0</v>
      </c>
      <c r="M653" s="10" t="b">
        <v>0</v>
      </c>
      <c r="N653" s="10" t="b">
        <v>0</v>
      </c>
      <c r="O653" s="10" t="b">
        <v>0</v>
      </c>
      <c r="P653" s="10" t="b">
        <v>0</v>
      </c>
      <c r="Q653" s="10" t="b">
        <v>0</v>
      </c>
      <c r="R653" s="10" t="b">
        <v>0</v>
      </c>
      <c r="S653" s="10" t="b">
        <v>0</v>
      </c>
      <c r="T653" s="12"/>
      <c r="U653" s="9"/>
      <c r="V653" s="58"/>
      <c r="W653" s="57" t="b">
        <v>0</v>
      </c>
      <c r="X653" s="4"/>
      <c r="Y653" s="4"/>
      <c r="Z653" s="4"/>
      <c r="AA653" s="4"/>
      <c r="AB653" s="4"/>
      <c r="AC653" s="12"/>
      <c r="AD653" s="4"/>
      <c r="AE653" s="4"/>
    </row>
    <row r="654">
      <c r="A654" s="5" t="s">
        <v>22</v>
      </c>
      <c r="B654" s="80"/>
      <c r="C654" s="80"/>
      <c r="D654" s="80"/>
      <c r="E654" s="4"/>
      <c r="F654" s="4"/>
      <c r="G654" s="4"/>
      <c r="H654" s="4"/>
      <c r="I654" s="4"/>
      <c r="J654" s="10" t="b">
        <v>0</v>
      </c>
      <c r="K654" s="10" t="b">
        <v>0</v>
      </c>
      <c r="L654" s="10" t="b">
        <v>0</v>
      </c>
      <c r="M654" s="10" t="b">
        <v>0</v>
      </c>
      <c r="N654" s="10" t="b">
        <v>0</v>
      </c>
      <c r="O654" s="10" t="b">
        <v>0</v>
      </c>
      <c r="P654" s="10" t="b">
        <v>0</v>
      </c>
      <c r="Q654" s="10" t="b">
        <v>0</v>
      </c>
      <c r="R654" s="10" t="b">
        <v>0</v>
      </c>
      <c r="S654" s="10" t="b">
        <v>0</v>
      </c>
      <c r="T654" s="12"/>
      <c r="U654" s="9"/>
      <c r="V654" s="58"/>
      <c r="W654" s="57" t="b">
        <v>0</v>
      </c>
      <c r="X654" s="4"/>
      <c r="Y654" s="4"/>
      <c r="Z654" s="4"/>
      <c r="AA654" s="4"/>
      <c r="AB654" s="4"/>
      <c r="AC654" s="12"/>
      <c r="AD654" s="4"/>
      <c r="AE654" s="4"/>
    </row>
    <row r="655">
      <c r="A655" s="5" t="s">
        <v>22</v>
      </c>
      <c r="B655" s="80"/>
      <c r="C655" s="82"/>
      <c r="D655" s="80"/>
      <c r="E655" s="4"/>
      <c r="F655" s="4"/>
      <c r="G655" s="4"/>
      <c r="H655" s="4"/>
      <c r="I655" s="4"/>
      <c r="J655" s="10" t="b">
        <v>0</v>
      </c>
      <c r="K655" s="10" t="b">
        <v>0</v>
      </c>
      <c r="L655" s="10" t="b">
        <v>0</v>
      </c>
      <c r="M655" s="10" t="b">
        <v>0</v>
      </c>
      <c r="N655" s="10" t="b">
        <v>0</v>
      </c>
      <c r="O655" s="10" t="b">
        <v>0</v>
      </c>
      <c r="P655" s="10" t="b">
        <v>0</v>
      </c>
      <c r="Q655" s="10" t="b">
        <v>0</v>
      </c>
      <c r="R655" s="10" t="b">
        <v>0</v>
      </c>
      <c r="S655" s="10" t="b">
        <v>0</v>
      </c>
      <c r="T655" s="12"/>
      <c r="U655" s="9"/>
      <c r="V655" s="58"/>
      <c r="W655" s="57" t="b">
        <v>0</v>
      </c>
      <c r="X655" s="4"/>
      <c r="Y655" s="4"/>
      <c r="Z655" s="4"/>
      <c r="AA655" s="4"/>
      <c r="AB655" s="4"/>
      <c r="AC655" s="12"/>
      <c r="AD655" s="4"/>
      <c r="AE655" s="4"/>
    </row>
    <row r="656">
      <c r="A656" s="5" t="s">
        <v>22</v>
      </c>
      <c r="B656" s="80"/>
      <c r="C656" s="82"/>
      <c r="D656" s="80"/>
      <c r="E656" s="4"/>
      <c r="F656" s="4"/>
      <c r="G656" s="4"/>
      <c r="H656" s="4"/>
      <c r="I656" s="4"/>
      <c r="J656" s="10" t="b">
        <v>0</v>
      </c>
      <c r="K656" s="10" t="b">
        <v>0</v>
      </c>
      <c r="L656" s="10" t="b">
        <v>0</v>
      </c>
      <c r="M656" s="10" t="b">
        <v>0</v>
      </c>
      <c r="N656" s="10" t="b">
        <v>0</v>
      </c>
      <c r="O656" s="10" t="b">
        <v>0</v>
      </c>
      <c r="P656" s="10" t="b">
        <v>0</v>
      </c>
      <c r="Q656" s="10" t="b">
        <v>0</v>
      </c>
      <c r="R656" s="10" t="b">
        <v>0</v>
      </c>
      <c r="S656" s="10" t="b">
        <v>0</v>
      </c>
      <c r="T656" s="12"/>
      <c r="U656" s="9"/>
      <c r="V656" s="58"/>
      <c r="W656" s="57" t="b">
        <v>0</v>
      </c>
      <c r="X656" s="4"/>
      <c r="Y656" s="4"/>
      <c r="Z656" s="4"/>
      <c r="AA656" s="4"/>
      <c r="AB656" s="4"/>
      <c r="AC656" s="12"/>
      <c r="AD656" s="4"/>
      <c r="AE656" s="4"/>
    </row>
    <row r="657">
      <c r="A657" s="5" t="s">
        <v>22</v>
      </c>
      <c r="B657" s="80"/>
      <c r="C657" s="80"/>
      <c r="D657" s="80"/>
      <c r="E657" s="4"/>
      <c r="F657" s="4"/>
      <c r="G657" s="4"/>
      <c r="H657" s="4"/>
      <c r="I657" s="4"/>
      <c r="J657" s="10" t="b">
        <v>0</v>
      </c>
      <c r="K657" s="10" t="b">
        <v>0</v>
      </c>
      <c r="L657" s="10" t="b">
        <v>0</v>
      </c>
      <c r="M657" s="10" t="b">
        <v>0</v>
      </c>
      <c r="N657" s="10" t="b">
        <v>0</v>
      </c>
      <c r="O657" s="10" t="b">
        <v>0</v>
      </c>
      <c r="P657" s="10" t="b">
        <v>0</v>
      </c>
      <c r="Q657" s="10" t="b">
        <v>0</v>
      </c>
      <c r="R657" s="10" t="b">
        <v>0</v>
      </c>
      <c r="S657" s="10" t="b">
        <v>0</v>
      </c>
      <c r="T657" s="12"/>
      <c r="U657" s="9"/>
      <c r="V657" s="58"/>
      <c r="W657" s="57" t="b">
        <v>0</v>
      </c>
      <c r="X657" s="4"/>
      <c r="Y657" s="4"/>
      <c r="Z657" s="4"/>
      <c r="AA657" s="4"/>
      <c r="AB657" s="4"/>
      <c r="AC657" s="12"/>
      <c r="AD657" s="4"/>
      <c r="AE657" s="4"/>
    </row>
    <row r="658">
      <c r="A658" s="5" t="s">
        <v>22</v>
      </c>
      <c r="B658" s="83"/>
      <c r="C658" s="82"/>
      <c r="D658" s="80"/>
      <c r="E658" s="4"/>
      <c r="F658" s="4"/>
      <c r="G658" s="4"/>
      <c r="H658" s="4"/>
      <c r="I658" s="4"/>
      <c r="J658" s="10" t="b">
        <v>0</v>
      </c>
      <c r="K658" s="10" t="b">
        <v>0</v>
      </c>
      <c r="L658" s="10" t="b">
        <v>0</v>
      </c>
      <c r="M658" s="10" t="b">
        <v>0</v>
      </c>
      <c r="N658" s="10" t="b">
        <v>0</v>
      </c>
      <c r="O658" s="10" t="b">
        <v>0</v>
      </c>
      <c r="P658" s="10" t="b">
        <v>0</v>
      </c>
      <c r="Q658" s="10" t="b">
        <v>0</v>
      </c>
      <c r="R658" s="10" t="b">
        <v>0</v>
      </c>
      <c r="S658" s="10" t="b">
        <v>0</v>
      </c>
      <c r="T658" s="12"/>
      <c r="U658" s="9"/>
      <c r="V658" s="58"/>
      <c r="W658" s="57" t="b">
        <v>0</v>
      </c>
      <c r="X658" s="4"/>
      <c r="Y658" s="4"/>
      <c r="Z658" s="4"/>
      <c r="AA658" s="4"/>
      <c r="AB658" s="4"/>
      <c r="AC658" s="12"/>
      <c r="AD658" s="4"/>
      <c r="AE658" s="4"/>
    </row>
    <row r="659">
      <c r="A659" s="5" t="s">
        <v>22</v>
      </c>
      <c r="B659" s="80"/>
      <c r="C659" s="80"/>
      <c r="D659" s="80"/>
      <c r="E659" s="4"/>
      <c r="F659" s="4"/>
      <c r="G659" s="4"/>
      <c r="H659" s="4"/>
      <c r="I659" s="4"/>
      <c r="J659" s="10" t="b">
        <v>0</v>
      </c>
      <c r="K659" s="10" t="b">
        <v>0</v>
      </c>
      <c r="L659" s="10" t="b">
        <v>0</v>
      </c>
      <c r="M659" s="10" t="b">
        <v>0</v>
      </c>
      <c r="N659" s="10" t="b">
        <v>0</v>
      </c>
      <c r="O659" s="10" t="b">
        <v>0</v>
      </c>
      <c r="P659" s="10" t="b">
        <v>0</v>
      </c>
      <c r="Q659" s="10" t="b">
        <v>0</v>
      </c>
      <c r="R659" s="10" t="b">
        <v>0</v>
      </c>
      <c r="S659" s="10" t="b">
        <v>0</v>
      </c>
      <c r="T659" s="12"/>
      <c r="U659" s="9"/>
      <c r="V659" s="58"/>
      <c r="W659" s="57" t="b">
        <v>0</v>
      </c>
      <c r="X659" s="4"/>
      <c r="Y659" s="4"/>
      <c r="Z659" s="4"/>
      <c r="AA659" s="4"/>
      <c r="AB659" s="4"/>
      <c r="AC659" s="12"/>
      <c r="AD659" s="4"/>
      <c r="AE659" s="4"/>
    </row>
    <row r="660">
      <c r="A660" s="5" t="s">
        <v>22</v>
      </c>
      <c r="B660" s="80"/>
      <c r="C660" s="80"/>
      <c r="D660" s="80"/>
      <c r="E660" s="4"/>
      <c r="F660" s="4"/>
      <c r="G660" s="4"/>
      <c r="H660" s="4"/>
      <c r="I660" s="4"/>
      <c r="J660" s="10" t="b">
        <v>0</v>
      </c>
      <c r="K660" s="10" t="b">
        <v>0</v>
      </c>
      <c r="L660" s="10" t="b">
        <v>0</v>
      </c>
      <c r="M660" s="10" t="b">
        <v>0</v>
      </c>
      <c r="N660" s="10" t="b">
        <v>0</v>
      </c>
      <c r="O660" s="10" t="b">
        <v>0</v>
      </c>
      <c r="P660" s="10" t="b">
        <v>0</v>
      </c>
      <c r="Q660" s="10" t="b">
        <v>0</v>
      </c>
      <c r="R660" s="10" t="b">
        <v>0</v>
      </c>
      <c r="S660" s="10" t="b">
        <v>0</v>
      </c>
      <c r="T660" s="12"/>
      <c r="U660" s="9"/>
      <c r="V660" s="58"/>
      <c r="W660" s="57" t="b">
        <v>0</v>
      </c>
      <c r="X660" s="4"/>
      <c r="Y660" s="4"/>
      <c r="Z660" s="4"/>
      <c r="AA660" s="4"/>
      <c r="AB660" s="4"/>
      <c r="AC660" s="12"/>
      <c r="AD660" s="4"/>
      <c r="AE660" s="4"/>
    </row>
    <row r="661">
      <c r="A661" s="5" t="s">
        <v>22</v>
      </c>
      <c r="B661" s="80"/>
      <c r="C661" s="80"/>
      <c r="D661" s="80"/>
      <c r="E661" s="4"/>
      <c r="F661" s="4"/>
      <c r="G661" s="4"/>
      <c r="H661" s="4"/>
      <c r="I661" s="4"/>
      <c r="J661" s="10" t="b">
        <v>0</v>
      </c>
      <c r="K661" s="10" t="b">
        <v>0</v>
      </c>
      <c r="L661" s="10" t="b">
        <v>0</v>
      </c>
      <c r="M661" s="10" t="b">
        <v>0</v>
      </c>
      <c r="N661" s="10" t="b">
        <v>0</v>
      </c>
      <c r="O661" s="10" t="b">
        <v>0</v>
      </c>
      <c r="P661" s="10" t="b">
        <v>0</v>
      </c>
      <c r="Q661" s="10" t="b">
        <v>0</v>
      </c>
      <c r="R661" s="10" t="b">
        <v>0</v>
      </c>
      <c r="S661" s="10" t="b">
        <v>0</v>
      </c>
      <c r="T661" s="12"/>
      <c r="U661" s="9"/>
      <c r="V661" s="58"/>
      <c r="W661" s="57" t="b">
        <v>0</v>
      </c>
      <c r="X661" s="4"/>
      <c r="Y661" s="4"/>
      <c r="Z661" s="4"/>
      <c r="AA661" s="4"/>
      <c r="AB661" s="4"/>
      <c r="AC661" s="12"/>
      <c r="AD661" s="4"/>
      <c r="AE661" s="4"/>
    </row>
    <row r="662">
      <c r="A662" s="5" t="s">
        <v>22</v>
      </c>
      <c r="B662" s="83"/>
      <c r="C662" s="82"/>
      <c r="D662" s="80"/>
      <c r="E662" s="4"/>
      <c r="F662" s="4"/>
      <c r="G662" s="4"/>
      <c r="H662" s="4"/>
      <c r="I662" s="4"/>
      <c r="J662" s="10" t="b">
        <v>0</v>
      </c>
      <c r="K662" s="10" t="b">
        <v>0</v>
      </c>
      <c r="L662" s="10" t="b">
        <v>0</v>
      </c>
      <c r="M662" s="10" t="b">
        <v>0</v>
      </c>
      <c r="N662" s="10" t="b">
        <v>0</v>
      </c>
      <c r="O662" s="10" t="b">
        <v>0</v>
      </c>
      <c r="P662" s="10" t="b">
        <v>0</v>
      </c>
      <c r="Q662" s="10" t="b">
        <v>0</v>
      </c>
      <c r="R662" s="10" t="b">
        <v>0</v>
      </c>
      <c r="S662" s="10" t="b">
        <v>0</v>
      </c>
      <c r="T662" s="12"/>
      <c r="U662" s="9"/>
      <c r="V662" s="58"/>
      <c r="W662" s="57" t="b">
        <v>0</v>
      </c>
      <c r="X662" s="4"/>
      <c r="Y662" s="4"/>
      <c r="Z662" s="4"/>
      <c r="AA662" s="4"/>
      <c r="AB662" s="4"/>
      <c r="AC662" s="12"/>
      <c r="AD662" s="4"/>
      <c r="AE662" s="4"/>
    </row>
    <row r="663">
      <c r="A663" s="5" t="s">
        <v>22</v>
      </c>
      <c r="B663" s="83"/>
      <c r="C663" s="82"/>
      <c r="D663" s="80"/>
      <c r="E663" s="4"/>
      <c r="F663" s="4"/>
      <c r="G663" s="4"/>
      <c r="H663" s="4"/>
      <c r="I663" s="4"/>
      <c r="J663" s="10" t="b">
        <v>0</v>
      </c>
      <c r="K663" s="10" t="b">
        <v>0</v>
      </c>
      <c r="L663" s="10" t="b">
        <v>0</v>
      </c>
      <c r="M663" s="10" t="b">
        <v>0</v>
      </c>
      <c r="N663" s="10" t="b">
        <v>0</v>
      </c>
      <c r="O663" s="10" t="b">
        <v>0</v>
      </c>
      <c r="P663" s="10" t="b">
        <v>0</v>
      </c>
      <c r="Q663" s="10" t="b">
        <v>0</v>
      </c>
      <c r="R663" s="10" t="b">
        <v>0</v>
      </c>
      <c r="S663" s="10" t="b">
        <v>0</v>
      </c>
      <c r="T663" s="12"/>
      <c r="U663" s="9"/>
      <c r="V663" s="58"/>
      <c r="W663" s="57" t="b">
        <v>0</v>
      </c>
      <c r="X663" s="4"/>
      <c r="Y663" s="4"/>
      <c r="Z663" s="4"/>
      <c r="AA663" s="4"/>
      <c r="AB663" s="4"/>
      <c r="AC663" s="12"/>
      <c r="AD663" s="4"/>
      <c r="AE663" s="4"/>
    </row>
    <row r="664">
      <c r="A664" s="5" t="s">
        <v>22</v>
      </c>
      <c r="B664" s="83"/>
      <c r="C664" s="82"/>
      <c r="D664" s="80"/>
      <c r="E664" s="4"/>
      <c r="F664" s="4"/>
      <c r="G664" s="4"/>
      <c r="H664" s="4"/>
      <c r="I664" s="4"/>
      <c r="J664" s="10" t="b">
        <v>0</v>
      </c>
      <c r="K664" s="10" t="b">
        <v>0</v>
      </c>
      <c r="L664" s="10" t="b">
        <v>0</v>
      </c>
      <c r="M664" s="10" t="b">
        <v>0</v>
      </c>
      <c r="N664" s="10" t="b">
        <v>0</v>
      </c>
      <c r="O664" s="10" t="b">
        <v>0</v>
      </c>
      <c r="P664" s="10" t="b">
        <v>0</v>
      </c>
      <c r="Q664" s="10" t="b">
        <v>0</v>
      </c>
      <c r="R664" s="10" t="b">
        <v>0</v>
      </c>
      <c r="S664" s="10" t="b">
        <v>0</v>
      </c>
      <c r="T664" s="12"/>
      <c r="U664" s="9"/>
      <c r="V664" s="58"/>
      <c r="W664" s="57" t="b">
        <v>0</v>
      </c>
      <c r="X664" s="4"/>
      <c r="Y664" s="4"/>
      <c r="Z664" s="4"/>
      <c r="AA664" s="4"/>
      <c r="AB664" s="4"/>
      <c r="AC664" s="12"/>
      <c r="AD664" s="4"/>
      <c r="AE664" s="4"/>
    </row>
    <row r="665">
      <c r="A665" s="5" t="s">
        <v>22</v>
      </c>
      <c r="B665" s="80"/>
      <c r="C665" s="80"/>
      <c r="D665" s="80"/>
      <c r="E665" s="4"/>
      <c r="F665" s="4"/>
      <c r="G665" s="4"/>
      <c r="H665" s="4"/>
      <c r="I665" s="4"/>
      <c r="J665" s="10" t="b">
        <v>0</v>
      </c>
      <c r="K665" s="10" t="b">
        <v>0</v>
      </c>
      <c r="L665" s="10" t="b">
        <v>0</v>
      </c>
      <c r="M665" s="10" t="b">
        <v>0</v>
      </c>
      <c r="N665" s="10" t="b">
        <v>0</v>
      </c>
      <c r="O665" s="10" t="b">
        <v>0</v>
      </c>
      <c r="P665" s="10" t="b">
        <v>0</v>
      </c>
      <c r="Q665" s="10" t="b">
        <v>0</v>
      </c>
      <c r="R665" s="10" t="b">
        <v>0</v>
      </c>
      <c r="S665" s="10" t="b">
        <v>0</v>
      </c>
      <c r="T665" s="12"/>
      <c r="U665" s="9"/>
      <c r="V665" s="58"/>
      <c r="W665" s="57" t="b">
        <v>0</v>
      </c>
      <c r="X665" s="4"/>
      <c r="Y665" s="4"/>
      <c r="Z665" s="4"/>
      <c r="AA665" s="4"/>
      <c r="AB665" s="4"/>
      <c r="AC665" s="12"/>
      <c r="AD665" s="4"/>
      <c r="AE665" s="4"/>
    </row>
    <row r="666">
      <c r="A666" s="5" t="s">
        <v>22</v>
      </c>
      <c r="B666" s="80"/>
      <c r="C666" s="80"/>
      <c r="D666" s="80"/>
      <c r="E666" s="4"/>
      <c r="F666" s="4"/>
      <c r="G666" s="4"/>
      <c r="H666" s="4"/>
      <c r="I666" s="4"/>
      <c r="J666" s="10" t="b">
        <v>0</v>
      </c>
      <c r="K666" s="10" t="b">
        <v>0</v>
      </c>
      <c r="L666" s="10" t="b">
        <v>0</v>
      </c>
      <c r="M666" s="10" t="b">
        <v>0</v>
      </c>
      <c r="N666" s="10" t="b">
        <v>0</v>
      </c>
      <c r="O666" s="10" t="b">
        <v>0</v>
      </c>
      <c r="P666" s="10" t="b">
        <v>0</v>
      </c>
      <c r="Q666" s="10" t="b">
        <v>0</v>
      </c>
      <c r="R666" s="10" t="b">
        <v>0</v>
      </c>
      <c r="S666" s="10" t="b">
        <v>0</v>
      </c>
      <c r="T666" s="12"/>
      <c r="U666" s="9"/>
      <c r="V666" s="58"/>
      <c r="W666" s="57" t="b">
        <v>0</v>
      </c>
      <c r="X666" s="4"/>
      <c r="Y666" s="4"/>
      <c r="Z666" s="4"/>
      <c r="AA666" s="4"/>
      <c r="AB666" s="4"/>
      <c r="AC666" s="12"/>
      <c r="AD666" s="4"/>
      <c r="AE666" s="4"/>
    </row>
    <row r="667">
      <c r="A667" s="5" t="s">
        <v>22</v>
      </c>
      <c r="B667" s="80"/>
      <c r="C667" s="80"/>
      <c r="D667" s="80"/>
      <c r="E667" s="4"/>
      <c r="F667" s="4"/>
      <c r="G667" s="4"/>
      <c r="H667" s="4"/>
      <c r="I667" s="4"/>
      <c r="J667" s="10" t="b">
        <v>0</v>
      </c>
      <c r="K667" s="10" t="b">
        <v>0</v>
      </c>
      <c r="L667" s="10" t="b">
        <v>0</v>
      </c>
      <c r="M667" s="10" t="b">
        <v>0</v>
      </c>
      <c r="N667" s="10" t="b">
        <v>0</v>
      </c>
      <c r="O667" s="10" t="b">
        <v>0</v>
      </c>
      <c r="P667" s="10" t="b">
        <v>0</v>
      </c>
      <c r="Q667" s="10" t="b">
        <v>0</v>
      </c>
      <c r="R667" s="10" t="b">
        <v>0</v>
      </c>
      <c r="S667" s="10" t="b">
        <v>0</v>
      </c>
      <c r="T667" s="12"/>
      <c r="U667" s="9"/>
      <c r="V667" s="58"/>
      <c r="W667" s="57" t="b">
        <v>0</v>
      </c>
      <c r="X667" s="4"/>
      <c r="Y667" s="4"/>
      <c r="Z667" s="4"/>
      <c r="AA667" s="4"/>
      <c r="AB667" s="4"/>
      <c r="AC667" s="12"/>
      <c r="AD667" s="4"/>
      <c r="AE667" s="4"/>
    </row>
    <row r="668">
      <c r="A668" s="5" t="s">
        <v>22</v>
      </c>
      <c r="B668" s="80"/>
      <c r="C668" s="80"/>
      <c r="D668" s="80"/>
      <c r="E668" s="4"/>
      <c r="F668" s="4"/>
      <c r="G668" s="4"/>
      <c r="H668" s="4"/>
      <c r="I668" s="4"/>
      <c r="J668" s="10" t="b">
        <v>0</v>
      </c>
      <c r="K668" s="10" t="b">
        <v>0</v>
      </c>
      <c r="L668" s="10" t="b">
        <v>0</v>
      </c>
      <c r="M668" s="10" t="b">
        <v>0</v>
      </c>
      <c r="N668" s="10" t="b">
        <v>0</v>
      </c>
      <c r="O668" s="10" t="b">
        <v>0</v>
      </c>
      <c r="P668" s="10" t="b">
        <v>0</v>
      </c>
      <c r="Q668" s="10" t="b">
        <v>0</v>
      </c>
      <c r="R668" s="10" t="b">
        <v>0</v>
      </c>
      <c r="S668" s="10" t="b">
        <v>0</v>
      </c>
      <c r="T668" s="12"/>
      <c r="U668" s="9"/>
      <c r="V668" s="58"/>
      <c r="W668" s="57" t="b">
        <v>0</v>
      </c>
      <c r="X668" s="4"/>
      <c r="Y668" s="4"/>
      <c r="Z668" s="4"/>
      <c r="AA668" s="4"/>
      <c r="AB668" s="4"/>
      <c r="AC668" s="12"/>
      <c r="AD668" s="4"/>
      <c r="AE668" s="4"/>
    </row>
    <row r="669">
      <c r="A669" s="5" t="s">
        <v>22</v>
      </c>
      <c r="B669" s="80"/>
      <c r="C669" s="80"/>
      <c r="D669" s="80"/>
      <c r="E669" s="4"/>
      <c r="F669" s="4"/>
      <c r="G669" s="4"/>
      <c r="H669" s="4"/>
      <c r="I669" s="4"/>
      <c r="J669" s="10" t="b">
        <v>0</v>
      </c>
      <c r="K669" s="10" t="b">
        <v>0</v>
      </c>
      <c r="L669" s="10" t="b">
        <v>0</v>
      </c>
      <c r="M669" s="10" t="b">
        <v>0</v>
      </c>
      <c r="N669" s="10" t="b">
        <v>0</v>
      </c>
      <c r="O669" s="10" t="b">
        <v>0</v>
      </c>
      <c r="P669" s="10" t="b">
        <v>0</v>
      </c>
      <c r="Q669" s="10" t="b">
        <v>0</v>
      </c>
      <c r="R669" s="10" t="b">
        <v>0</v>
      </c>
      <c r="S669" s="10" t="b">
        <v>0</v>
      </c>
      <c r="T669" s="12"/>
      <c r="U669" s="9"/>
      <c r="V669" s="58"/>
      <c r="W669" s="57" t="b">
        <v>0</v>
      </c>
      <c r="X669" s="4"/>
      <c r="Y669" s="4"/>
      <c r="Z669" s="4"/>
      <c r="AA669" s="4"/>
      <c r="AB669" s="4"/>
      <c r="AC669" s="12"/>
      <c r="AD669" s="4"/>
      <c r="AE669" s="4"/>
    </row>
    <row r="670">
      <c r="A670" s="5" t="s">
        <v>22</v>
      </c>
      <c r="B670" s="80"/>
      <c r="C670" s="80"/>
      <c r="D670" s="80"/>
      <c r="E670" s="4"/>
      <c r="F670" s="4"/>
      <c r="G670" s="4"/>
      <c r="H670" s="4"/>
      <c r="I670" s="4"/>
      <c r="J670" s="10" t="b">
        <v>0</v>
      </c>
      <c r="K670" s="10" t="b">
        <v>0</v>
      </c>
      <c r="L670" s="10" t="b">
        <v>0</v>
      </c>
      <c r="M670" s="10" t="b">
        <v>0</v>
      </c>
      <c r="N670" s="10" t="b">
        <v>0</v>
      </c>
      <c r="O670" s="10" t="b">
        <v>0</v>
      </c>
      <c r="P670" s="10" t="b">
        <v>0</v>
      </c>
      <c r="Q670" s="10" t="b">
        <v>0</v>
      </c>
      <c r="R670" s="10" t="b">
        <v>0</v>
      </c>
      <c r="S670" s="10" t="b">
        <v>0</v>
      </c>
      <c r="T670" s="12"/>
      <c r="U670" s="9"/>
      <c r="V670" s="58"/>
      <c r="W670" s="57" t="b">
        <v>0</v>
      </c>
      <c r="X670" s="4"/>
      <c r="Y670" s="4"/>
      <c r="Z670" s="4"/>
      <c r="AA670" s="4"/>
      <c r="AB670" s="4"/>
      <c r="AC670" s="12"/>
      <c r="AD670" s="4"/>
      <c r="AE670" s="4"/>
    </row>
    <row r="671">
      <c r="A671" s="5" t="s">
        <v>22</v>
      </c>
      <c r="B671" s="81"/>
      <c r="C671" s="80"/>
      <c r="D671" s="80"/>
      <c r="E671" s="4"/>
      <c r="F671" s="4"/>
      <c r="G671" s="4"/>
      <c r="H671" s="4"/>
      <c r="I671" s="4"/>
      <c r="J671" s="10" t="b">
        <v>0</v>
      </c>
      <c r="K671" s="10" t="b">
        <v>0</v>
      </c>
      <c r="L671" s="10" t="b">
        <v>0</v>
      </c>
      <c r="M671" s="10" t="b">
        <v>0</v>
      </c>
      <c r="N671" s="10" t="b">
        <v>0</v>
      </c>
      <c r="O671" s="10" t="b">
        <v>0</v>
      </c>
      <c r="P671" s="10" t="b">
        <v>0</v>
      </c>
      <c r="Q671" s="10" t="b">
        <v>0</v>
      </c>
      <c r="R671" s="10" t="b">
        <v>0</v>
      </c>
      <c r="S671" s="10" t="b">
        <v>0</v>
      </c>
      <c r="T671" s="12"/>
      <c r="U671" s="9"/>
      <c r="V671" s="58"/>
      <c r="W671" s="57" t="b">
        <v>0</v>
      </c>
      <c r="X671" s="4"/>
      <c r="Y671" s="4"/>
      <c r="Z671" s="4"/>
      <c r="AA671" s="4"/>
      <c r="AB671" s="4"/>
      <c r="AC671" s="12"/>
      <c r="AD671" s="4"/>
      <c r="AE671" s="4"/>
    </row>
    <row r="672">
      <c r="A672" s="5" t="s">
        <v>22</v>
      </c>
      <c r="B672" s="80"/>
      <c r="C672" s="84"/>
      <c r="D672" s="80"/>
      <c r="E672" s="4"/>
      <c r="F672" s="4"/>
      <c r="G672" s="4"/>
      <c r="H672" s="4"/>
      <c r="I672" s="4"/>
      <c r="J672" s="10" t="b">
        <v>0</v>
      </c>
      <c r="K672" s="10" t="b">
        <v>0</v>
      </c>
      <c r="L672" s="10" t="b">
        <v>0</v>
      </c>
      <c r="M672" s="10" t="b">
        <v>0</v>
      </c>
      <c r="N672" s="10" t="b">
        <v>0</v>
      </c>
      <c r="O672" s="10" t="b">
        <v>0</v>
      </c>
      <c r="P672" s="10" t="b">
        <v>0</v>
      </c>
      <c r="Q672" s="10" t="b">
        <v>0</v>
      </c>
      <c r="R672" s="10" t="b">
        <v>0</v>
      </c>
      <c r="S672" s="10" t="b">
        <v>0</v>
      </c>
      <c r="T672" s="12"/>
      <c r="U672" s="9"/>
      <c r="V672" s="58"/>
      <c r="W672" s="57" t="b">
        <v>0</v>
      </c>
      <c r="X672" s="4"/>
      <c r="Y672" s="4"/>
      <c r="Z672" s="4"/>
      <c r="AA672" s="4"/>
      <c r="AB672" s="4"/>
      <c r="AC672" s="12"/>
      <c r="AD672" s="4"/>
      <c r="AE672" s="4"/>
    </row>
    <row r="673">
      <c r="A673" s="5" t="s">
        <v>22</v>
      </c>
      <c r="B673" s="80"/>
      <c r="C673" s="80"/>
      <c r="D673" s="80"/>
      <c r="E673" s="4"/>
      <c r="F673" s="4"/>
      <c r="G673" s="4"/>
      <c r="H673" s="4"/>
      <c r="I673" s="4"/>
      <c r="J673" s="10" t="b">
        <v>0</v>
      </c>
      <c r="K673" s="10" t="b">
        <v>0</v>
      </c>
      <c r="L673" s="10" t="b">
        <v>0</v>
      </c>
      <c r="M673" s="10" t="b">
        <v>0</v>
      </c>
      <c r="N673" s="10" t="b">
        <v>0</v>
      </c>
      <c r="O673" s="10" t="b">
        <v>0</v>
      </c>
      <c r="P673" s="10" t="b">
        <v>0</v>
      </c>
      <c r="Q673" s="10" t="b">
        <v>0</v>
      </c>
      <c r="R673" s="10" t="b">
        <v>0</v>
      </c>
      <c r="S673" s="10" t="b">
        <v>0</v>
      </c>
      <c r="T673" s="12"/>
      <c r="U673" s="9"/>
      <c r="V673" s="58"/>
      <c r="W673" s="57" t="b">
        <v>0</v>
      </c>
      <c r="X673" s="4"/>
      <c r="Y673" s="4"/>
      <c r="Z673" s="4"/>
      <c r="AA673" s="4"/>
      <c r="AB673" s="4"/>
      <c r="AC673" s="12"/>
      <c r="AD673" s="4"/>
      <c r="AE673" s="4"/>
    </row>
    <row r="674">
      <c r="A674" s="5" t="s">
        <v>22</v>
      </c>
      <c r="B674" s="80"/>
      <c r="C674" s="80"/>
      <c r="D674" s="80"/>
      <c r="E674" s="4"/>
      <c r="F674" s="4"/>
      <c r="G674" s="4"/>
      <c r="H674" s="4"/>
      <c r="I674" s="4"/>
      <c r="J674" s="10" t="b">
        <v>0</v>
      </c>
      <c r="K674" s="10" t="b">
        <v>0</v>
      </c>
      <c r="L674" s="10" t="b">
        <v>0</v>
      </c>
      <c r="M674" s="10" t="b">
        <v>0</v>
      </c>
      <c r="N674" s="10" t="b">
        <v>0</v>
      </c>
      <c r="O674" s="10" t="b">
        <v>0</v>
      </c>
      <c r="P674" s="10" t="b">
        <v>0</v>
      </c>
      <c r="Q674" s="10" t="b">
        <v>0</v>
      </c>
      <c r="R674" s="10" t="b">
        <v>0</v>
      </c>
      <c r="S674" s="10" t="b">
        <v>0</v>
      </c>
      <c r="T674" s="12"/>
      <c r="U674" s="9"/>
      <c r="V674" s="58"/>
      <c r="W674" s="57" t="b">
        <v>0</v>
      </c>
      <c r="X674" s="4"/>
      <c r="Y674" s="4"/>
      <c r="Z674" s="4"/>
      <c r="AA674" s="4"/>
      <c r="AB674" s="4"/>
      <c r="AC674" s="12"/>
      <c r="AD674" s="4"/>
      <c r="AE674" s="4"/>
    </row>
    <row r="675">
      <c r="A675" s="5" t="s">
        <v>22</v>
      </c>
      <c r="B675" s="80"/>
      <c r="C675" s="80"/>
      <c r="D675" s="80"/>
      <c r="E675" s="4"/>
      <c r="F675" s="4"/>
      <c r="G675" s="4"/>
      <c r="H675" s="4"/>
      <c r="I675" s="4"/>
      <c r="J675" s="10" t="b">
        <v>0</v>
      </c>
      <c r="K675" s="10" t="b">
        <v>0</v>
      </c>
      <c r="L675" s="10" t="b">
        <v>0</v>
      </c>
      <c r="M675" s="10" t="b">
        <v>0</v>
      </c>
      <c r="N675" s="10" t="b">
        <v>0</v>
      </c>
      <c r="O675" s="10" t="b">
        <v>0</v>
      </c>
      <c r="P675" s="10" t="b">
        <v>0</v>
      </c>
      <c r="Q675" s="10" t="b">
        <v>0</v>
      </c>
      <c r="R675" s="10" t="b">
        <v>0</v>
      </c>
      <c r="S675" s="10" t="b">
        <v>0</v>
      </c>
      <c r="T675" s="12"/>
      <c r="U675" s="9"/>
      <c r="V675" s="58"/>
      <c r="W675" s="57" t="b">
        <v>0</v>
      </c>
      <c r="X675" s="4"/>
      <c r="Y675" s="4"/>
      <c r="Z675" s="4"/>
      <c r="AA675" s="4"/>
      <c r="AB675" s="4"/>
      <c r="AC675" s="12"/>
      <c r="AD675" s="4"/>
      <c r="AE675" s="4"/>
    </row>
    <row r="676">
      <c r="A676" s="5" t="s">
        <v>22</v>
      </c>
      <c r="B676" s="80"/>
      <c r="C676" s="80"/>
      <c r="D676" s="80"/>
      <c r="E676" s="4"/>
      <c r="F676" s="4"/>
      <c r="G676" s="4"/>
      <c r="H676" s="4"/>
      <c r="I676" s="4"/>
      <c r="J676" s="10" t="b">
        <v>0</v>
      </c>
      <c r="K676" s="10" t="b">
        <v>0</v>
      </c>
      <c r="L676" s="10" t="b">
        <v>0</v>
      </c>
      <c r="M676" s="10" t="b">
        <v>0</v>
      </c>
      <c r="N676" s="10" t="b">
        <v>0</v>
      </c>
      <c r="O676" s="10" t="b">
        <v>0</v>
      </c>
      <c r="P676" s="10" t="b">
        <v>0</v>
      </c>
      <c r="Q676" s="10" t="b">
        <v>0</v>
      </c>
      <c r="R676" s="10" t="b">
        <v>0</v>
      </c>
      <c r="S676" s="10" t="b">
        <v>0</v>
      </c>
      <c r="T676" s="12"/>
      <c r="U676" s="9"/>
      <c r="V676" s="58"/>
      <c r="W676" s="57" t="b">
        <v>0</v>
      </c>
      <c r="X676" s="4"/>
      <c r="Y676" s="4"/>
      <c r="Z676" s="4"/>
      <c r="AA676" s="4"/>
      <c r="AB676" s="4"/>
      <c r="AC676" s="12"/>
      <c r="AD676" s="4"/>
      <c r="AE676" s="4"/>
    </row>
    <row r="677">
      <c r="A677" s="5" t="s">
        <v>22</v>
      </c>
      <c r="B677" s="80"/>
      <c r="C677" s="80"/>
      <c r="D677" s="80"/>
      <c r="E677" s="4"/>
      <c r="F677" s="4"/>
      <c r="G677" s="4"/>
      <c r="H677" s="4"/>
      <c r="I677" s="4"/>
      <c r="J677" s="10" t="b">
        <v>0</v>
      </c>
      <c r="K677" s="10" t="b">
        <v>0</v>
      </c>
      <c r="L677" s="10" t="b">
        <v>0</v>
      </c>
      <c r="M677" s="10" t="b">
        <v>0</v>
      </c>
      <c r="N677" s="10" t="b">
        <v>0</v>
      </c>
      <c r="O677" s="10" t="b">
        <v>0</v>
      </c>
      <c r="P677" s="10" t="b">
        <v>0</v>
      </c>
      <c r="Q677" s="10" t="b">
        <v>0</v>
      </c>
      <c r="R677" s="10" t="b">
        <v>0</v>
      </c>
      <c r="S677" s="10" t="b">
        <v>0</v>
      </c>
      <c r="T677" s="12"/>
      <c r="U677" s="9"/>
      <c r="V677" s="58"/>
      <c r="W677" s="57" t="b">
        <v>0</v>
      </c>
      <c r="X677" s="4"/>
      <c r="Y677" s="4"/>
      <c r="Z677" s="4"/>
      <c r="AA677" s="4"/>
      <c r="AB677" s="4"/>
      <c r="AC677" s="12"/>
      <c r="AD677" s="4"/>
      <c r="AE677" s="4"/>
    </row>
    <row r="678">
      <c r="A678" s="5" t="s">
        <v>22</v>
      </c>
      <c r="B678" s="80"/>
      <c r="C678" s="80"/>
      <c r="D678" s="80"/>
      <c r="E678" s="4"/>
      <c r="F678" s="4"/>
      <c r="G678" s="4"/>
      <c r="H678" s="4"/>
      <c r="I678" s="4"/>
      <c r="J678" s="10" t="b">
        <v>0</v>
      </c>
      <c r="K678" s="10" t="b">
        <v>0</v>
      </c>
      <c r="L678" s="10" t="b">
        <v>0</v>
      </c>
      <c r="M678" s="10" t="b">
        <v>0</v>
      </c>
      <c r="N678" s="10" t="b">
        <v>0</v>
      </c>
      <c r="O678" s="10" t="b">
        <v>0</v>
      </c>
      <c r="P678" s="10" t="b">
        <v>0</v>
      </c>
      <c r="Q678" s="10" t="b">
        <v>0</v>
      </c>
      <c r="R678" s="10" t="b">
        <v>0</v>
      </c>
      <c r="S678" s="10" t="b">
        <v>0</v>
      </c>
      <c r="T678" s="12"/>
      <c r="U678" s="9"/>
      <c r="V678" s="58"/>
      <c r="W678" s="57" t="b">
        <v>0</v>
      </c>
      <c r="X678" s="4"/>
      <c r="Y678" s="4"/>
      <c r="Z678" s="4"/>
      <c r="AA678" s="4"/>
      <c r="AB678" s="4"/>
      <c r="AC678" s="12"/>
      <c r="AD678" s="4"/>
      <c r="AE678" s="4"/>
    </row>
    <row r="679">
      <c r="A679" s="5" t="s">
        <v>22</v>
      </c>
      <c r="B679" s="80"/>
      <c r="C679" s="80"/>
      <c r="D679" s="80"/>
      <c r="E679" s="4"/>
      <c r="F679" s="4"/>
      <c r="G679" s="4"/>
      <c r="H679" s="4"/>
      <c r="I679" s="4"/>
      <c r="J679" s="10" t="b">
        <v>0</v>
      </c>
      <c r="K679" s="10" t="b">
        <v>0</v>
      </c>
      <c r="L679" s="10" t="b">
        <v>0</v>
      </c>
      <c r="M679" s="10" t="b">
        <v>0</v>
      </c>
      <c r="N679" s="10" t="b">
        <v>0</v>
      </c>
      <c r="O679" s="10" t="b">
        <v>0</v>
      </c>
      <c r="P679" s="10" t="b">
        <v>0</v>
      </c>
      <c r="Q679" s="10" t="b">
        <v>0</v>
      </c>
      <c r="R679" s="10" t="b">
        <v>0</v>
      </c>
      <c r="S679" s="10" t="b">
        <v>0</v>
      </c>
      <c r="T679" s="12"/>
      <c r="U679" s="9"/>
      <c r="V679" s="58"/>
      <c r="W679" s="57" t="b">
        <v>0</v>
      </c>
      <c r="X679" s="4"/>
      <c r="Y679" s="4"/>
      <c r="Z679" s="4"/>
      <c r="AA679" s="4"/>
      <c r="AB679" s="4"/>
      <c r="AC679" s="12"/>
      <c r="AD679" s="4"/>
      <c r="AE679" s="4"/>
    </row>
    <row r="680">
      <c r="A680" s="5" t="s">
        <v>22</v>
      </c>
      <c r="B680" s="80"/>
      <c r="C680" s="80"/>
      <c r="D680" s="80"/>
      <c r="E680" s="4"/>
      <c r="F680" s="4"/>
      <c r="G680" s="4"/>
      <c r="H680" s="4"/>
      <c r="I680" s="4"/>
      <c r="J680" s="10" t="b">
        <v>0</v>
      </c>
      <c r="K680" s="10" t="b">
        <v>0</v>
      </c>
      <c r="L680" s="10" t="b">
        <v>0</v>
      </c>
      <c r="M680" s="10" t="b">
        <v>0</v>
      </c>
      <c r="N680" s="10" t="b">
        <v>0</v>
      </c>
      <c r="O680" s="10" t="b">
        <v>0</v>
      </c>
      <c r="P680" s="10" t="b">
        <v>0</v>
      </c>
      <c r="Q680" s="10" t="b">
        <v>0</v>
      </c>
      <c r="R680" s="10" t="b">
        <v>0</v>
      </c>
      <c r="S680" s="10" t="b">
        <v>0</v>
      </c>
      <c r="T680" s="12"/>
      <c r="U680" s="9"/>
      <c r="V680" s="58"/>
      <c r="W680" s="57" t="b">
        <v>0</v>
      </c>
      <c r="X680" s="4"/>
      <c r="Y680" s="4"/>
      <c r="Z680" s="4"/>
      <c r="AA680" s="4"/>
      <c r="AB680" s="4"/>
      <c r="AC680" s="12"/>
      <c r="AD680" s="4"/>
      <c r="AE680" s="4"/>
    </row>
    <row r="681">
      <c r="A681" s="5" t="s">
        <v>22</v>
      </c>
      <c r="B681" s="81"/>
      <c r="C681" s="85"/>
      <c r="D681" s="81"/>
      <c r="E681" s="4"/>
      <c r="F681" s="4"/>
      <c r="G681" s="4"/>
      <c r="H681" s="4"/>
      <c r="I681" s="4"/>
      <c r="J681" s="10" t="b">
        <v>0</v>
      </c>
      <c r="K681" s="10" t="b">
        <v>0</v>
      </c>
      <c r="L681" s="10" t="b">
        <v>0</v>
      </c>
      <c r="M681" s="10" t="b">
        <v>0</v>
      </c>
      <c r="N681" s="10" t="b">
        <v>0</v>
      </c>
      <c r="O681" s="10" t="b">
        <v>0</v>
      </c>
      <c r="P681" s="10" t="b">
        <v>0</v>
      </c>
      <c r="Q681" s="10" t="b">
        <v>0</v>
      </c>
      <c r="R681" s="10" t="b">
        <v>0</v>
      </c>
      <c r="S681" s="10" t="b">
        <v>0</v>
      </c>
      <c r="T681" s="12"/>
      <c r="U681" s="9"/>
      <c r="V681" s="58"/>
      <c r="W681" s="57" t="b">
        <v>0</v>
      </c>
      <c r="X681" s="4"/>
      <c r="Y681" s="4"/>
      <c r="Z681" s="4"/>
      <c r="AA681" s="4"/>
      <c r="AB681" s="4"/>
      <c r="AC681" s="12"/>
      <c r="AD681" s="4"/>
      <c r="AE681" s="4"/>
    </row>
    <row r="682">
      <c r="A682" s="5" t="s">
        <v>22</v>
      </c>
      <c r="B682" s="80"/>
      <c r="C682" s="80"/>
      <c r="D682" s="80"/>
      <c r="E682" s="4"/>
      <c r="F682" s="4"/>
      <c r="G682" s="4"/>
      <c r="H682" s="4"/>
      <c r="I682" s="4"/>
      <c r="J682" s="10" t="b">
        <v>0</v>
      </c>
      <c r="K682" s="10" t="b">
        <v>0</v>
      </c>
      <c r="L682" s="10" t="b">
        <v>0</v>
      </c>
      <c r="M682" s="10" t="b">
        <v>0</v>
      </c>
      <c r="N682" s="10" t="b">
        <v>0</v>
      </c>
      <c r="O682" s="10" t="b">
        <v>0</v>
      </c>
      <c r="P682" s="10" t="b">
        <v>0</v>
      </c>
      <c r="Q682" s="10" t="b">
        <v>0</v>
      </c>
      <c r="R682" s="10" t="b">
        <v>0</v>
      </c>
      <c r="S682" s="10" t="b">
        <v>0</v>
      </c>
      <c r="T682" s="12"/>
      <c r="U682" s="9"/>
      <c r="V682" s="58"/>
      <c r="W682" s="57" t="b">
        <v>0</v>
      </c>
      <c r="X682" s="4"/>
      <c r="Y682" s="4"/>
      <c r="Z682" s="4"/>
      <c r="AA682" s="4"/>
      <c r="AB682" s="4"/>
      <c r="AC682" s="12"/>
      <c r="AD682" s="4"/>
      <c r="AE682" s="4"/>
    </row>
    <row r="683">
      <c r="A683" s="5" t="s">
        <v>22</v>
      </c>
      <c r="B683" s="80"/>
      <c r="C683" s="80"/>
      <c r="D683" s="80"/>
      <c r="E683" s="4"/>
      <c r="F683" s="4"/>
      <c r="G683" s="4"/>
      <c r="H683" s="4"/>
      <c r="I683" s="4"/>
      <c r="J683" s="10" t="b">
        <v>0</v>
      </c>
      <c r="K683" s="10" t="b">
        <v>0</v>
      </c>
      <c r="L683" s="10" t="b">
        <v>0</v>
      </c>
      <c r="M683" s="10" t="b">
        <v>0</v>
      </c>
      <c r="N683" s="10" t="b">
        <v>0</v>
      </c>
      <c r="O683" s="10" t="b">
        <v>0</v>
      </c>
      <c r="P683" s="10" t="b">
        <v>0</v>
      </c>
      <c r="Q683" s="10" t="b">
        <v>0</v>
      </c>
      <c r="R683" s="10" t="b">
        <v>0</v>
      </c>
      <c r="S683" s="10" t="b">
        <v>0</v>
      </c>
      <c r="T683" s="12"/>
      <c r="U683" s="9"/>
      <c r="V683" s="58"/>
      <c r="W683" s="57" t="b">
        <v>0</v>
      </c>
      <c r="X683" s="4"/>
      <c r="Y683" s="4"/>
      <c r="Z683" s="4"/>
      <c r="AA683" s="4"/>
      <c r="AB683" s="4"/>
      <c r="AC683" s="12"/>
      <c r="AD683" s="4"/>
      <c r="AE683" s="4"/>
    </row>
    <row r="684">
      <c r="A684" s="5" t="s">
        <v>22</v>
      </c>
      <c r="B684" s="80"/>
      <c r="C684" s="86"/>
      <c r="D684" s="80"/>
      <c r="E684" s="4"/>
      <c r="F684" s="4"/>
      <c r="G684" s="4"/>
      <c r="H684" s="4"/>
      <c r="I684" s="4"/>
      <c r="J684" s="10" t="b">
        <v>0</v>
      </c>
      <c r="K684" s="10" t="b">
        <v>0</v>
      </c>
      <c r="L684" s="10" t="b">
        <v>0</v>
      </c>
      <c r="M684" s="10" t="b">
        <v>0</v>
      </c>
      <c r="N684" s="10" t="b">
        <v>0</v>
      </c>
      <c r="O684" s="10" t="b">
        <v>0</v>
      </c>
      <c r="P684" s="10" t="b">
        <v>0</v>
      </c>
      <c r="Q684" s="10" t="b">
        <v>0</v>
      </c>
      <c r="R684" s="10" t="b">
        <v>0</v>
      </c>
      <c r="S684" s="10" t="b">
        <v>0</v>
      </c>
      <c r="T684" s="12"/>
      <c r="U684" s="9"/>
      <c r="V684" s="58"/>
      <c r="W684" s="57" t="b">
        <v>0</v>
      </c>
      <c r="X684" s="4"/>
      <c r="Y684" s="4"/>
      <c r="Z684" s="4"/>
      <c r="AA684" s="4"/>
      <c r="AB684" s="4"/>
      <c r="AC684" s="12"/>
      <c r="AD684" s="4"/>
      <c r="AE684" s="4"/>
    </row>
    <row r="685">
      <c r="A685" s="4"/>
      <c r="B685" s="84"/>
      <c r="C685" s="84"/>
      <c r="D685" s="8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12"/>
      <c r="U685" s="4"/>
      <c r="V685" s="4"/>
      <c r="W685" s="87"/>
      <c r="X685" s="4"/>
      <c r="Y685" s="4"/>
      <c r="Z685" s="4"/>
      <c r="AA685" s="4"/>
      <c r="AB685" s="4"/>
      <c r="AC685" s="12"/>
      <c r="AD685" s="4"/>
      <c r="AE685" s="4"/>
    </row>
    <row r="686">
      <c r="A686" s="4"/>
      <c r="B686" s="84"/>
      <c r="C686" s="84"/>
      <c r="D686" s="8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12"/>
      <c r="U686" s="4"/>
      <c r="V686" s="4"/>
      <c r="W686" s="87"/>
      <c r="X686" s="4"/>
      <c r="Y686" s="4"/>
      <c r="Z686" s="4"/>
      <c r="AA686" s="4"/>
      <c r="AB686" s="4"/>
      <c r="AC686" s="12"/>
      <c r="AD686" s="4"/>
      <c r="AE686" s="4"/>
    </row>
    <row r="687">
      <c r="A687" s="4"/>
      <c r="B687" s="84"/>
      <c r="C687" s="84"/>
      <c r="D687" s="8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12"/>
      <c r="U687" s="4"/>
      <c r="V687" s="4"/>
      <c r="W687" s="87"/>
      <c r="X687" s="4"/>
      <c r="Y687" s="4"/>
      <c r="Z687" s="4"/>
      <c r="AA687" s="4"/>
      <c r="AB687" s="4"/>
      <c r="AC687" s="12"/>
      <c r="AD687" s="4"/>
      <c r="AE687" s="4"/>
    </row>
    <row r="688">
      <c r="A688" s="4"/>
      <c r="B688" s="84"/>
      <c r="C688" s="84"/>
      <c r="D688" s="8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12"/>
      <c r="U688" s="4"/>
      <c r="V688" s="4"/>
      <c r="W688" s="87"/>
      <c r="X688" s="4"/>
      <c r="Y688" s="4"/>
      <c r="Z688" s="4"/>
      <c r="AA688" s="4"/>
      <c r="AB688" s="4"/>
      <c r="AC688" s="12"/>
      <c r="AD688" s="4"/>
      <c r="AE688" s="4"/>
    </row>
    <row r="689">
      <c r="A689" s="4"/>
      <c r="B689" s="84"/>
      <c r="C689" s="84"/>
      <c r="D689" s="8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12"/>
      <c r="U689" s="4"/>
      <c r="V689" s="4"/>
      <c r="W689" s="87"/>
      <c r="X689" s="4"/>
      <c r="Y689" s="4"/>
      <c r="Z689" s="4"/>
      <c r="AA689" s="4"/>
      <c r="AB689" s="4"/>
      <c r="AC689" s="12"/>
      <c r="AD689" s="4"/>
      <c r="AE689" s="4"/>
    </row>
    <row r="690">
      <c r="A690" s="4"/>
      <c r="B690" s="84"/>
      <c r="C690" s="84"/>
      <c r="D690" s="8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12"/>
      <c r="U690" s="4"/>
      <c r="V690" s="4"/>
      <c r="W690" s="87"/>
      <c r="X690" s="4"/>
      <c r="Y690" s="4"/>
      <c r="Z690" s="4"/>
      <c r="AA690" s="4"/>
      <c r="AB690" s="4"/>
      <c r="AC690" s="12"/>
      <c r="AD690" s="4"/>
      <c r="AE690" s="4"/>
    </row>
    <row r="691">
      <c r="A691" s="4"/>
      <c r="B691" s="84"/>
      <c r="C691" s="84"/>
      <c r="D691" s="8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12"/>
      <c r="U691" s="4"/>
      <c r="V691" s="4"/>
      <c r="W691" s="87"/>
      <c r="X691" s="4"/>
      <c r="Y691" s="4"/>
      <c r="Z691" s="4"/>
      <c r="AA691" s="4"/>
      <c r="AB691" s="4"/>
      <c r="AC691" s="12"/>
      <c r="AD691" s="4"/>
      <c r="AE691" s="4"/>
    </row>
    <row r="692">
      <c r="A692" s="4"/>
      <c r="B692" s="84"/>
      <c r="C692" s="84"/>
      <c r="D692" s="8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12"/>
      <c r="U692" s="4"/>
      <c r="V692" s="4"/>
      <c r="W692" s="87"/>
      <c r="X692" s="4"/>
      <c r="Y692" s="4"/>
      <c r="Z692" s="4"/>
      <c r="AA692" s="4"/>
      <c r="AB692" s="4"/>
      <c r="AC692" s="12"/>
      <c r="AD692" s="4"/>
      <c r="AE692" s="4"/>
    </row>
    <row r="693">
      <c r="A693" s="4"/>
      <c r="B693" s="84"/>
      <c r="C693" s="84"/>
      <c r="D693" s="8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12"/>
      <c r="U693" s="4"/>
      <c r="V693" s="4"/>
      <c r="W693" s="87"/>
      <c r="X693" s="4"/>
      <c r="Y693" s="4"/>
      <c r="Z693" s="4"/>
      <c r="AA693" s="4"/>
      <c r="AB693" s="4"/>
      <c r="AC693" s="12"/>
      <c r="AD693" s="4"/>
      <c r="AE693" s="4"/>
    </row>
    <row r="694">
      <c r="A694" s="4"/>
      <c r="B694" s="84"/>
      <c r="C694" s="84"/>
      <c r="D694" s="8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12"/>
      <c r="U694" s="4"/>
      <c r="V694" s="4"/>
      <c r="W694" s="87"/>
      <c r="X694" s="4"/>
      <c r="Y694" s="4"/>
      <c r="Z694" s="4"/>
      <c r="AA694" s="4"/>
      <c r="AB694" s="4"/>
      <c r="AC694" s="12"/>
      <c r="AD694" s="4"/>
      <c r="AE694" s="4"/>
    </row>
    <row r="695">
      <c r="A695" s="4"/>
      <c r="B695" s="84"/>
      <c r="C695" s="84"/>
      <c r="D695" s="8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12"/>
      <c r="U695" s="4"/>
      <c r="V695" s="4"/>
      <c r="W695" s="87"/>
      <c r="X695" s="4"/>
      <c r="Y695" s="4"/>
      <c r="Z695" s="4"/>
      <c r="AA695" s="4"/>
      <c r="AB695" s="4"/>
      <c r="AC695" s="12"/>
      <c r="AD695" s="4"/>
      <c r="AE695" s="4"/>
    </row>
    <row r="696">
      <c r="A696" s="4"/>
      <c r="B696" s="84"/>
      <c r="C696" s="84"/>
      <c r="D696" s="8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12"/>
      <c r="U696" s="4"/>
      <c r="V696" s="4"/>
      <c r="W696" s="87"/>
      <c r="X696" s="4"/>
      <c r="Y696" s="4"/>
      <c r="Z696" s="4"/>
      <c r="AA696" s="4"/>
      <c r="AB696" s="4"/>
      <c r="AC696" s="12"/>
      <c r="AD696" s="4"/>
      <c r="AE696" s="4"/>
    </row>
    <row r="697">
      <c r="A697" s="4"/>
      <c r="B697" s="84"/>
      <c r="C697" s="84"/>
      <c r="D697" s="8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12"/>
      <c r="U697" s="4"/>
      <c r="V697" s="4"/>
      <c r="W697" s="87"/>
      <c r="X697" s="4"/>
      <c r="Y697" s="4"/>
      <c r="Z697" s="4"/>
      <c r="AA697" s="4"/>
      <c r="AB697" s="4"/>
      <c r="AC697" s="12"/>
      <c r="AD697" s="4"/>
      <c r="AE697" s="4"/>
    </row>
    <row r="698">
      <c r="A698" s="4"/>
      <c r="B698" s="84"/>
      <c r="C698" s="84"/>
      <c r="D698" s="8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12"/>
      <c r="U698" s="4"/>
      <c r="V698" s="4"/>
      <c r="W698" s="87"/>
      <c r="X698" s="4"/>
      <c r="Y698" s="4"/>
      <c r="Z698" s="4"/>
      <c r="AA698" s="4"/>
      <c r="AB698" s="4"/>
      <c r="AC698" s="12"/>
      <c r="AD698" s="4"/>
      <c r="AE698" s="4"/>
    </row>
    <row r="699">
      <c r="A699" s="4"/>
      <c r="B699" s="84"/>
      <c r="C699" s="84"/>
      <c r="D699" s="8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12"/>
      <c r="U699" s="4"/>
      <c r="V699" s="4"/>
      <c r="W699" s="87"/>
      <c r="X699" s="4"/>
      <c r="Y699" s="4"/>
      <c r="Z699" s="4"/>
      <c r="AA699" s="4"/>
      <c r="AB699" s="4"/>
      <c r="AC699" s="12"/>
      <c r="AD699" s="4"/>
      <c r="AE699" s="4"/>
    </row>
    <row r="700">
      <c r="A700" s="4"/>
      <c r="B700" s="84"/>
      <c r="C700" s="84"/>
      <c r="D700" s="8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12"/>
      <c r="U700" s="4"/>
      <c r="V700" s="4"/>
      <c r="W700" s="87"/>
      <c r="X700" s="4"/>
      <c r="Y700" s="4"/>
      <c r="Z700" s="4"/>
      <c r="AA700" s="4"/>
      <c r="AB700" s="4"/>
      <c r="AC700" s="12"/>
      <c r="AD700" s="4"/>
      <c r="AE700" s="4"/>
    </row>
    <row r="701">
      <c r="A701" s="4"/>
      <c r="B701" s="84"/>
      <c r="C701" s="84"/>
      <c r="D701" s="8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12"/>
      <c r="U701" s="4"/>
      <c r="V701" s="4"/>
      <c r="W701" s="87"/>
      <c r="X701" s="4"/>
      <c r="Y701" s="4"/>
      <c r="Z701" s="4"/>
      <c r="AA701" s="4"/>
      <c r="AB701" s="4"/>
      <c r="AC701" s="12"/>
      <c r="AD701" s="4"/>
      <c r="AE701" s="4"/>
    </row>
    <row r="702">
      <c r="A702" s="4"/>
      <c r="B702" s="84"/>
      <c r="C702" s="84"/>
      <c r="D702" s="8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12"/>
      <c r="U702" s="4"/>
      <c r="V702" s="4"/>
      <c r="W702" s="87"/>
      <c r="X702" s="4"/>
      <c r="Y702" s="4"/>
      <c r="Z702" s="4"/>
      <c r="AA702" s="4"/>
      <c r="AB702" s="4"/>
      <c r="AC702" s="12"/>
      <c r="AD702" s="4"/>
      <c r="AE702" s="4"/>
    </row>
    <row r="703">
      <c r="A703" s="4"/>
      <c r="B703" s="84"/>
      <c r="C703" s="84"/>
      <c r="D703" s="8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12"/>
      <c r="U703" s="4"/>
      <c r="V703" s="4"/>
      <c r="W703" s="87"/>
      <c r="X703" s="4"/>
      <c r="Y703" s="4"/>
      <c r="Z703" s="4"/>
      <c r="AA703" s="4"/>
      <c r="AB703" s="4"/>
      <c r="AC703" s="12"/>
      <c r="AD703" s="4"/>
      <c r="AE703" s="4"/>
    </row>
    <row r="704">
      <c r="A704" s="4"/>
      <c r="B704" s="84"/>
      <c r="C704" s="84"/>
      <c r="D704" s="8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12"/>
      <c r="U704" s="4"/>
      <c r="V704" s="4"/>
      <c r="W704" s="87"/>
      <c r="X704" s="4"/>
      <c r="Y704" s="4"/>
      <c r="Z704" s="4"/>
      <c r="AA704" s="4"/>
      <c r="AB704" s="4"/>
      <c r="AC704" s="12"/>
      <c r="AD704" s="4"/>
      <c r="AE704" s="4"/>
    </row>
    <row r="705">
      <c r="A705" s="4"/>
      <c r="B705" s="84"/>
      <c r="C705" s="84"/>
      <c r="D705" s="8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12"/>
      <c r="U705" s="4"/>
      <c r="V705" s="4"/>
      <c r="W705" s="87"/>
      <c r="X705" s="4"/>
      <c r="Y705" s="4"/>
      <c r="Z705" s="4"/>
      <c r="AA705" s="4"/>
      <c r="AB705" s="4"/>
      <c r="AC705" s="12"/>
      <c r="AD705" s="4"/>
      <c r="AE705" s="4"/>
    </row>
    <row r="706">
      <c r="A706" s="4"/>
      <c r="B706" s="84"/>
      <c r="C706" s="84"/>
      <c r="D706" s="8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12"/>
      <c r="U706" s="4"/>
      <c r="V706" s="4"/>
      <c r="W706" s="87"/>
      <c r="X706" s="4"/>
      <c r="Y706" s="4"/>
      <c r="Z706" s="4"/>
      <c r="AA706" s="4"/>
      <c r="AB706" s="4"/>
      <c r="AC706" s="12"/>
      <c r="AD706" s="4"/>
      <c r="AE706" s="4"/>
    </row>
    <row r="707">
      <c r="A707" s="4"/>
      <c r="B707" s="84"/>
      <c r="C707" s="84"/>
      <c r="D707" s="8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12"/>
      <c r="U707" s="4"/>
      <c r="V707" s="4"/>
      <c r="W707" s="87"/>
      <c r="X707" s="4"/>
      <c r="Y707" s="4"/>
      <c r="Z707" s="4"/>
      <c r="AA707" s="4"/>
      <c r="AB707" s="4"/>
      <c r="AC707" s="12"/>
      <c r="AD707" s="4"/>
      <c r="AE707" s="4"/>
    </row>
    <row r="708">
      <c r="A708" s="4"/>
      <c r="B708" s="84"/>
      <c r="C708" s="84"/>
      <c r="D708" s="8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2"/>
      <c r="U708" s="4"/>
      <c r="V708" s="4"/>
      <c r="W708" s="87"/>
      <c r="X708" s="4"/>
      <c r="Y708" s="4"/>
      <c r="Z708" s="4"/>
      <c r="AA708" s="4"/>
      <c r="AB708" s="4"/>
      <c r="AC708" s="12"/>
      <c r="AD708" s="4"/>
      <c r="AE708" s="4"/>
    </row>
    <row r="709">
      <c r="A709" s="4"/>
      <c r="B709" s="84"/>
      <c r="C709" s="84"/>
      <c r="D709" s="8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12"/>
      <c r="U709" s="4"/>
      <c r="V709" s="4"/>
      <c r="W709" s="87"/>
      <c r="X709" s="4"/>
      <c r="Y709" s="4"/>
      <c r="Z709" s="4"/>
      <c r="AA709" s="4"/>
      <c r="AB709" s="4"/>
      <c r="AC709" s="12"/>
      <c r="AD709" s="4"/>
      <c r="AE709" s="4"/>
    </row>
    <row r="710">
      <c r="A710" s="4"/>
      <c r="B710" s="84"/>
      <c r="C710" s="84"/>
      <c r="D710" s="8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12"/>
      <c r="U710" s="4"/>
      <c r="V710" s="4"/>
      <c r="W710" s="87"/>
      <c r="X710" s="4"/>
      <c r="Y710" s="4"/>
      <c r="Z710" s="4"/>
      <c r="AA710" s="4"/>
      <c r="AB710" s="4"/>
      <c r="AC710" s="12"/>
      <c r="AD710" s="4"/>
      <c r="AE710" s="4"/>
    </row>
    <row r="711">
      <c r="A711" s="4"/>
      <c r="B711" s="84"/>
      <c r="C711" s="84"/>
      <c r="D711" s="8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12"/>
      <c r="U711" s="4"/>
      <c r="V711" s="4"/>
      <c r="W711" s="87"/>
      <c r="X711" s="4"/>
      <c r="Y711" s="4"/>
      <c r="Z711" s="4"/>
      <c r="AA711" s="4"/>
      <c r="AB711" s="4"/>
      <c r="AC711" s="12"/>
      <c r="AD711" s="4"/>
      <c r="AE711" s="4"/>
    </row>
    <row r="712">
      <c r="A712" s="4"/>
      <c r="B712" s="84"/>
      <c r="C712" s="84"/>
      <c r="D712" s="8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12"/>
      <c r="U712" s="4"/>
      <c r="V712" s="4"/>
      <c r="W712" s="87"/>
      <c r="X712" s="4"/>
      <c r="Y712" s="4"/>
      <c r="Z712" s="4"/>
      <c r="AA712" s="4"/>
      <c r="AB712" s="4"/>
      <c r="AC712" s="12"/>
      <c r="AD712" s="4"/>
      <c r="AE712" s="4"/>
    </row>
    <row r="713">
      <c r="A713" s="4"/>
      <c r="B713" s="84"/>
      <c r="C713" s="84"/>
      <c r="D713" s="8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12"/>
      <c r="U713" s="4"/>
      <c r="V713" s="4"/>
      <c r="W713" s="87"/>
      <c r="X713" s="4"/>
      <c r="Y713" s="4"/>
      <c r="Z713" s="4"/>
      <c r="AA713" s="4"/>
      <c r="AB713" s="4"/>
      <c r="AC713" s="12"/>
      <c r="AD713" s="4"/>
      <c r="AE713" s="4"/>
    </row>
    <row r="714">
      <c r="A714" s="4"/>
      <c r="B714" s="84"/>
      <c r="C714" s="84"/>
      <c r="D714" s="8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12"/>
      <c r="U714" s="4"/>
      <c r="V714" s="4"/>
      <c r="W714" s="87"/>
      <c r="X714" s="4"/>
      <c r="Y714" s="4"/>
      <c r="Z714" s="4"/>
      <c r="AA714" s="4"/>
      <c r="AB714" s="4"/>
      <c r="AC714" s="12"/>
      <c r="AD714" s="4"/>
      <c r="AE714" s="4"/>
    </row>
    <row r="715">
      <c r="A715" s="4"/>
      <c r="B715" s="84"/>
      <c r="C715" s="84"/>
      <c r="D715" s="8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12"/>
      <c r="U715" s="4"/>
      <c r="V715" s="4"/>
      <c r="W715" s="87"/>
      <c r="X715" s="4"/>
      <c r="Y715" s="4"/>
      <c r="Z715" s="4"/>
      <c r="AA715" s="4"/>
      <c r="AB715" s="4"/>
      <c r="AC715" s="12"/>
      <c r="AD715" s="4"/>
      <c r="AE715" s="4"/>
    </row>
    <row r="716">
      <c r="A716" s="4"/>
      <c r="B716" s="84"/>
      <c r="C716" s="84"/>
      <c r="D716" s="8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12"/>
      <c r="U716" s="4"/>
      <c r="V716" s="4"/>
      <c r="W716" s="87"/>
      <c r="X716" s="4"/>
      <c r="Y716" s="4"/>
      <c r="Z716" s="4"/>
      <c r="AA716" s="4"/>
      <c r="AB716" s="4"/>
      <c r="AC716" s="12"/>
      <c r="AD716" s="4"/>
      <c r="AE716" s="4"/>
    </row>
    <row r="717">
      <c r="A717" s="4"/>
      <c r="B717" s="84"/>
      <c r="C717" s="84"/>
      <c r="D717" s="8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12"/>
      <c r="U717" s="4"/>
      <c r="V717" s="4"/>
      <c r="W717" s="87"/>
      <c r="X717" s="4"/>
      <c r="Y717" s="4"/>
      <c r="Z717" s="4"/>
      <c r="AA717" s="4"/>
      <c r="AB717" s="4"/>
      <c r="AC717" s="12"/>
      <c r="AD717" s="4"/>
      <c r="AE717" s="4"/>
    </row>
    <row r="718">
      <c r="A718" s="4"/>
      <c r="B718" s="84"/>
      <c r="C718" s="84"/>
      <c r="D718" s="8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12"/>
      <c r="U718" s="4"/>
      <c r="V718" s="4"/>
      <c r="W718" s="87"/>
      <c r="X718" s="4"/>
      <c r="Y718" s="4"/>
      <c r="Z718" s="4"/>
      <c r="AA718" s="4"/>
      <c r="AB718" s="4"/>
      <c r="AC718" s="12"/>
      <c r="AD718" s="4"/>
      <c r="AE718" s="4"/>
    </row>
    <row r="719">
      <c r="A719" s="4"/>
      <c r="B719" s="84"/>
      <c r="C719" s="84"/>
      <c r="D719" s="8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12"/>
      <c r="U719" s="4"/>
      <c r="V719" s="4"/>
      <c r="W719" s="87"/>
      <c r="X719" s="4"/>
      <c r="Y719" s="4"/>
      <c r="Z719" s="4"/>
      <c r="AA719" s="4"/>
      <c r="AB719" s="4"/>
      <c r="AC719" s="12"/>
      <c r="AD719" s="4"/>
      <c r="AE719" s="4"/>
    </row>
    <row r="720">
      <c r="A720" s="4"/>
      <c r="B720" s="84"/>
      <c r="C720" s="84"/>
      <c r="D720" s="8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12"/>
      <c r="U720" s="4"/>
      <c r="V720" s="4"/>
      <c r="W720" s="87"/>
      <c r="X720" s="4"/>
      <c r="Y720" s="4"/>
      <c r="Z720" s="4"/>
      <c r="AA720" s="4"/>
      <c r="AB720" s="4"/>
      <c r="AC720" s="12"/>
      <c r="AD720" s="4"/>
      <c r="AE720" s="4"/>
    </row>
    <row r="721">
      <c r="A721" s="4"/>
      <c r="B721" s="84"/>
      <c r="C721" s="84"/>
      <c r="D721" s="8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12"/>
      <c r="U721" s="4"/>
      <c r="V721" s="4"/>
      <c r="W721" s="87"/>
      <c r="X721" s="4"/>
      <c r="Y721" s="4"/>
      <c r="Z721" s="4"/>
      <c r="AA721" s="4"/>
      <c r="AB721" s="4"/>
      <c r="AC721" s="12"/>
      <c r="AD721" s="4"/>
      <c r="AE721" s="4"/>
    </row>
    <row r="722">
      <c r="A722" s="4"/>
      <c r="B722" s="84"/>
      <c r="C722" s="84"/>
      <c r="D722" s="8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12"/>
      <c r="U722" s="4"/>
      <c r="V722" s="4"/>
      <c r="W722" s="87"/>
      <c r="X722" s="4"/>
      <c r="Y722" s="4"/>
      <c r="Z722" s="4"/>
      <c r="AA722" s="4"/>
      <c r="AB722" s="4"/>
      <c r="AC722" s="12"/>
      <c r="AD722" s="4"/>
      <c r="AE722" s="4"/>
    </row>
    <row r="723">
      <c r="A723" s="4"/>
      <c r="B723" s="84"/>
      <c r="C723" s="84"/>
      <c r="D723" s="8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12"/>
      <c r="U723" s="4"/>
      <c r="V723" s="4"/>
      <c r="W723" s="87"/>
      <c r="X723" s="4"/>
      <c r="Y723" s="4"/>
      <c r="Z723" s="4"/>
      <c r="AA723" s="4"/>
      <c r="AB723" s="4"/>
      <c r="AC723" s="12"/>
      <c r="AD723" s="4"/>
      <c r="AE723" s="4"/>
    </row>
    <row r="724">
      <c r="A724" s="4"/>
      <c r="B724" s="84"/>
      <c r="C724" s="84"/>
      <c r="D724" s="8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12"/>
      <c r="U724" s="4"/>
      <c r="V724" s="4"/>
      <c r="W724" s="87"/>
      <c r="X724" s="4"/>
      <c r="Y724" s="4"/>
      <c r="Z724" s="4"/>
      <c r="AA724" s="4"/>
      <c r="AB724" s="4"/>
      <c r="AC724" s="12"/>
      <c r="AD724" s="4"/>
      <c r="AE724" s="4"/>
    </row>
    <row r="725">
      <c r="A725" s="4"/>
      <c r="B725" s="84"/>
      <c r="C725" s="84"/>
      <c r="D725" s="8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12"/>
      <c r="U725" s="4"/>
      <c r="V725" s="4"/>
      <c r="W725" s="87"/>
      <c r="X725" s="4"/>
      <c r="Y725" s="4"/>
      <c r="Z725" s="4"/>
      <c r="AA725" s="4"/>
      <c r="AB725" s="4"/>
      <c r="AC725" s="12"/>
      <c r="AD725" s="4"/>
      <c r="AE725" s="4"/>
    </row>
    <row r="726">
      <c r="A726" s="4"/>
      <c r="B726" s="84"/>
      <c r="C726" s="84"/>
      <c r="D726" s="8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12"/>
      <c r="U726" s="4"/>
      <c r="V726" s="4"/>
      <c r="W726" s="87"/>
      <c r="X726" s="4"/>
      <c r="Y726" s="4"/>
      <c r="Z726" s="4"/>
      <c r="AA726" s="4"/>
      <c r="AB726" s="4"/>
      <c r="AC726" s="12"/>
      <c r="AD726" s="4"/>
      <c r="AE726" s="4"/>
    </row>
    <row r="727">
      <c r="A727" s="4"/>
      <c r="B727" s="84"/>
      <c r="C727" s="84"/>
      <c r="D727" s="8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12"/>
      <c r="U727" s="4"/>
      <c r="V727" s="4"/>
      <c r="W727" s="87"/>
      <c r="X727" s="4"/>
      <c r="Y727" s="4"/>
      <c r="Z727" s="4"/>
      <c r="AA727" s="4"/>
      <c r="AB727" s="4"/>
      <c r="AC727" s="12"/>
      <c r="AD727" s="4"/>
      <c r="AE727" s="4"/>
    </row>
    <row r="728">
      <c r="A728" s="4"/>
      <c r="B728" s="84"/>
      <c r="C728" s="84"/>
      <c r="D728" s="8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12"/>
      <c r="U728" s="4"/>
      <c r="V728" s="4"/>
      <c r="W728" s="87"/>
      <c r="X728" s="4"/>
      <c r="Y728" s="4"/>
      <c r="Z728" s="4"/>
      <c r="AA728" s="4"/>
      <c r="AB728" s="4"/>
      <c r="AC728" s="12"/>
      <c r="AD728" s="4"/>
      <c r="AE728" s="4"/>
    </row>
    <row r="729">
      <c r="A729" s="4"/>
      <c r="B729" s="84"/>
      <c r="C729" s="84"/>
      <c r="D729" s="8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12"/>
      <c r="U729" s="4"/>
      <c r="V729" s="4"/>
      <c r="W729" s="87"/>
      <c r="X729" s="4"/>
      <c r="Y729" s="4"/>
      <c r="Z729" s="4"/>
      <c r="AA729" s="4"/>
      <c r="AB729" s="4"/>
      <c r="AC729" s="12"/>
      <c r="AD729" s="4"/>
      <c r="AE729" s="4"/>
    </row>
    <row r="730">
      <c r="A730" s="4"/>
      <c r="B730" s="84"/>
      <c r="C730" s="84"/>
      <c r="D730" s="8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12"/>
      <c r="U730" s="4"/>
      <c r="V730" s="4"/>
      <c r="W730" s="87"/>
      <c r="X730" s="4"/>
      <c r="Y730" s="4"/>
      <c r="Z730" s="4"/>
      <c r="AA730" s="4"/>
      <c r="AB730" s="4"/>
      <c r="AC730" s="12"/>
      <c r="AD730" s="4"/>
      <c r="AE730" s="4"/>
    </row>
    <row r="731">
      <c r="A731" s="4"/>
      <c r="B731" s="84"/>
      <c r="C731" s="84"/>
      <c r="D731" s="8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12"/>
      <c r="U731" s="4"/>
      <c r="V731" s="4"/>
      <c r="W731" s="87"/>
      <c r="X731" s="4"/>
      <c r="Y731" s="4"/>
      <c r="Z731" s="4"/>
      <c r="AA731" s="4"/>
      <c r="AB731" s="4"/>
      <c r="AC731" s="12"/>
      <c r="AD731" s="4"/>
      <c r="AE731" s="4"/>
    </row>
    <row r="732">
      <c r="A732" s="4"/>
      <c r="B732" s="84"/>
      <c r="C732" s="84"/>
      <c r="D732" s="8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12"/>
      <c r="U732" s="4"/>
      <c r="V732" s="4"/>
      <c r="W732" s="87"/>
      <c r="X732" s="4"/>
      <c r="Y732" s="4"/>
      <c r="Z732" s="4"/>
      <c r="AA732" s="4"/>
      <c r="AB732" s="4"/>
      <c r="AC732" s="12"/>
      <c r="AD732" s="4"/>
      <c r="AE732" s="4"/>
    </row>
    <row r="733">
      <c r="A733" s="4"/>
      <c r="B733" s="84"/>
      <c r="C733" s="84"/>
      <c r="D733" s="8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12"/>
      <c r="U733" s="4"/>
      <c r="V733" s="4"/>
      <c r="W733" s="87"/>
      <c r="X733" s="4"/>
      <c r="Y733" s="4"/>
      <c r="Z733" s="4"/>
      <c r="AA733" s="4"/>
      <c r="AB733" s="4"/>
      <c r="AC733" s="12"/>
      <c r="AD733" s="4"/>
      <c r="AE733" s="4"/>
    </row>
    <row r="734">
      <c r="A734" s="4"/>
      <c r="B734" s="84"/>
      <c r="C734" s="84"/>
      <c r="D734" s="8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12"/>
      <c r="U734" s="4"/>
      <c r="V734" s="4"/>
      <c r="W734" s="87"/>
      <c r="X734" s="4"/>
      <c r="Y734" s="4"/>
      <c r="Z734" s="4"/>
      <c r="AA734" s="4"/>
      <c r="AB734" s="4"/>
      <c r="AC734" s="12"/>
      <c r="AD734" s="4"/>
      <c r="AE734" s="4"/>
    </row>
    <row r="735">
      <c r="A735" s="4"/>
      <c r="B735" s="84"/>
      <c r="C735" s="84"/>
      <c r="D735" s="8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12"/>
      <c r="U735" s="4"/>
      <c r="V735" s="4"/>
      <c r="W735" s="87"/>
      <c r="X735" s="4"/>
      <c r="Y735" s="4"/>
      <c r="Z735" s="4"/>
      <c r="AA735" s="4"/>
      <c r="AB735" s="4"/>
      <c r="AC735" s="12"/>
      <c r="AD735" s="4"/>
      <c r="AE735" s="4"/>
    </row>
    <row r="736">
      <c r="A736" s="4"/>
      <c r="B736" s="84"/>
      <c r="C736" s="84"/>
      <c r="D736" s="8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12"/>
      <c r="U736" s="4"/>
      <c r="V736" s="4"/>
      <c r="W736" s="87"/>
      <c r="X736" s="4"/>
      <c r="Y736" s="4"/>
      <c r="Z736" s="4"/>
      <c r="AA736" s="4"/>
      <c r="AB736" s="4"/>
      <c r="AC736" s="12"/>
      <c r="AD736" s="4"/>
      <c r="AE736" s="4"/>
    </row>
    <row r="737">
      <c r="A737" s="4"/>
      <c r="B737" s="84"/>
      <c r="C737" s="84"/>
      <c r="D737" s="8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12"/>
      <c r="U737" s="4"/>
      <c r="V737" s="4"/>
      <c r="W737" s="87"/>
      <c r="X737" s="4"/>
      <c r="Y737" s="4"/>
      <c r="Z737" s="4"/>
      <c r="AA737" s="4"/>
      <c r="AB737" s="4"/>
      <c r="AC737" s="12"/>
      <c r="AD737" s="4"/>
      <c r="AE737" s="4"/>
    </row>
    <row r="738">
      <c r="A738" s="4"/>
      <c r="B738" s="84"/>
      <c r="C738" s="84"/>
      <c r="D738" s="8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12"/>
      <c r="U738" s="4"/>
      <c r="V738" s="4"/>
      <c r="W738" s="87"/>
      <c r="X738" s="4"/>
      <c r="Y738" s="4"/>
      <c r="Z738" s="4"/>
      <c r="AA738" s="4"/>
      <c r="AB738" s="4"/>
      <c r="AC738" s="12"/>
      <c r="AD738" s="4"/>
      <c r="AE738" s="4"/>
    </row>
    <row r="739">
      <c r="A739" s="4"/>
      <c r="B739" s="84"/>
      <c r="C739" s="84"/>
      <c r="D739" s="8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12"/>
      <c r="U739" s="4"/>
      <c r="V739" s="4"/>
      <c r="W739" s="87"/>
      <c r="X739" s="4"/>
      <c r="Y739" s="4"/>
      <c r="Z739" s="4"/>
      <c r="AA739" s="4"/>
      <c r="AB739" s="4"/>
      <c r="AC739" s="12"/>
      <c r="AD739" s="4"/>
      <c r="AE739" s="4"/>
    </row>
    <row r="740">
      <c r="A740" s="4"/>
      <c r="B740" s="84"/>
      <c r="C740" s="84"/>
      <c r="D740" s="8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2"/>
      <c r="U740" s="4"/>
      <c r="V740" s="4"/>
      <c r="W740" s="87"/>
      <c r="X740" s="4"/>
      <c r="Y740" s="4"/>
      <c r="Z740" s="4"/>
      <c r="AA740" s="4"/>
      <c r="AB740" s="4"/>
      <c r="AC740" s="12"/>
      <c r="AD740" s="4"/>
      <c r="AE740" s="4"/>
    </row>
    <row r="741">
      <c r="A741" s="4"/>
      <c r="B741" s="84"/>
      <c r="C741" s="84"/>
      <c r="D741" s="8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12"/>
      <c r="U741" s="4"/>
      <c r="V741" s="4"/>
      <c r="W741" s="87"/>
      <c r="X741" s="4"/>
      <c r="Y741" s="4"/>
      <c r="Z741" s="4"/>
      <c r="AA741" s="4"/>
      <c r="AB741" s="4"/>
      <c r="AC741" s="12"/>
      <c r="AD741" s="4"/>
      <c r="AE741" s="4"/>
    </row>
    <row r="742">
      <c r="A742" s="4"/>
      <c r="B742" s="84"/>
      <c r="C742" s="84"/>
      <c r="D742" s="8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12"/>
      <c r="U742" s="4"/>
      <c r="V742" s="4"/>
      <c r="W742" s="87"/>
      <c r="X742" s="4"/>
      <c r="Y742" s="4"/>
      <c r="Z742" s="4"/>
      <c r="AA742" s="4"/>
      <c r="AB742" s="4"/>
      <c r="AC742" s="12"/>
      <c r="AD742" s="4"/>
      <c r="AE742" s="4"/>
    </row>
    <row r="743">
      <c r="A743" s="4"/>
      <c r="B743" s="84"/>
      <c r="C743" s="84"/>
      <c r="D743" s="8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12"/>
      <c r="U743" s="4"/>
      <c r="V743" s="4"/>
      <c r="W743" s="87"/>
      <c r="X743" s="4"/>
      <c r="Y743" s="4"/>
      <c r="Z743" s="4"/>
      <c r="AA743" s="4"/>
      <c r="AB743" s="4"/>
      <c r="AC743" s="12"/>
      <c r="AD743" s="4"/>
      <c r="AE743" s="4"/>
    </row>
    <row r="744">
      <c r="A744" s="4"/>
      <c r="B744" s="84"/>
      <c r="C744" s="84"/>
      <c r="D744" s="8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12"/>
      <c r="U744" s="4"/>
      <c r="V744" s="4"/>
      <c r="W744" s="87"/>
      <c r="X744" s="4"/>
      <c r="Y744" s="4"/>
      <c r="Z744" s="4"/>
      <c r="AA744" s="4"/>
      <c r="AB744" s="4"/>
      <c r="AC744" s="12"/>
      <c r="AD744" s="4"/>
      <c r="AE744" s="4"/>
    </row>
    <row r="745">
      <c r="A745" s="4"/>
      <c r="B745" s="84"/>
      <c r="C745" s="84"/>
      <c r="D745" s="8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12"/>
      <c r="U745" s="4"/>
      <c r="V745" s="4"/>
      <c r="W745" s="87"/>
      <c r="X745" s="4"/>
      <c r="Y745" s="4"/>
      <c r="Z745" s="4"/>
      <c r="AA745" s="4"/>
      <c r="AB745" s="4"/>
      <c r="AC745" s="12"/>
      <c r="AD745" s="4"/>
      <c r="AE745" s="4"/>
    </row>
    <row r="746">
      <c r="A746" s="4"/>
      <c r="B746" s="84"/>
      <c r="C746" s="84"/>
      <c r="D746" s="8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12"/>
      <c r="U746" s="4"/>
      <c r="V746" s="4"/>
      <c r="W746" s="87"/>
      <c r="X746" s="4"/>
      <c r="Y746" s="4"/>
      <c r="Z746" s="4"/>
      <c r="AA746" s="4"/>
      <c r="AB746" s="4"/>
      <c r="AC746" s="12"/>
      <c r="AD746" s="4"/>
      <c r="AE746" s="4"/>
    </row>
    <row r="747">
      <c r="A747" s="4"/>
      <c r="B747" s="84"/>
      <c r="C747" s="84"/>
      <c r="D747" s="8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12"/>
      <c r="U747" s="4"/>
      <c r="V747" s="4"/>
      <c r="W747" s="87"/>
      <c r="X747" s="4"/>
      <c r="Y747" s="4"/>
      <c r="Z747" s="4"/>
      <c r="AA747" s="4"/>
      <c r="AB747" s="4"/>
      <c r="AC747" s="12"/>
      <c r="AD747" s="4"/>
      <c r="AE747" s="4"/>
    </row>
    <row r="748">
      <c r="A748" s="4"/>
      <c r="B748" s="84"/>
      <c r="C748" s="84"/>
      <c r="D748" s="8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12"/>
      <c r="U748" s="4"/>
      <c r="V748" s="4"/>
      <c r="W748" s="87"/>
      <c r="X748" s="4"/>
      <c r="Y748" s="4"/>
      <c r="Z748" s="4"/>
      <c r="AA748" s="4"/>
      <c r="AB748" s="4"/>
      <c r="AC748" s="12"/>
      <c r="AD748" s="4"/>
      <c r="AE748" s="4"/>
    </row>
    <row r="749">
      <c r="A749" s="4"/>
      <c r="B749" s="84"/>
      <c r="C749" s="84"/>
      <c r="D749" s="8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12"/>
      <c r="U749" s="4"/>
      <c r="V749" s="4"/>
      <c r="W749" s="87"/>
      <c r="X749" s="4"/>
      <c r="Y749" s="4"/>
      <c r="Z749" s="4"/>
      <c r="AA749" s="4"/>
      <c r="AB749" s="4"/>
      <c r="AC749" s="12"/>
      <c r="AD749" s="4"/>
      <c r="AE749" s="4"/>
    </row>
    <row r="750">
      <c r="A750" s="4"/>
      <c r="B750" s="84"/>
      <c r="C750" s="84"/>
      <c r="D750" s="8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12"/>
      <c r="U750" s="4"/>
      <c r="V750" s="4"/>
      <c r="W750" s="87"/>
      <c r="X750" s="4"/>
      <c r="Y750" s="4"/>
      <c r="Z750" s="4"/>
      <c r="AA750" s="4"/>
      <c r="AB750" s="4"/>
      <c r="AC750" s="12"/>
      <c r="AD750" s="4"/>
      <c r="AE750" s="4"/>
    </row>
    <row r="751">
      <c r="A751" s="4"/>
      <c r="B751" s="84"/>
      <c r="C751" s="84"/>
      <c r="D751" s="8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12"/>
      <c r="U751" s="4"/>
      <c r="V751" s="4"/>
      <c r="W751" s="87"/>
      <c r="X751" s="4"/>
      <c r="Y751" s="4"/>
      <c r="Z751" s="4"/>
      <c r="AA751" s="4"/>
      <c r="AB751" s="4"/>
      <c r="AC751" s="12"/>
      <c r="AD751" s="4"/>
      <c r="AE751" s="4"/>
    </row>
    <row r="752">
      <c r="A752" s="4"/>
      <c r="B752" s="84"/>
      <c r="C752" s="84"/>
      <c r="D752" s="8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12"/>
      <c r="U752" s="4"/>
      <c r="V752" s="4"/>
      <c r="W752" s="87"/>
      <c r="X752" s="4"/>
      <c r="Y752" s="4"/>
      <c r="Z752" s="4"/>
      <c r="AA752" s="4"/>
      <c r="AB752" s="4"/>
      <c r="AC752" s="12"/>
      <c r="AD752" s="4"/>
      <c r="AE752" s="4"/>
    </row>
    <row r="753">
      <c r="A753" s="4"/>
      <c r="B753" s="84"/>
      <c r="C753" s="84"/>
      <c r="D753" s="8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12"/>
      <c r="U753" s="4"/>
      <c r="V753" s="4"/>
      <c r="W753" s="87"/>
      <c r="X753" s="4"/>
      <c r="Y753" s="4"/>
      <c r="Z753" s="4"/>
      <c r="AA753" s="4"/>
      <c r="AB753" s="4"/>
      <c r="AC753" s="12"/>
      <c r="AD753" s="4"/>
      <c r="AE753" s="4"/>
    </row>
    <row r="754">
      <c r="A754" s="4"/>
      <c r="B754" s="84"/>
      <c r="C754" s="84"/>
      <c r="D754" s="8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12"/>
      <c r="U754" s="4"/>
      <c r="V754" s="4"/>
      <c r="W754" s="87"/>
      <c r="X754" s="4"/>
      <c r="Y754" s="4"/>
      <c r="Z754" s="4"/>
      <c r="AA754" s="4"/>
      <c r="AB754" s="4"/>
      <c r="AC754" s="12"/>
      <c r="AD754" s="4"/>
      <c r="AE754" s="4"/>
    </row>
    <row r="755">
      <c r="A755" s="4"/>
      <c r="B755" s="84"/>
      <c r="C755" s="84"/>
      <c r="D755" s="8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12"/>
      <c r="U755" s="4"/>
      <c r="V755" s="4"/>
      <c r="W755" s="87"/>
      <c r="X755" s="4"/>
      <c r="Y755" s="4"/>
      <c r="Z755" s="4"/>
      <c r="AA755" s="4"/>
      <c r="AB755" s="4"/>
      <c r="AC755" s="12"/>
      <c r="AD755" s="4"/>
      <c r="AE755" s="4"/>
    </row>
    <row r="756">
      <c r="A756" s="4"/>
      <c r="B756" s="84"/>
      <c r="C756" s="84"/>
      <c r="D756" s="8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12"/>
      <c r="U756" s="4"/>
      <c r="V756" s="4"/>
      <c r="W756" s="87"/>
      <c r="X756" s="4"/>
      <c r="Y756" s="4"/>
      <c r="Z756" s="4"/>
      <c r="AA756" s="4"/>
      <c r="AB756" s="4"/>
      <c r="AC756" s="12"/>
      <c r="AD756" s="4"/>
      <c r="AE756" s="4"/>
    </row>
    <row r="757">
      <c r="A757" s="4"/>
      <c r="B757" s="84"/>
      <c r="C757" s="84"/>
      <c r="D757" s="8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12"/>
      <c r="U757" s="4"/>
      <c r="V757" s="4"/>
      <c r="W757" s="87"/>
      <c r="X757" s="4"/>
      <c r="Y757" s="4"/>
      <c r="Z757" s="4"/>
      <c r="AA757" s="4"/>
      <c r="AB757" s="4"/>
      <c r="AC757" s="12"/>
      <c r="AD757" s="4"/>
      <c r="AE757" s="4"/>
    </row>
    <row r="758">
      <c r="A758" s="4"/>
      <c r="B758" s="84"/>
      <c r="C758" s="84"/>
      <c r="D758" s="8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12"/>
      <c r="U758" s="4"/>
      <c r="V758" s="4"/>
      <c r="W758" s="87"/>
      <c r="X758" s="4"/>
      <c r="Y758" s="4"/>
      <c r="Z758" s="4"/>
      <c r="AA758" s="4"/>
      <c r="AB758" s="4"/>
      <c r="AC758" s="12"/>
      <c r="AD758" s="4"/>
      <c r="AE758" s="4"/>
    </row>
    <row r="759">
      <c r="A759" s="4"/>
      <c r="B759" s="84"/>
      <c r="C759" s="84"/>
      <c r="D759" s="8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12"/>
      <c r="U759" s="4"/>
      <c r="V759" s="4"/>
      <c r="W759" s="87"/>
      <c r="X759" s="4"/>
      <c r="Y759" s="4"/>
      <c r="Z759" s="4"/>
      <c r="AA759" s="4"/>
      <c r="AB759" s="4"/>
      <c r="AC759" s="12"/>
      <c r="AD759" s="4"/>
      <c r="AE759" s="4"/>
    </row>
    <row r="760">
      <c r="A760" s="4"/>
      <c r="B760" s="84"/>
      <c r="C760" s="84"/>
      <c r="D760" s="8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12"/>
      <c r="U760" s="4"/>
      <c r="V760" s="4"/>
      <c r="W760" s="87"/>
      <c r="X760" s="4"/>
      <c r="Y760" s="4"/>
      <c r="Z760" s="4"/>
      <c r="AA760" s="4"/>
      <c r="AB760" s="4"/>
      <c r="AC760" s="12"/>
      <c r="AD760" s="4"/>
      <c r="AE760" s="4"/>
    </row>
    <row r="761">
      <c r="A761" s="4"/>
      <c r="B761" s="84"/>
      <c r="C761" s="84"/>
      <c r="D761" s="8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12"/>
      <c r="U761" s="4"/>
      <c r="V761" s="4"/>
      <c r="W761" s="87"/>
      <c r="X761" s="4"/>
      <c r="Y761" s="4"/>
      <c r="Z761" s="4"/>
      <c r="AA761" s="4"/>
      <c r="AB761" s="4"/>
      <c r="AC761" s="12"/>
      <c r="AD761" s="4"/>
      <c r="AE761" s="4"/>
    </row>
    <row r="762">
      <c r="A762" s="4"/>
      <c r="B762" s="84"/>
      <c r="C762" s="84"/>
      <c r="D762" s="8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12"/>
      <c r="U762" s="4"/>
      <c r="V762" s="4"/>
      <c r="W762" s="87"/>
      <c r="X762" s="4"/>
      <c r="Y762" s="4"/>
      <c r="Z762" s="4"/>
      <c r="AA762" s="4"/>
      <c r="AB762" s="4"/>
      <c r="AC762" s="12"/>
      <c r="AD762" s="4"/>
      <c r="AE762" s="4"/>
    </row>
    <row r="763">
      <c r="A763" s="4"/>
      <c r="B763" s="84"/>
      <c r="C763" s="84"/>
      <c r="D763" s="8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12"/>
      <c r="U763" s="4"/>
      <c r="V763" s="4"/>
      <c r="W763" s="87"/>
      <c r="X763" s="4"/>
      <c r="Y763" s="4"/>
      <c r="Z763" s="4"/>
      <c r="AA763" s="4"/>
      <c r="AB763" s="4"/>
      <c r="AC763" s="12"/>
      <c r="AD763" s="4"/>
      <c r="AE763" s="4"/>
    </row>
    <row r="764">
      <c r="A764" s="4"/>
      <c r="B764" s="84"/>
      <c r="C764" s="84"/>
      <c r="D764" s="8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12"/>
      <c r="U764" s="4"/>
      <c r="V764" s="4"/>
      <c r="W764" s="87"/>
      <c r="X764" s="4"/>
      <c r="Y764" s="4"/>
      <c r="Z764" s="4"/>
      <c r="AA764" s="4"/>
      <c r="AB764" s="4"/>
      <c r="AC764" s="12"/>
      <c r="AD764" s="4"/>
      <c r="AE764" s="4"/>
    </row>
    <row r="765">
      <c r="A765" s="4"/>
      <c r="B765" s="84"/>
      <c r="C765" s="84"/>
      <c r="D765" s="8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12"/>
      <c r="U765" s="4"/>
      <c r="V765" s="4"/>
      <c r="W765" s="87"/>
      <c r="X765" s="4"/>
      <c r="Y765" s="4"/>
      <c r="Z765" s="4"/>
      <c r="AA765" s="4"/>
      <c r="AB765" s="4"/>
      <c r="AC765" s="12"/>
      <c r="AD765" s="4"/>
      <c r="AE765" s="4"/>
    </row>
    <row r="766">
      <c r="A766" s="4"/>
      <c r="B766" s="84"/>
      <c r="C766" s="84"/>
      <c r="D766" s="8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12"/>
      <c r="U766" s="4"/>
      <c r="V766" s="4"/>
      <c r="W766" s="87"/>
      <c r="X766" s="4"/>
      <c r="Y766" s="4"/>
      <c r="Z766" s="4"/>
      <c r="AA766" s="4"/>
      <c r="AB766" s="4"/>
      <c r="AC766" s="12"/>
      <c r="AD766" s="4"/>
      <c r="AE766" s="4"/>
    </row>
    <row r="767">
      <c r="A767" s="4"/>
      <c r="B767" s="84"/>
      <c r="C767" s="84"/>
      <c r="D767" s="8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12"/>
      <c r="U767" s="4"/>
      <c r="V767" s="4"/>
      <c r="W767" s="87"/>
      <c r="X767" s="4"/>
      <c r="Y767" s="4"/>
      <c r="Z767" s="4"/>
      <c r="AA767" s="4"/>
      <c r="AB767" s="4"/>
      <c r="AC767" s="12"/>
      <c r="AD767" s="4"/>
      <c r="AE767" s="4"/>
    </row>
    <row r="768">
      <c r="A768" s="4"/>
      <c r="B768" s="84"/>
      <c r="C768" s="84"/>
      <c r="D768" s="8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12"/>
      <c r="U768" s="4"/>
      <c r="V768" s="4"/>
      <c r="W768" s="87"/>
      <c r="X768" s="4"/>
      <c r="Y768" s="4"/>
      <c r="Z768" s="4"/>
      <c r="AA768" s="4"/>
      <c r="AB768" s="4"/>
      <c r="AC768" s="12"/>
      <c r="AD768" s="4"/>
      <c r="AE768" s="4"/>
    </row>
    <row r="769">
      <c r="A769" s="4"/>
      <c r="B769" s="84"/>
      <c r="C769" s="84"/>
      <c r="D769" s="8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12"/>
      <c r="U769" s="4"/>
      <c r="V769" s="4"/>
      <c r="W769" s="87"/>
      <c r="X769" s="4"/>
      <c r="Y769" s="4"/>
      <c r="Z769" s="4"/>
      <c r="AA769" s="4"/>
      <c r="AB769" s="4"/>
      <c r="AC769" s="12"/>
      <c r="AD769" s="4"/>
      <c r="AE769" s="4"/>
    </row>
    <row r="770">
      <c r="A770" s="4"/>
      <c r="B770" s="84"/>
      <c r="C770" s="84"/>
      <c r="D770" s="8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12"/>
      <c r="U770" s="4"/>
      <c r="V770" s="4"/>
      <c r="W770" s="87"/>
      <c r="X770" s="4"/>
      <c r="Y770" s="4"/>
      <c r="Z770" s="4"/>
      <c r="AA770" s="4"/>
      <c r="AB770" s="4"/>
      <c r="AC770" s="12"/>
      <c r="AD770" s="4"/>
      <c r="AE770" s="4"/>
    </row>
    <row r="771">
      <c r="A771" s="4"/>
      <c r="B771" s="84"/>
      <c r="C771" s="84"/>
      <c r="D771" s="8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12"/>
      <c r="U771" s="4"/>
      <c r="V771" s="4"/>
      <c r="W771" s="87"/>
      <c r="X771" s="4"/>
      <c r="Y771" s="4"/>
      <c r="Z771" s="4"/>
      <c r="AA771" s="4"/>
      <c r="AB771" s="4"/>
      <c r="AC771" s="12"/>
      <c r="AD771" s="4"/>
      <c r="AE771" s="4"/>
    </row>
    <row r="772">
      <c r="A772" s="4"/>
      <c r="B772" s="84"/>
      <c r="C772" s="84"/>
      <c r="D772" s="8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12"/>
      <c r="U772" s="4"/>
      <c r="V772" s="4"/>
      <c r="W772" s="87"/>
      <c r="X772" s="4"/>
      <c r="Y772" s="4"/>
      <c r="Z772" s="4"/>
      <c r="AA772" s="4"/>
      <c r="AB772" s="4"/>
      <c r="AC772" s="12"/>
      <c r="AD772" s="4"/>
      <c r="AE772" s="4"/>
    </row>
    <row r="773">
      <c r="A773" s="4"/>
      <c r="B773" s="84"/>
      <c r="C773" s="84"/>
      <c r="D773" s="8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2"/>
      <c r="U773" s="4"/>
      <c r="V773" s="4"/>
      <c r="W773" s="87"/>
      <c r="X773" s="4"/>
      <c r="Y773" s="4"/>
      <c r="Z773" s="4"/>
      <c r="AA773" s="4"/>
      <c r="AB773" s="4"/>
      <c r="AC773" s="12"/>
      <c r="AD773" s="4"/>
      <c r="AE773" s="4"/>
    </row>
    <row r="774">
      <c r="A774" s="4"/>
      <c r="B774" s="84"/>
      <c r="C774" s="84"/>
      <c r="D774" s="8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12"/>
      <c r="U774" s="4"/>
      <c r="V774" s="4"/>
      <c r="W774" s="87"/>
      <c r="X774" s="4"/>
      <c r="Y774" s="4"/>
      <c r="Z774" s="4"/>
      <c r="AA774" s="4"/>
      <c r="AB774" s="4"/>
      <c r="AC774" s="12"/>
      <c r="AD774" s="4"/>
      <c r="AE774" s="4"/>
    </row>
    <row r="775">
      <c r="A775" s="4"/>
      <c r="B775" s="84"/>
      <c r="C775" s="84"/>
      <c r="D775" s="8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12"/>
      <c r="U775" s="4"/>
      <c r="V775" s="4"/>
      <c r="W775" s="87"/>
      <c r="X775" s="4"/>
      <c r="Y775" s="4"/>
      <c r="Z775" s="4"/>
      <c r="AA775" s="4"/>
      <c r="AB775" s="4"/>
      <c r="AC775" s="12"/>
      <c r="AD775" s="4"/>
      <c r="AE775" s="4"/>
    </row>
    <row r="776">
      <c r="A776" s="4"/>
      <c r="B776" s="84"/>
      <c r="C776" s="84"/>
      <c r="D776" s="8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12"/>
      <c r="U776" s="4"/>
      <c r="V776" s="4"/>
      <c r="W776" s="87"/>
      <c r="X776" s="4"/>
      <c r="Y776" s="4"/>
      <c r="Z776" s="4"/>
      <c r="AA776" s="4"/>
      <c r="AB776" s="4"/>
      <c r="AC776" s="12"/>
      <c r="AD776" s="4"/>
      <c r="AE776" s="4"/>
    </row>
    <row r="777">
      <c r="A777" s="4"/>
      <c r="B777" s="84"/>
      <c r="C777" s="84"/>
      <c r="D777" s="8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12"/>
      <c r="U777" s="4"/>
      <c r="V777" s="4"/>
      <c r="W777" s="87"/>
      <c r="X777" s="4"/>
      <c r="Y777" s="4"/>
      <c r="Z777" s="4"/>
      <c r="AA777" s="4"/>
      <c r="AB777" s="4"/>
      <c r="AC777" s="12"/>
      <c r="AD777" s="4"/>
      <c r="AE777" s="4"/>
    </row>
    <row r="778">
      <c r="A778" s="4"/>
      <c r="B778" s="84"/>
      <c r="C778" s="84"/>
      <c r="D778" s="8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12"/>
      <c r="U778" s="4"/>
      <c r="V778" s="4"/>
      <c r="W778" s="87"/>
      <c r="X778" s="4"/>
      <c r="Y778" s="4"/>
      <c r="Z778" s="4"/>
      <c r="AA778" s="4"/>
      <c r="AB778" s="4"/>
      <c r="AC778" s="12"/>
      <c r="AD778" s="4"/>
      <c r="AE778" s="4"/>
    </row>
    <row r="779">
      <c r="A779" s="4"/>
      <c r="B779" s="84"/>
      <c r="C779" s="84"/>
      <c r="D779" s="8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12"/>
      <c r="U779" s="4"/>
      <c r="V779" s="4"/>
      <c r="W779" s="87"/>
      <c r="X779" s="4"/>
      <c r="Y779" s="4"/>
      <c r="Z779" s="4"/>
      <c r="AA779" s="4"/>
      <c r="AB779" s="4"/>
      <c r="AC779" s="12"/>
      <c r="AD779" s="4"/>
      <c r="AE779" s="4"/>
    </row>
    <row r="780">
      <c r="A780" s="4"/>
      <c r="B780" s="84"/>
      <c r="C780" s="84"/>
      <c r="D780" s="8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12"/>
      <c r="U780" s="4"/>
      <c r="V780" s="4"/>
      <c r="W780" s="87"/>
      <c r="X780" s="4"/>
      <c r="Y780" s="4"/>
      <c r="Z780" s="4"/>
      <c r="AA780" s="4"/>
      <c r="AB780" s="4"/>
      <c r="AC780" s="12"/>
      <c r="AD780" s="4"/>
      <c r="AE780" s="4"/>
    </row>
    <row r="781">
      <c r="A781" s="4"/>
      <c r="B781" s="84"/>
      <c r="C781" s="84"/>
      <c r="D781" s="8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12"/>
      <c r="U781" s="4"/>
      <c r="V781" s="4"/>
      <c r="W781" s="87"/>
      <c r="X781" s="4"/>
      <c r="Y781" s="4"/>
      <c r="Z781" s="4"/>
      <c r="AA781" s="4"/>
      <c r="AB781" s="4"/>
      <c r="AC781" s="12"/>
      <c r="AD781" s="4"/>
      <c r="AE781" s="4"/>
    </row>
    <row r="782">
      <c r="A782" s="4"/>
      <c r="B782" s="84"/>
      <c r="C782" s="84"/>
      <c r="D782" s="8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12"/>
      <c r="U782" s="4"/>
      <c r="V782" s="4"/>
      <c r="W782" s="87"/>
      <c r="X782" s="4"/>
      <c r="Y782" s="4"/>
      <c r="Z782" s="4"/>
      <c r="AA782" s="4"/>
      <c r="AB782" s="4"/>
      <c r="AC782" s="12"/>
      <c r="AD782" s="4"/>
      <c r="AE782" s="4"/>
    </row>
    <row r="783">
      <c r="A783" s="4"/>
      <c r="B783" s="84"/>
      <c r="C783" s="84"/>
      <c r="D783" s="8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12"/>
      <c r="U783" s="4"/>
      <c r="V783" s="4"/>
      <c r="W783" s="87"/>
      <c r="X783" s="4"/>
      <c r="Y783" s="4"/>
      <c r="Z783" s="4"/>
      <c r="AA783" s="4"/>
      <c r="AB783" s="4"/>
      <c r="AC783" s="12"/>
      <c r="AD783" s="4"/>
      <c r="AE783" s="4"/>
    </row>
    <row r="784">
      <c r="A784" s="4"/>
      <c r="B784" s="84"/>
      <c r="C784" s="84"/>
      <c r="D784" s="8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12"/>
      <c r="U784" s="4"/>
      <c r="V784" s="4"/>
      <c r="W784" s="87"/>
      <c r="X784" s="4"/>
      <c r="Y784" s="4"/>
      <c r="Z784" s="4"/>
      <c r="AA784" s="4"/>
      <c r="AB784" s="4"/>
      <c r="AC784" s="12"/>
      <c r="AD784" s="4"/>
      <c r="AE784" s="4"/>
    </row>
    <row r="785">
      <c r="A785" s="4"/>
      <c r="B785" s="84"/>
      <c r="C785" s="84"/>
      <c r="D785" s="8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12"/>
      <c r="U785" s="4"/>
      <c r="V785" s="4"/>
      <c r="W785" s="87"/>
      <c r="X785" s="4"/>
      <c r="Y785" s="4"/>
      <c r="Z785" s="4"/>
      <c r="AA785" s="4"/>
      <c r="AB785" s="4"/>
      <c r="AC785" s="12"/>
      <c r="AD785" s="4"/>
      <c r="AE785" s="4"/>
    </row>
    <row r="786">
      <c r="A786" s="4"/>
      <c r="B786" s="84"/>
      <c r="C786" s="84"/>
      <c r="D786" s="8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12"/>
      <c r="U786" s="4"/>
      <c r="V786" s="4"/>
      <c r="W786" s="87"/>
      <c r="X786" s="4"/>
      <c r="Y786" s="4"/>
      <c r="Z786" s="4"/>
      <c r="AA786" s="4"/>
      <c r="AB786" s="4"/>
      <c r="AC786" s="12"/>
      <c r="AD786" s="4"/>
      <c r="AE786" s="4"/>
    </row>
    <row r="787">
      <c r="A787" s="4"/>
      <c r="B787" s="84"/>
      <c r="C787" s="84"/>
      <c r="D787" s="8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12"/>
      <c r="U787" s="4"/>
      <c r="V787" s="4"/>
      <c r="W787" s="87"/>
      <c r="X787" s="4"/>
      <c r="Y787" s="4"/>
      <c r="Z787" s="4"/>
      <c r="AA787" s="4"/>
      <c r="AB787" s="4"/>
      <c r="AC787" s="12"/>
      <c r="AD787" s="4"/>
      <c r="AE787" s="4"/>
    </row>
    <row r="788">
      <c r="A788" s="4"/>
      <c r="B788" s="84"/>
      <c r="C788" s="84"/>
      <c r="D788" s="8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12"/>
      <c r="U788" s="4"/>
      <c r="V788" s="4"/>
      <c r="W788" s="87"/>
      <c r="X788" s="4"/>
      <c r="Y788" s="4"/>
      <c r="Z788" s="4"/>
      <c r="AA788" s="4"/>
      <c r="AB788" s="4"/>
      <c r="AC788" s="12"/>
      <c r="AD788" s="4"/>
      <c r="AE788" s="4"/>
    </row>
    <row r="789">
      <c r="A789" s="4"/>
      <c r="B789" s="84"/>
      <c r="C789" s="84"/>
      <c r="D789" s="8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12"/>
      <c r="U789" s="4"/>
      <c r="V789" s="4"/>
      <c r="W789" s="87"/>
      <c r="X789" s="4"/>
      <c r="Y789" s="4"/>
      <c r="Z789" s="4"/>
      <c r="AA789" s="4"/>
      <c r="AB789" s="4"/>
      <c r="AC789" s="12"/>
      <c r="AD789" s="4"/>
      <c r="AE789" s="4"/>
    </row>
    <row r="790">
      <c r="A790" s="4"/>
      <c r="B790" s="84"/>
      <c r="C790" s="84"/>
      <c r="D790" s="8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12"/>
      <c r="U790" s="4"/>
      <c r="V790" s="4"/>
      <c r="W790" s="87"/>
      <c r="X790" s="4"/>
      <c r="Y790" s="4"/>
      <c r="Z790" s="4"/>
      <c r="AA790" s="4"/>
      <c r="AB790" s="4"/>
      <c r="AC790" s="12"/>
      <c r="AD790" s="4"/>
      <c r="AE790" s="4"/>
    </row>
    <row r="791">
      <c r="A791" s="4"/>
      <c r="B791" s="84"/>
      <c r="C791" s="84"/>
      <c r="D791" s="8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12"/>
      <c r="U791" s="4"/>
      <c r="V791" s="4"/>
      <c r="W791" s="87"/>
      <c r="X791" s="4"/>
      <c r="Y791" s="4"/>
      <c r="Z791" s="4"/>
      <c r="AA791" s="4"/>
      <c r="AB791" s="4"/>
      <c r="AC791" s="12"/>
      <c r="AD791" s="4"/>
      <c r="AE791" s="4"/>
    </row>
    <row r="792">
      <c r="A792" s="4"/>
      <c r="B792" s="84"/>
      <c r="C792" s="84"/>
      <c r="D792" s="8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12"/>
      <c r="U792" s="4"/>
      <c r="V792" s="4"/>
      <c r="W792" s="87"/>
      <c r="X792" s="4"/>
      <c r="Y792" s="4"/>
      <c r="Z792" s="4"/>
      <c r="AA792" s="4"/>
      <c r="AB792" s="4"/>
      <c r="AC792" s="12"/>
      <c r="AD792" s="4"/>
      <c r="AE792" s="4"/>
    </row>
    <row r="793">
      <c r="A793" s="4"/>
      <c r="B793" s="84"/>
      <c r="C793" s="84"/>
      <c r="D793" s="8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12"/>
      <c r="U793" s="4"/>
      <c r="V793" s="4"/>
      <c r="W793" s="87"/>
      <c r="X793" s="4"/>
      <c r="Y793" s="4"/>
      <c r="Z793" s="4"/>
      <c r="AA793" s="4"/>
      <c r="AB793" s="4"/>
      <c r="AC793" s="12"/>
      <c r="AD793" s="4"/>
      <c r="AE793" s="4"/>
    </row>
    <row r="794">
      <c r="A794" s="4"/>
      <c r="B794" s="84"/>
      <c r="C794" s="84"/>
      <c r="D794" s="8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12"/>
      <c r="U794" s="4"/>
      <c r="V794" s="4"/>
      <c r="W794" s="87"/>
      <c r="X794" s="4"/>
      <c r="Y794" s="4"/>
      <c r="Z794" s="4"/>
      <c r="AA794" s="4"/>
      <c r="AB794" s="4"/>
      <c r="AC794" s="12"/>
      <c r="AD794" s="4"/>
      <c r="AE794" s="4"/>
    </row>
    <row r="795">
      <c r="A795" s="4"/>
      <c r="B795" s="84"/>
      <c r="C795" s="84"/>
      <c r="D795" s="8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12"/>
      <c r="U795" s="4"/>
      <c r="V795" s="4"/>
      <c r="W795" s="87"/>
      <c r="X795" s="4"/>
      <c r="Y795" s="4"/>
      <c r="Z795" s="4"/>
      <c r="AA795" s="4"/>
      <c r="AB795" s="4"/>
      <c r="AC795" s="12"/>
      <c r="AD795" s="4"/>
      <c r="AE795" s="4"/>
    </row>
    <row r="796">
      <c r="A796" s="4"/>
      <c r="B796" s="84"/>
      <c r="C796" s="84"/>
      <c r="D796" s="8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12"/>
      <c r="U796" s="4"/>
      <c r="V796" s="4"/>
      <c r="W796" s="87"/>
      <c r="X796" s="4"/>
      <c r="Y796" s="4"/>
      <c r="Z796" s="4"/>
      <c r="AA796" s="4"/>
      <c r="AB796" s="4"/>
      <c r="AC796" s="12"/>
      <c r="AD796" s="4"/>
      <c r="AE796" s="4"/>
    </row>
    <row r="797">
      <c r="A797" s="4"/>
      <c r="B797" s="84"/>
      <c r="C797" s="84"/>
      <c r="D797" s="8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12"/>
      <c r="U797" s="4"/>
      <c r="V797" s="4"/>
      <c r="W797" s="87"/>
      <c r="X797" s="4"/>
      <c r="Y797" s="4"/>
      <c r="Z797" s="4"/>
      <c r="AA797" s="4"/>
      <c r="AB797" s="4"/>
      <c r="AC797" s="12"/>
      <c r="AD797" s="4"/>
      <c r="AE797" s="4"/>
    </row>
    <row r="798">
      <c r="A798" s="4"/>
      <c r="B798" s="84"/>
      <c r="C798" s="84"/>
      <c r="D798" s="8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12"/>
      <c r="U798" s="4"/>
      <c r="V798" s="4"/>
      <c r="W798" s="87"/>
      <c r="X798" s="4"/>
      <c r="Y798" s="4"/>
      <c r="Z798" s="4"/>
      <c r="AA798" s="4"/>
      <c r="AB798" s="4"/>
      <c r="AC798" s="12"/>
      <c r="AD798" s="4"/>
      <c r="AE798" s="4"/>
    </row>
    <row r="799">
      <c r="A799" s="4"/>
      <c r="B799" s="84"/>
      <c r="C799" s="84"/>
      <c r="D799" s="8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12"/>
      <c r="U799" s="4"/>
      <c r="V799" s="4"/>
      <c r="W799" s="87"/>
      <c r="X799" s="4"/>
      <c r="Y799" s="4"/>
      <c r="Z799" s="4"/>
      <c r="AA799" s="4"/>
      <c r="AB799" s="4"/>
      <c r="AC799" s="12"/>
      <c r="AD799" s="4"/>
      <c r="AE799" s="4"/>
    </row>
    <row r="800">
      <c r="A800" s="4"/>
      <c r="B800" s="84"/>
      <c r="C800" s="84"/>
      <c r="D800" s="8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12"/>
      <c r="U800" s="4"/>
      <c r="V800" s="4"/>
      <c r="W800" s="87"/>
      <c r="X800" s="4"/>
      <c r="Y800" s="4"/>
      <c r="Z800" s="4"/>
      <c r="AA800" s="4"/>
      <c r="AB800" s="4"/>
      <c r="AC800" s="12"/>
      <c r="AD800" s="4"/>
      <c r="AE800" s="4"/>
    </row>
    <row r="801">
      <c r="A801" s="4"/>
      <c r="B801" s="84"/>
      <c r="C801" s="84"/>
      <c r="D801" s="8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12"/>
      <c r="U801" s="4"/>
      <c r="V801" s="4"/>
      <c r="W801" s="87"/>
      <c r="X801" s="4"/>
      <c r="Y801" s="4"/>
      <c r="Z801" s="4"/>
      <c r="AA801" s="4"/>
      <c r="AB801" s="4"/>
      <c r="AC801" s="12"/>
      <c r="AD801" s="4"/>
      <c r="AE801" s="4"/>
    </row>
    <row r="802">
      <c r="A802" s="4"/>
      <c r="B802" s="84"/>
      <c r="C802" s="84"/>
      <c r="D802" s="8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12"/>
      <c r="U802" s="4"/>
      <c r="V802" s="4"/>
      <c r="W802" s="87"/>
      <c r="X802" s="4"/>
      <c r="Y802" s="4"/>
      <c r="Z802" s="4"/>
      <c r="AA802" s="4"/>
      <c r="AB802" s="4"/>
      <c r="AC802" s="12"/>
      <c r="AD802" s="4"/>
      <c r="AE802" s="4"/>
    </row>
    <row r="803">
      <c r="A803" s="4"/>
      <c r="B803" s="84"/>
      <c r="C803" s="84"/>
      <c r="D803" s="8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12"/>
      <c r="U803" s="4"/>
      <c r="V803" s="4"/>
      <c r="W803" s="87"/>
      <c r="X803" s="4"/>
      <c r="Y803" s="4"/>
      <c r="Z803" s="4"/>
      <c r="AA803" s="4"/>
      <c r="AB803" s="4"/>
      <c r="AC803" s="12"/>
      <c r="AD803" s="4"/>
      <c r="AE803" s="4"/>
    </row>
    <row r="804">
      <c r="A804" s="4"/>
      <c r="B804" s="84"/>
      <c r="C804" s="84"/>
      <c r="D804" s="8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12"/>
      <c r="U804" s="4"/>
      <c r="V804" s="4"/>
      <c r="W804" s="87"/>
      <c r="X804" s="4"/>
      <c r="Y804" s="4"/>
      <c r="Z804" s="4"/>
      <c r="AA804" s="4"/>
      <c r="AB804" s="4"/>
      <c r="AC804" s="12"/>
      <c r="AD804" s="4"/>
      <c r="AE804" s="4"/>
    </row>
    <row r="805">
      <c r="A805" s="4"/>
      <c r="B805" s="84"/>
      <c r="C805" s="84"/>
      <c r="D805" s="8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12"/>
      <c r="U805" s="4"/>
      <c r="V805" s="4"/>
      <c r="W805" s="87"/>
      <c r="X805" s="4"/>
      <c r="Y805" s="4"/>
      <c r="Z805" s="4"/>
      <c r="AA805" s="4"/>
      <c r="AB805" s="4"/>
      <c r="AC805" s="12"/>
      <c r="AD805" s="4"/>
      <c r="AE805" s="4"/>
    </row>
    <row r="806">
      <c r="A806" s="4"/>
      <c r="B806" s="84"/>
      <c r="C806" s="84"/>
      <c r="D806" s="8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12"/>
      <c r="U806" s="4"/>
      <c r="V806" s="4"/>
      <c r="W806" s="87"/>
      <c r="X806" s="4"/>
      <c r="Y806" s="4"/>
      <c r="Z806" s="4"/>
      <c r="AA806" s="4"/>
      <c r="AB806" s="4"/>
      <c r="AC806" s="12"/>
      <c r="AD806" s="4"/>
      <c r="AE806" s="4"/>
    </row>
    <row r="807">
      <c r="A807" s="4"/>
      <c r="B807" s="84"/>
      <c r="C807" s="84"/>
      <c r="D807" s="8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12"/>
      <c r="U807" s="4"/>
      <c r="V807" s="4"/>
      <c r="W807" s="87"/>
      <c r="X807" s="4"/>
      <c r="Y807" s="4"/>
      <c r="Z807" s="4"/>
      <c r="AA807" s="4"/>
      <c r="AB807" s="4"/>
      <c r="AC807" s="12"/>
      <c r="AD807" s="4"/>
      <c r="AE807" s="4"/>
    </row>
    <row r="808">
      <c r="A808" s="4"/>
      <c r="B808" s="84"/>
      <c r="C808" s="84"/>
      <c r="D808" s="8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12"/>
      <c r="U808" s="4"/>
      <c r="V808" s="4"/>
      <c r="W808" s="87"/>
      <c r="X808" s="4"/>
      <c r="Y808" s="4"/>
      <c r="Z808" s="4"/>
      <c r="AA808" s="4"/>
      <c r="AB808" s="4"/>
      <c r="AC808" s="12"/>
      <c r="AD808" s="4"/>
      <c r="AE808" s="4"/>
    </row>
    <row r="809">
      <c r="A809" s="4"/>
      <c r="B809" s="84"/>
      <c r="C809" s="84"/>
      <c r="D809" s="8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12"/>
      <c r="U809" s="4"/>
      <c r="V809" s="4"/>
      <c r="W809" s="87"/>
      <c r="X809" s="4"/>
      <c r="Y809" s="4"/>
      <c r="Z809" s="4"/>
      <c r="AA809" s="4"/>
      <c r="AB809" s="4"/>
      <c r="AC809" s="12"/>
      <c r="AD809" s="4"/>
      <c r="AE809" s="4"/>
    </row>
    <row r="810">
      <c r="A810" s="4"/>
      <c r="B810" s="84"/>
      <c r="C810" s="84"/>
      <c r="D810" s="8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12"/>
      <c r="U810" s="4"/>
      <c r="V810" s="4"/>
      <c r="W810" s="87"/>
      <c r="X810" s="4"/>
      <c r="Y810" s="4"/>
      <c r="Z810" s="4"/>
      <c r="AA810" s="4"/>
      <c r="AB810" s="4"/>
      <c r="AC810" s="12"/>
      <c r="AD810" s="4"/>
      <c r="AE810" s="4"/>
    </row>
    <row r="811">
      <c r="A811" s="4"/>
      <c r="B811" s="84"/>
      <c r="C811" s="84"/>
      <c r="D811" s="8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12"/>
      <c r="U811" s="4"/>
      <c r="V811" s="4"/>
      <c r="W811" s="87"/>
      <c r="X811" s="4"/>
      <c r="Y811" s="4"/>
      <c r="Z811" s="4"/>
      <c r="AA811" s="4"/>
      <c r="AB811" s="4"/>
      <c r="AC811" s="12"/>
      <c r="AD811" s="4"/>
      <c r="AE811" s="4"/>
    </row>
    <row r="812">
      <c r="A812" s="4"/>
      <c r="B812" s="84"/>
      <c r="C812" s="84"/>
      <c r="D812" s="8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12"/>
      <c r="U812" s="4"/>
      <c r="V812" s="4"/>
      <c r="W812" s="87"/>
      <c r="X812" s="4"/>
      <c r="Y812" s="4"/>
      <c r="Z812" s="4"/>
      <c r="AA812" s="4"/>
      <c r="AB812" s="4"/>
      <c r="AC812" s="12"/>
      <c r="AD812" s="4"/>
      <c r="AE812" s="4"/>
    </row>
    <row r="813">
      <c r="A813" s="4"/>
      <c r="B813" s="84"/>
      <c r="C813" s="84"/>
      <c r="D813" s="8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12"/>
      <c r="U813" s="4"/>
      <c r="V813" s="4"/>
      <c r="W813" s="87"/>
      <c r="X813" s="4"/>
      <c r="Y813" s="4"/>
      <c r="Z813" s="4"/>
      <c r="AA813" s="4"/>
      <c r="AB813" s="4"/>
      <c r="AC813" s="12"/>
      <c r="AD813" s="4"/>
      <c r="AE813" s="4"/>
    </row>
    <row r="814">
      <c r="A814" s="4"/>
      <c r="B814" s="84"/>
      <c r="C814" s="84"/>
      <c r="D814" s="8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12"/>
      <c r="U814" s="4"/>
      <c r="V814" s="4"/>
      <c r="W814" s="87"/>
      <c r="X814" s="4"/>
      <c r="Y814" s="4"/>
      <c r="Z814" s="4"/>
      <c r="AA814" s="4"/>
      <c r="AB814" s="4"/>
      <c r="AC814" s="12"/>
      <c r="AD814" s="4"/>
      <c r="AE814" s="4"/>
    </row>
    <row r="815">
      <c r="A815" s="4"/>
      <c r="B815" s="84"/>
      <c r="C815" s="84"/>
      <c r="D815" s="8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12"/>
      <c r="U815" s="4"/>
      <c r="V815" s="4"/>
      <c r="W815" s="87"/>
      <c r="X815" s="4"/>
      <c r="Y815" s="4"/>
      <c r="Z815" s="4"/>
      <c r="AA815" s="4"/>
      <c r="AB815" s="4"/>
      <c r="AC815" s="12"/>
      <c r="AD815" s="4"/>
      <c r="AE815" s="4"/>
    </row>
    <row r="816">
      <c r="A816" s="4"/>
      <c r="B816" s="84"/>
      <c r="C816" s="84"/>
      <c r="D816" s="8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12"/>
      <c r="U816" s="4"/>
      <c r="V816" s="4"/>
      <c r="W816" s="87"/>
      <c r="X816" s="4"/>
      <c r="Y816" s="4"/>
      <c r="Z816" s="4"/>
      <c r="AA816" s="4"/>
      <c r="AB816" s="4"/>
      <c r="AC816" s="12"/>
      <c r="AD816" s="4"/>
      <c r="AE816" s="4"/>
    </row>
    <row r="817">
      <c r="A817" s="4"/>
      <c r="B817" s="84"/>
      <c r="C817" s="84"/>
      <c r="D817" s="8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12"/>
      <c r="U817" s="4"/>
      <c r="V817" s="4"/>
      <c r="W817" s="87"/>
      <c r="X817" s="4"/>
      <c r="Y817" s="4"/>
      <c r="Z817" s="4"/>
      <c r="AA817" s="4"/>
      <c r="AB817" s="4"/>
      <c r="AC817" s="12"/>
      <c r="AD817" s="4"/>
      <c r="AE817" s="4"/>
    </row>
    <row r="818">
      <c r="A818" s="4"/>
      <c r="B818" s="84"/>
      <c r="C818" s="84"/>
      <c r="D818" s="8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2"/>
      <c r="U818" s="4"/>
      <c r="V818" s="4"/>
      <c r="W818" s="87"/>
      <c r="X818" s="4"/>
      <c r="Y818" s="4"/>
      <c r="Z818" s="4"/>
      <c r="AA818" s="4"/>
      <c r="AB818" s="4"/>
      <c r="AC818" s="12"/>
      <c r="AD818" s="4"/>
      <c r="AE818" s="4"/>
    </row>
    <row r="819">
      <c r="A819" s="4"/>
      <c r="B819" s="84"/>
      <c r="C819" s="84"/>
      <c r="D819" s="8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12"/>
      <c r="U819" s="4"/>
      <c r="V819" s="4"/>
      <c r="W819" s="87"/>
      <c r="X819" s="4"/>
      <c r="Y819" s="4"/>
      <c r="Z819" s="4"/>
      <c r="AA819" s="4"/>
      <c r="AB819" s="4"/>
      <c r="AC819" s="12"/>
      <c r="AD819" s="4"/>
      <c r="AE819" s="4"/>
    </row>
    <row r="820">
      <c r="A820" s="4"/>
      <c r="B820" s="84"/>
      <c r="C820" s="84"/>
      <c r="D820" s="8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12"/>
      <c r="U820" s="4"/>
      <c r="V820" s="4"/>
      <c r="W820" s="87"/>
      <c r="X820" s="4"/>
      <c r="Y820" s="4"/>
      <c r="Z820" s="4"/>
      <c r="AA820" s="4"/>
      <c r="AB820" s="4"/>
      <c r="AC820" s="12"/>
      <c r="AD820" s="4"/>
      <c r="AE820" s="4"/>
    </row>
    <row r="821">
      <c r="A821" s="4"/>
      <c r="B821" s="84"/>
      <c r="C821" s="84"/>
      <c r="D821" s="8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12"/>
      <c r="U821" s="4"/>
      <c r="V821" s="4"/>
      <c r="W821" s="87"/>
      <c r="X821" s="4"/>
      <c r="Y821" s="4"/>
      <c r="Z821" s="4"/>
      <c r="AA821" s="4"/>
      <c r="AB821" s="4"/>
      <c r="AC821" s="12"/>
      <c r="AD821" s="4"/>
      <c r="AE821" s="4"/>
    </row>
    <row r="822">
      <c r="A822" s="4"/>
      <c r="B822" s="84"/>
      <c r="C822" s="84"/>
      <c r="D822" s="8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12"/>
      <c r="U822" s="4"/>
      <c r="V822" s="4"/>
      <c r="W822" s="87"/>
      <c r="X822" s="4"/>
      <c r="Y822" s="4"/>
      <c r="Z822" s="4"/>
      <c r="AA822" s="4"/>
      <c r="AB822" s="4"/>
      <c r="AC822" s="12"/>
      <c r="AD822" s="4"/>
      <c r="AE822" s="4"/>
    </row>
    <row r="823">
      <c r="A823" s="4"/>
      <c r="B823" s="84"/>
      <c r="C823" s="84"/>
      <c r="D823" s="8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12"/>
      <c r="U823" s="4"/>
      <c r="V823" s="4"/>
      <c r="W823" s="87"/>
      <c r="X823" s="4"/>
      <c r="Y823" s="4"/>
      <c r="Z823" s="4"/>
      <c r="AA823" s="4"/>
      <c r="AB823" s="4"/>
      <c r="AC823" s="12"/>
      <c r="AD823" s="4"/>
      <c r="AE823" s="4"/>
    </row>
    <row r="824">
      <c r="A824" s="4"/>
      <c r="B824" s="84"/>
      <c r="C824" s="84"/>
      <c r="D824" s="8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12"/>
      <c r="U824" s="4"/>
      <c r="V824" s="4"/>
      <c r="W824" s="87"/>
      <c r="X824" s="4"/>
      <c r="Y824" s="4"/>
      <c r="Z824" s="4"/>
      <c r="AA824" s="4"/>
      <c r="AB824" s="4"/>
      <c r="AC824" s="12"/>
      <c r="AD824" s="4"/>
      <c r="AE824" s="4"/>
    </row>
    <row r="825">
      <c r="A825" s="4"/>
      <c r="B825" s="84"/>
      <c r="C825" s="84"/>
      <c r="D825" s="8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12"/>
      <c r="U825" s="4"/>
      <c r="V825" s="4"/>
      <c r="W825" s="87"/>
      <c r="X825" s="4"/>
      <c r="Y825" s="4"/>
      <c r="Z825" s="4"/>
      <c r="AA825" s="4"/>
      <c r="AB825" s="4"/>
      <c r="AC825" s="12"/>
      <c r="AD825" s="4"/>
      <c r="AE825" s="4"/>
    </row>
    <row r="826">
      <c r="A826" s="4"/>
      <c r="B826" s="84"/>
      <c r="C826" s="84"/>
      <c r="D826" s="8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12"/>
      <c r="U826" s="4"/>
      <c r="V826" s="4"/>
      <c r="W826" s="87"/>
      <c r="X826" s="4"/>
      <c r="Y826" s="4"/>
      <c r="Z826" s="4"/>
      <c r="AA826" s="4"/>
      <c r="AB826" s="4"/>
      <c r="AC826" s="12"/>
      <c r="AD826" s="4"/>
      <c r="AE826" s="4"/>
    </row>
    <row r="827">
      <c r="A827" s="4"/>
      <c r="B827" s="84"/>
      <c r="C827" s="84"/>
      <c r="D827" s="8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12"/>
      <c r="U827" s="4"/>
      <c r="V827" s="4"/>
      <c r="W827" s="87"/>
      <c r="X827" s="4"/>
      <c r="Y827" s="4"/>
      <c r="Z827" s="4"/>
      <c r="AA827" s="4"/>
      <c r="AB827" s="4"/>
      <c r="AC827" s="12"/>
      <c r="AD827" s="4"/>
      <c r="AE827" s="4"/>
    </row>
    <row r="828">
      <c r="A828" s="4"/>
      <c r="B828" s="84"/>
      <c r="C828" s="84"/>
      <c r="D828" s="8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12"/>
      <c r="U828" s="4"/>
      <c r="V828" s="4"/>
      <c r="W828" s="87"/>
      <c r="X828" s="4"/>
      <c r="Y828" s="4"/>
      <c r="Z828" s="4"/>
      <c r="AA828" s="4"/>
      <c r="AB828" s="4"/>
      <c r="AC828" s="12"/>
      <c r="AD828" s="4"/>
      <c r="AE828" s="4"/>
    </row>
    <row r="829">
      <c r="A829" s="4"/>
      <c r="B829" s="84"/>
      <c r="C829" s="84"/>
      <c r="D829" s="8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12"/>
      <c r="U829" s="4"/>
      <c r="V829" s="4"/>
      <c r="W829" s="87"/>
      <c r="X829" s="4"/>
      <c r="Y829" s="4"/>
      <c r="Z829" s="4"/>
      <c r="AA829" s="4"/>
      <c r="AB829" s="4"/>
      <c r="AC829" s="12"/>
      <c r="AD829" s="4"/>
      <c r="AE829" s="4"/>
    </row>
    <row r="830">
      <c r="A830" s="4"/>
      <c r="B830" s="84"/>
      <c r="C830" s="84"/>
      <c r="D830" s="8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12"/>
      <c r="U830" s="4"/>
      <c r="V830" s="4"/>
      <c r="W830" s="87"/>
      <c r="X830" s="4"/>
      <c r="Y830" s="4"/>
      <c r="Z830" s="4"/>
      <c r="AA830" s="4"/>
      <c r="AB830" s="4"/>
      <c r="AC830" s="12"/>
      <c r="AD830" s="4"/>
      <c r="AE830" s="4"/>
    </row>
    <row r="831">
      <c r="A831" s="4"/>
      <c r="B831" s="84"/>
      <c r="C831" s="84"/>
      <c r="D831" s="8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12"/>
      <c r="U831" s="4"/>
      <c r="V831" s="4"/>
      <c r="W831" s="87"/>
      <c r="X831" s="4"/>
      <c r="Y831" s="4"/>
      <c r="Z831" s="4"/>
      <c r="AA831" s="4"/>
      <c r="AB831" s="4"/>
      <c r="AC831" s="12"/>
      <c r="AD831" s="4"/>
      <c r="AE831" s="4"/>
    </row>
    <row r="832">
      <c r="A832" s="4"/>
      <c r="B832" s="84"/>
      <c r="C832" s="84"/>
      <c r="D832" s="8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12"/>
      <c r="U832" s="4"/>
      <c r="V832" s="4"/>
      <c r="W832" s="87"/>
      <c r="X832" s="4"/>
      <c r="Y832" s="4"/>
      <c r="Z832" s="4"/>
      <c r="AA832" s="4"/>
      <c r="AB832" s="4"/>
      <c r="AC832" s="12"/>
      <c r="AD832" s="4"/>
      <c r="AE832" s="4"/>
    </row>
    <row r="833">
      <c r="A833" s="4"/>
      <c r="B833" s="84"/>
      <c r="C833" s="84"/>
      <c r="D833" s="8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12"/>
      <c r="U833" s="4"/>
      <c r="V833" s="4"/>
      <c r="W833" s="87"/>
      <c r="X833" s="4"/>
      <c r="Y833" s="4"/>
      <c r="Z833" s="4"/>
      <c r="AA833" s="4"/>
      <c r="AB833" s="4"/>
      <c r="AC833" s="12"/>
      <c r="AD833" s="4"/>
      <c r="AE833" s="4"/>
    </row>
    <row r="834">
      <c r="A834" s="4"/>
      <c r="B834" s="84"/>
      <c r="C834" s="84"/>
      <c r="D834" s="8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12"/>
      <c r="U834" s="4"/>
      <c r="V834" s="4"/>
      <c r="W834" s="87"/>
      <c r="X834" s="4"/>
      <c r="Y834" s="4"/>
      <c r="Z834" s="4"/>
      <c r="AA834" s="4"/>
      <c r="AB834" s="4"/>
      <c r="AC834" s="12"/>
      <c r="AD834" s="4"/>
      <c r="AE834" s="4"/>
    </row>
    <row r="835">
      <c r="A835" s="4"/>
      <c r="B835" s="84"/>
      <c r="C835" s="84"/>
      <c r="D835" s="8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12"/>
      <c r="U835" s="4"/>
      <c r="V835" s="4"/>
      <c r="W835" s="87"/>
      <c r="X835" s="4"/>
      <c r="Y835" s="4"/>
      <c r="Z835" s="4"/>
      <c r="AA835" s="4"/>
      <c r="AB835" s="4"/>
      <c r="AC835" s="12"/>
      <c r="AD835" s="4"/>
      <c r="AE835" s="4"/>
    </row>
    <row r="836">
      <c r="A836" s="4"/>
      <c r="B836" s="84"/>
      <c r="C836" s="84"/>
      <c r="D836" s="8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12"/>
      <c r="U836" s="4"/>
      <c r="V836" s="4"/>
      <c r="W836" s="87"/>
      <c r="X836" s="4"/>
      <c r="Y836" s="4"/>
      <c r="Z836" s="4"/>
      <c r="AA836" s="4"/>
      <c r="AB836" s="4"/>
      <c r="AC836" s="12"/>
      <c r="AD836" s="4"/>
      <c r="AE836" s="4"/>
    </row>
    <row r="837">
      <c r="A837" s="4"/>
      <c r="B837" s="84"/>
      <c r="C837" s="84"/>
      <c r="D837" s="8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12"/>
      <c r="U837" s="4"/>
      <c r="V837" s="4"/>
      <c r="W837" s="87"/>
      <c r="X837" s="4"/>
      <c r="Y837" s="4"/>
      <c r="Z837" s="4"/>
      <c r="AA837" s="4"/>
      <c r="AB837" s="4"/>
      <c r="AC837" s="12"/>
      <c r="AD837" s="4"/>
      <c r="AE837" s="4"/>
    </row>
    <row r="838">
      <c r="A838" s="4"/>
      <c r="B838" s="84"/>
      <c r="C838" s="84"/>
      <c r="D838" s="8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12"/>
      <c r="U838" s="4"/>
      <c r="V838" s="4"/>
      <c r="W838" s="87"/>
      <c r="X838" s="4"/>
      <c r="Y838" s="4"/>
      <c r="Z838" s="4"/>
      <c r="AA838" s="4"/>
      <c r="AB838" s="4"/>
      <c r="AC838" s="12"/>
      <c r="AD838" s="4"/>
      <c r="AE838" s="4"/>
    </row>
    <row r="839">
      <c r="A839" s="4"/>
      <c r="B839" s="84"/>
      <c r="C839" s="84"/>
      <c r="D839" s="8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12"/>
      <c r="U839" s="4"/>
      <c r="V839" s="4"/>
      <c r="W839" s="87"/>
      <c r="X839" s="4"/>
      <c r="Y839" s="4"/>
      <c r="Z839" s="4"/>
      <c r="AA839" s="4"/>
      <c r="AB839" s="4"/>
      <c r="AC839" s="12"/>
      <c r="AD839" s="4"/>
      <c r="AE839" s="4"/>
    </row>
    <row r="840">
      <c r="A840" s="4"/>
      <c r="B840" s="84"/>
      <c r="C840" s="84"/>
      <c r="D840" s="8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12"/>
      <c r="U840" s="4"/>
      <c r="V840" s="4"/>
      <c r="W840" s="87"/>
      <c r="X840" s="4"/>
      <c r="Y840" s="4"/>
      <c r="Z840" s="4"/>
      <c r="AA840" s="4"/>
      <c r="AB840" s="4"/>
      <c r="AC840" s="12"/>
      <c r="AD840" s="4"/>
      <c r="AE840" s="4"/>
    </row>
    <row r="841">
      <c r="A841" s="4"/>
      <c r="B841" s="84"/>
      <c r="C841" s="84"/>
      <c r="D841" s="8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12"/>
      <c r="U841" s="4"/>
      <c r="V841" s="4"/>
      <c r="W841" s="87"/>
      <c r="X841" s="4"/>
      <c r="Y841" s="4"/>
      <c r="Z841" s="4"/>
      <c r="AA841" s="4"/>
      <c r="AB841" s="4"/>
      <c r="AC841" s="12"/>
      <c r="AD841" s="4"/>
      <c r="AE841" s="4"/>
    </row>
    <row r="842">
      <c r="A842" s="4"/>
      <c r="B842" s="84"/>
      <c r="C842" s="84"/>
      <c r="D842" s="8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12"/>
      <c r="U842" s="4"/>
      <c r="V842" s="4"/>
      <c r="W842" s="87"/>
      <c r="X842" s="4"/>
      <c r="Y842" s="4"/>
      <c r="Z842" s="4"/>
      <c r="AA842" s="4"/>
      <c r="AB842" s="4"/>
      <c r="AC842" s="12"/>
      <c r="AD842" s="4"/>
      <c r="AE842" s="4"/>
    </row>
    <row r="843">
      <c r="A843" s="4"/>
      <c r="B843" s="84"/>
      <c r="C843" s="84"/>
      <c r="D843" s="8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12"/>
      <c r="U843" s="4"/>
      <c r="V843" s="4"/>
      <c r="W843" s="87"/>
      <c r="X843" s="4"/>
      <c r="Y843" s="4"/>
      <c r="Z843" s="4"/>
      <c r="AA843" s="4"/>
      <c r="AB843" s="4"/>
      <c r="AC843" s="12"/>
      <c r="AD843" s="4"/>
      <c r="AE843" s="4"/>
    </row>
    <row r="844">
      <c r="A844" s="4"/>
      <c r="B844" s="84"/>
      <c r="C844" s="84"/>
      <c r="D844" s="8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12"/>
      <c r="U844" s="4"/>
      <c r="V844" s="4"/>
      <c r="W844" s="87"/>
      <c r="X844" s="4"/>
      <c r="Y844" s="4"/>
      <c r="Z844" s="4"/>
      <c r="AA844" s="4"/>
      <c r="AB844" s="4"/>
      <c r="AC844" s="12"/>
      <c r="AD844" s="4"/>
      <c r="AE844" s="4"/>
    </row>
    <row r="845">
      <c r="A845" s="4"/>
      <c r="B845" s="84"/>
      <c r="C845" s="84"/>
      <c r="D845" s="8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12"/>
      <c r="U845" s="4"/>
      <c r="V845" s="4"/>
      <c r="W845" s="87"/>
      <c r="X845" s="4"/>
      <c r="Y845" s="4"/>
      <c r="Z845" s="4"/>
      <c r="AA845" s="4"/>
      <c r="AB845" s="4"/>
      <c r="AC845" s="12"/>
      <c r="AD845" s="4"/>
      <c r="AE845" s="4"/>
    </row>
    <row r="846">
      <c r="A846" s="4"/>
      <c r="B846" s="84"/>
      <c r="C846" s="84"/>
      <c r="D846" s="8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12"/>
      <c r="U846" s="4"/>
      <c r="V846" s="4"/>
      <c r="W846" s="87"/>
      <c r="X846" s="4"/>
      <c r="Y846" s="4"/>
      <c r="Z846" s="4"/>
      <c r="AA846" s="4"/>
      <c r="AB846" s="4"/>
      <c r="AC846" s="12"/>
      <c r="AD846" s="4"/>
      <c r="AE846" s="4"/>
    </row>
    <row r="847">
      <c r="A847" s="4"/>
      <c r="B847" s="84"/>
      <c r="C847" s="84"/>
      <c r="D847" s="8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12"/>
      <c r="U847" s="4"/>
      <c r="V847" s="4"/>
      <c r="W847" s="87"/>
      <c r="X847" s="4"/>
      <c r="Y847" s="4"/>
      <c r="Z847" s="4"/>
      <c r="AA847" s="4"/>
      <c r="AB847" s="4"/>
      <c r="AC847" s="12"/>
      <c r="AD847" s="4"/>
      <c r="AE847" s="4"/>
    </row>
    <row r="848">
      <c r="A848" s="4"/>
      <c r="B848" s="84"/>
      <c r="C848" s="84"/>
      <c r="D848" s="8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12"/>
      <c r="U848" s="4"/>
      <c r="V848" s="4"/>
      <c r="W848" s="87"/>
      <c r="X848" s="4"/>
      <c r="Y848" s="4"/>
      <c r="Z848" s="4"/>
      <c r="AA848" s="4"/>
      <c r="AB848" s="4"/>
      <c r="AC848" s="12"/>
      <c r="AD848" s="4"/>
      <c r="AE848" s="4"/>
    </row>
    <row r="849">
      <c r="A849" s="4"/>
      <c r="B849" s="84"/>
      <c r="C849" s="84"/>
      <c r="D849" s="8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12"/>
      <c r="U849" s="4"/>
      <c r="V849" s="4"/>
      <c r="W849" s="87"/>
      <c r="X849" s="4"/>
      <c r="Y849" s="4"/>
      <c r="Z849" s="4"/>
      <c r="AA849" s="4"/>
      <c r="AB849" s="4"/>
      <c r="AC849" s="12"/>
      <c r="AD849" s="4"/>
      <c r="AE849" s="4"/>
    </row>
    <row r="850">
      <c r="A850" s="4"/>
      <c r="B850" s="84"/>
      <c r="C850" s="84"/>
      <c r="D850" s="8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12"/>
      <c r="U850" s="4"/>
      <c r="V850" s="4"/>
      <c r="W850" s="87"/>
      <c r="X850" s="4"/>
      <c r="Y850" s="4"/>
      <c r="Z850" s="4"/>
      <c r="AA850" s="4"/>
      <c r="AB850" s="4"/>
      <c r="AC850" s="12"/>
      <c r="AD850" s="4"/>
      <c r="AE850" s="4"/>
    </row>
    <row r="851">
      <c r="A851" s="4"/>
      <c r="B851" s="84"/>
      <c r="C851" s="84"/>
      <c r="D851" s="8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12"/>
      <c r="U851" s="4"/>
      <c r="V851" s="4"/>
      <c r="W851" s="87"/>
      <c r="X851" s="4"/>
      <c r="Y851" s="4"/>
      <c r="Z851" s="4"/>
      <c r="AA851" s="4"/>
      <c r="AB851" s="4"/>
      <c r="AC851" s="12"/>
      <c r="AD851" s="4"/>
      <c r="AE851" s="4"/>
    </row>
    <row r="852">
      <c r="A852" s="4"/>
      <c r="B852" s="84"/>
      <c r="C852" s="84"/>
      <c r="D852" s="8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12"/>
      <c r="U852" s="4"/>
      <c r="V852" s="4"/>
      <c r="W852" s="87"/>
      <c r="X852" s="4"/>
      <c r="Y852" s="4"/>
      <c r="Z852" s="4"/>
      <c r="AA852" s="4"/>
      <c r="AB852" s="4"/>
      <c r="AC852" s="12"/>
      <c r="AD852" s="4"/>
      <c r="AE852" s="4"/>
    </row>
    <row r="853">
      <c r="A853" s="4"/>
      <c r="B853" s="84"/>
      <c r="C853" s="84"/>
      <c r="D853" s="8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12"/>
      <c r="U853" s="4"/>
      <c r="V853" s="4"/>
      <c r="W853" s="87"/>
      <c r="X853" s="4"/>
      <c r="Y853" s="4"/>
      <c r="Z853" s="4"/>
      <c r="AA853" s="4"/>
      <c r="AB853" s="4"/>
      <c r="AC853" s="12"/>
      <c r="AD853" s="4"/>
      <c r="AE853" s="4"/>
    </row>
    <row r="854">
      <c r="A854" s="4"/>
      <c r="B854" s="84"/>
      <c r="C854" s="84"/>
      <c r="D854" s="8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12"/>
      <c r="U854" s="4"/>
      <c r="V854" s="4"/>
      <c r="W854" s="87"/>
      <c r="X854" s="4"/>
      <c r="Y854" s="4"/>
      <c r="Z854" s="4"/>
      <c r="AA854" s="4"/>
      <c r="AB854" s="4"/>
      <c r="AC854" s="12"/>
      <c r="AD854" s="4"/>
      <c r="AE854" s="4"/>
    </row>
    <row r="855">
      <c r="A855" s="4"/>
      <c r="B855" s="84"/>
      <c r="C855" s="84"/>
      <c r="D855" s="8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12"/>
      <c r="U855" s="4"/>
      <c r="V855" s="4"/>
      <c r="W855" s="87"/>
      <c r="X855" s="4"/>
      <c r="Y855" s="4"/>
      <c r="Z855" s="4"/>
      <c r="AA855" s="4"/>
      <c r="AB855" s="4"/>
      <c r="AC855" s="12"/>
      <c r="AD855" s="4"/>
      <c r="AE855" s="4"/>
    </row>
    <row r="856">
      <c r="A856" s="4"/>
      <c r="B856" s="84"/>
      <c r="C856" s="84"/>
      <c r="D856" s="8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12"/>
      <c r="U856" s="4"/>
      <c r="V856" s="4"/>
      <c r="W856" s="87"/>
      <c r="X856" s="4"/>
      <c r="Y856" s="4"/>
      <c r="Z856" s="4"/>
      <c r="AA856" s="4"/>
      <c r="AB856" s="4"/>
      <c r="AC856" s="12"/>
      <c r="AD856" s="4"/>
      <c r="AE856" s="4"/>
    </row>
    <row r="857">
      <c r="A857" s="4"/>
      <c r="B857" s="84"/>
      <c r="C857" s="84"/>
      <c r="D857" s="8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12"/>
      <c r="U857" s="4"/>
      <c r="V857" s="4"/>
      <c r="W857" s="87"/>
      <c r="X857" s="4"/>
      <c r="Y857" s="4"/>
      <c r="Z857" s="4"/>
      <c r="AA857" s="4"/>
      <c r="AB857" s="4"/>
      <c r="AC857" s="12"/>
      <c r="AD857" s="4"/>
      <c r="AE857" s="4"/>
    </row>
    <row r="858">
      <c r="A858" s="4"/>
      <c r="B858" s="84"/>
      <c r="C858" s="84"/>
      <c r="D858" s="8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12"/>
      <c r="U858" s="4"/>
      <c r="V858" s="4"/>
      <c r="W858" s="87"/>
      <c r="X858" s="4"/>
      <c r="Y858" s="4"/>
      <c r="Z858" s="4"/>
      <c r="AA858" s="4"/>
      <c r="AB858" s="4"/>
      <c r="AC858" s="12"/>
      <c r="AD858" s="4"/>
      <c r="AE858" s="4"/>
    </row>
    <row r="859">
      <c r="A859" s="4"/>
      <c r="B859" s="84"/>
      <c r="C859" s="84"/>
      <c r="D859" s="8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12"/>
      <c r="U859" s="4"/>
      <c r="V859" s="4"/>
      <c r="W859" s="87"/>
      <c r="X859" s="4"/>
      <c r="Y859" s="4"/>
      <c r="Z859" s="4"/>
      <c r="AA859" s="4"/>
      <c r="AB859" s="4"/>
      <c r="AC859" s="12"/>
      <c r="AD859" s="4"/>
      <c r="AE859" s="4"/>
    </row>
    <row r="860">
      <c r="A860" s="4"/>
      <c r="B860" s="84"/>
      <c r="C860" s="84"/>
      <c r="D860" s="8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12"/>
      <c r="U860" s="4"/>
      <c r="V860" s="4"/>
      <c r="W860" s="87"/>
      <c r="X860" s="4"/>
      <c r="Y860" s="4"/>
      <c r="Z860" s="4"/>
      <c r="AA860" s="4"/>
      <c r="AB860" s="4"/>
      <c r="AC860" s="12"/>
      <c r="AD860" s="4"/>
      <c r="AE860" s="4"/>
    </row>
    <row r="861">
      <c r="A861" s="4"/>
      <c r="B861" s="84"/>
      <c r="C861" s="84"/>
      <c r="D861" s="8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12"/>
      <c r="U861" s="4"/>
      <c r="V861" s="4"/>
      <c r="W861" s="87"/>
      <c r="X861" s="4"/>
      <c r="Y861" s="4"/>
      <c r="Z861" s="4"/>
      <c r="AA861" s="4"/>
      <c r="AB861" s="4"/>
      <c r="AC861" s="12"/>
      <c r="AD861" s="4"/>
      <c r="AE861" s="4"/>
    </row>
    <row r="862">
      <c r="A862" s="4"/>
      <c r="B862" s="84"/>
      <c r="C862" s="84"/>
      <c r="D862" s="8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12"/>
      <c r="U862" s="4"/>
      <c r="V862" s="4"/>
      <c r="W862" s="87"/>
      <c r="X862" s="4"/>
      <c r="Y862" s="4"/>
      <c r="Z862" s="4"/>
      <c r="AA862" s="4"/>
      <c r="AB862" s="4"/>
      <c r="AC862" s="12"/>
      <c r="AD862" s="4"/>
      <c r="AE862" s="4"/>
    </row>
    <row r="863">
      <c r="A863" s="4"/>
      <c r="B863" s="84"/>
      <c r="C863" s="84"/>
      <c r="D863" s="8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12"/>
      <c r="U863" s="4"/>
      <c r="V863" s="4"/>
      <c r="W863" s="87"/>
      <c r="X863" s="4"/>
      <c r="Y863" s="4"/>
      <c r="Z863" s="4"/>
      <c r="AA863" s="4"/>
      <c r="AB863" s="4"/>
      <c r="AC863" s="12"/>
      <c r="AD863" s="4"/>
      <c r="AE863" s="4"/>
    </row>
    <row r="864">
      <c r="A864" s="4"/>
      <c r="B864" s="84"/>
      <c r="C864" s="84"/>
      <c r="D864" s="8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12"/>
      <c r="U864" s="4"/>
      <c r="V864" s="4"/>
      <c r="W864" s="87"/>
      <c r="X864" s="4"/>
      <c r="Y864" s="4"/>
      <c r="Z864" s="4"/>
      <c r="AA864" s="4"/>
      <c r="AB864" s="4"/>
      <c r="AC864" s="12"/>
      <c r="AD864" s="4"/>
      <c r="AE864" s="4"/>
    </row>
    <row r="865">
      <c r="A865" s="4"/>
      <c r="B865" s="84"/>
      <c r="C865" s="84"/>
      <c r="D865" s="8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12"/>
      <c r="U865" s="4"/>
      <c r="V865" s="4"/>
      <c r="W865" s="87"/>
      <c r="X865" s="4"/>
      <c r="Y865" s="4"/>
      <c r="Z865" s="4"/>
      <c r="AA865" s="4"/>
      <c r="AB865" s="4"/>
      <c r="AC865" s="12"/>
      <c r="AD865" s="4"/>
      <c r="AE865" s="4"/>
    </row>
    <row r="866">
      <c r="A866" s="4"/>
      <c r="B866" s="84"/>
      <c r="C866" s="84"/>
      <c r="D866" s="8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12"/>
      <c r="U866" s="4"/>
      <c r="V866" s="4"/>
      <c r="W866" s="87"/>
      <c r="X866" s="4"/>
      <c r="Y866" s="4"/>
      <c r="Z866" s="4"/>
      <c r="AA866" s="4"/>
      <c r="AB866" s="4"/>
      <c r="AC866" s="12"/>
      <c r="AD866" s="4"/>
      <c r="AE866" s="4"/>
    </row>
    <row r="867">
      <c r="A867" s="4"/>
      <c r="B867" s="84"/>
      <c r="C867" s="84"/>
      <c r="D867" s="8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12"/>
      <c r="U867" s="4"/>
      <c r="V867" s="4"/>
      <c r="W867" s="87"/>
      <c r="X867" s="4"/>
      <c r="Y867" s="4"/>
      <c r="Z867" s="4"/>
      <c r="AA867" s="4"/>
      <c r="AB867" s="4"/>
      <c r="AC867" s="12"/>
      <c r="AD867" s="4"/>
      <c r="AE867" s="4"/>
    </row>
    <row r="868">
      <c r="A868" s="4"/>
      <c r="B868" s="84"/>
      <c r="C868" s="84"/>
      <c r="D868" s="8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12"/>
      <c r="U868" s="4"/>
      <c r="V868" s="4"/>
      <c r="W868" s="87"/>
      <c r="X868" s="4"/>
      <c r="Y868" s="4"/>
      <c r="Z868" s="4"/>
      <c r="AA868" s="4"/>
      <c r="AB868" s="4"/>
      <c r="AC868" s="12"/>
      <c r="AD868" s="4"/>
      <c r="AE868" s="4"/>
    </row>
    <row r="869">
      <c r="A869" s="4"/>
      <c r="B869" s="84"/>
      <c r="C869" s="84"/>
      <c r="D869" s="8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12"/>
      <c r="U869" s="4"/>
      <c r="V869" s="4"/>
      <c r="W869" s="87"/>
      <c r="X869" s="4"/>
      <c r="Y869" s="4"/>
      <c r="Z869" s="4"/>
      <c r="AA869" s="4"/>
      <c r="AB869" s="4"/>
      <c r="AC869" s="12"/>
      <c r="AD869" s="4"/>
      <c r="AE869" s="4"/>
    </row>
    <row r="870">
      <c r="A870" s="4"/>
      <c r="B870" s="84"/>
      <c r="C870" s="84"/>
      <c r="D870" s="8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12"/>
      <c r="U870" s="4"/>
      <c r="V870" s="4"/>
      <c r="W870" s="87"/>
      <c r="X870" s="4"/>
      <c r="Y870" s="4"/>
      <c r="Z870" s="4"/>
      <c r="AA870" s="4"/>
      <c r="AB870" s="4"/>
      <c r="AC870" s="12"/>
      <c r="AD870" s="4"/>
      <c r="AE870" s="4"/>
    </row>
    <row r="871">
      <c r="A871" s="4"/>
      <c r="B871" s="84"/>
      <c r="C871" s="84"/>
      <c r="D871" s="8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12"/>
      <c r="U871" s="4"/>
      <c r="V871" s="4"/>
      <c r="W871" s="87"/>
      <c r="X871" s="4"/>
      <c r="Y871" s="4"/>
      <c r="Z871" s="4"/>
      <c r="AA871" s="4"/>
      <c r="AB871" s="4"/>
      <c r="AC871" s="12"/>
      <c r="AD871" s="4"/>
      <c r="AE871" s="4"/>
    </row>
    <row r="872">
      <c r="A872" s="4"/>
      <c r="B872" s="84"/>
      <c r="C872" s="84"/>
      <c r="D872" s="8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12"/>
      <c r="U872" s="4"/>
      <c r="V872" s="4"/>
      <c r="W872" s="87"/>
      <c r="X872" s="4"/>
      <c r="Y872" s="4"/>
      <c r="Z872" s="4"/>
      <c r="AA872" s="4"/>
      <c r="AB872" s="4"/>
      <c r="AC872" s="12"/>
      <c r="AD872" s="4"/>
      <c r="AE872" s="4"/>
    </row>
    <row r="873">
      <c r="A873" s="4"/>
      <c r="B873" s="84"/>
      <c r="C873" s="84"/>
      <c r="D873" s="8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12"/>
      <c r="U873" s="4"/>
      <c r="V873" s="4"/>
      <c r="W873" s="87"/>
      <c r="X873" s="4"/>
      <c r="Y873" s="4"/>
      <c r="Z873" s="4"/>
      <c r="AA873" s="4"/>
      <c r="AB873" s="4"/>
      <c r="AC873" s="12"/>
      <c r="AD873" s="4"/>
      <c r="AE873" s="4"/>
    </row>
    <row r="874">
      <c r="A874" s="4"/>
      <c r="B874" s="84"/>
      <c r="C874" s="84"/>
      <c r="D874" s="8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12"/>
      <c r="U874" s="4"/>
      <c r="V874" s="4"/>
      <c r="W874" s="87"/>
      <c r="X874" s="4"/>
      <c r="Y874" s="4"/>
      <c r="Z874" s="4"/>
      <c r="AA874" s="4"/>
      <c r="AB874" s="4"/>
      <c r="AC874" s="12"/>
      <c r="AD874" s="4"/>
      <c r="AE874" s="4"/>
    </row>
    <row r="875">
      <c r="A875" s="4"/>
      <c r="B875" s="84"/>
      <c r="C875" s="84"/>
      <c r="D875" s="8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12"/>
      <c r="U875" s="4"/>
      <c r="V875" s="4"/>
      <c r="W875" s="87"/>
      <c r="X875" s="4"/>
      <c r="Y875" s="4"/>
      <c r="Z875" s="4"/>
      <c r="AA875" s="4"/>
      <c r="AB875" s="4"/>
      <c r="AC875" s="12"/>
      <c r="AD875" s="4"/>
      <c r="AE875" s="4"/>
    </row>
    <row r="876">
      <c r="A876" s="4"/>
      <c r="B876" s="84"/>
      <c r="C876" s="84"/>
      <c r="D876" s="8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12"/>
      <c r="U876" s="4"/>
      <c r="V876" s="4"/>
      <c r="W876" s="87"/>
      <c r="X876" s="4"/>
      <c r="Y876" s="4"/>
      <c r="Z876" s="4"/>
      <c r="AA876" s="4"/>
      <c r="AB876" s="4"/>
      <c r="AC876" s="12"/>
      <c r="AD876" s="4"/>
      <c r="AE876" s="4"/>
    </row>
    <row r="877">
      <c r="A877" s="4"/>
      <c r="B877" s="84"/>
      <c r="C877" s="84"/>
      <c r="D877" s="8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12"/>
      <c r="U877" s="4"/>
      <c r="V877" s="4"/>
      <c r="W877" s="87"/>
      <c r="X877" s="4"/>
      <c r="Y877" s="4"/>
      <c r="Z877" s="4"/>
      <c r="AA877" s="4"/>
      <c r="AB877" s="4"/>
      <c r="AC877" s="12"/>
      <c r="AD877" s="4"/>
      <c r="AE877" s="4"/>
    </row>
    <row r="878">
      <c r="A878" s="4"/>
      <c r="B878" s="84"/>
      <c r="C878" s="84"/>
      <c r="D878" s="8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12"/>
      <c r="U878" s="4"/>
      <c r="V878" s="4"/>
      <c r="W878" s="87"/>
      <c r="X878" s="4"/>
      <c r="Y878" s="4"/>
      <c r="Z878" s="4"/>
      <c r="AA878" s="4"/>
      <c r="AB878" s="4"/>
      <c r="AC878" s="12"/>
      <c r="AD878" s="4"/>
      <c r="AE878" s="4"/>
    </row>
    <row r="879">
      <c r="A879" s="4"/>
      <c r="B879" s="84"/>
      <c r="C879" s="84"/>
      <c r="D879" s="8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12"/>
      <c r="U879" s="4"/>
      <c r="V879" s="4"/>
      <c r="W879" s="87"/>
      <c r="X879" s="4"/>
      <c r="Y879" s="4"/>
      <c r="Z879" s="4"/>
      <c r="AA879" s="4"/>
      <c r="AB879" s="4"/>
      <c r="AC879" s="12"/>
      <c r="AD879" s="4"/>
      <c r="AE879" s="4"/>
    </row>
    <row r="880">
      <c r="A880" s="4"/>
      <c r="B880" s="84"/>
      <c r="C880" s="84"/>
      <c r="D880" s="8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12"/>
      <c r="U880" s="4"/>
      <c r="V880" s="4"/>
      <c r="W880" s="87"/>
      <c r="X880" s="4"/>
      <c r="Y880" s="4"/>
      <c r="Z880" s="4"/>
      <c r="AA880" s="4"/>
      <c r="AB880" s="4"/>
      <c r="AC880" s="12"/>
      <c r="AD880" s="4"/>
      <c r="AE880" s="4"/>
    </row>
    <row r="881">
      <c r="A881" s="4"/>
      <c r="B881" s="84"/>
      <c r="C881" s="84"/>
      <c r="D881" s="8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12"/>
      <c r="U881" s="4"/>
      <c r="V881" s="4"/>
      <c r="W881" s="87"/>
      <c r="X881" s="4"/>
      <c r="Y881" s="4"/>
      <c r="Z881" s="4"/>
      <c r="AA881" s="4"/>
      <c r="AB881" s="4"/>
      <c r="AC881" s="12"/>
      <c r="AD881" s="4"/>
      <c r="AE881" s="4"/>
    </row>
    <row r="882">
      <c r="A882" s="4"/>
      <c r="B882" s="84"/>
      <c r="C882" s="84"/>
      <c r="D882" s="8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12"/>
      <c r="U882" s="4"/>
      <c r="V882" s="4"/>
      <c r="W882" s="87"/>
      <c r="X882" s="4"/>
      <c r="Y882" s="4"/>
      <c r="Z882" s="4"/>
      <c r="AA882" s="4"/>
      <c r="AB882" s="4"/>
      <c r="AC882" s="12"/>
      <c r="AD882" s="4"/>
      <c r="AE882" s="4"/>
    </row>
    <row r="883">
      <c r="A883" s="4"/>
      <c r="B883" s="84"/>
      <c r="C883" s="84"/>
      <c r="D883" s="8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12"/>
      <c r="U883" s="4"/>
      <c r="V883" s="4"/>
      <c r="W883" s="87"/>
      <c r="X883" s="4"/>
      <c r="Y883" s="4"/>
      <c r="Z883" s="4"/>
      <c r="AA883" s="4"/>
      <c r="AB883" s="4"/>
      <c r="AC883" s="12"/>
      <c r="AD883" s="4"/>
      <c r="AE883" s="4"/>
    </row>
    <row r="884">
      <c r="A884" s="4"/>
      <c r="B884" s="84"/>
      <c r="C884" s="84"/>
      <c r="D884" s="8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12"/>
      <c r="U884" s="4"/>
      <c r="V884" s="4"/>
      <c r="W884" s="87"/>
      <c r="X884" s="4"/>
      <c r="Y884" s="4"/>
      <c r="Z884" s="4"/>
      <c r="AA884" s="4"/>
      <c r="AB884" s="4"/>
      <c r="AC884" s="12"/>
      <c r="AD884" s="4"/>
      <c r="AE884" s="4"/>
    </row>
    <row r="885">
      <c r="A885" s="4"/>
      <c r="B885" s="84"/>
      <c r="C885" s="84"/>
      <c r="D885" s="8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12"/>
      <c r="U885" s="4"/>
      <c r="V885" s="4"/>
      <c r="W885" s="87"/>
      <c r="X885" s="4"/>
      <c r="Y885" s="4"/>
      <c r="Z885" s="4"/>
      <c r="AA885" s="4"/>
      <c r="AB885" s="4"/>
      <c r="AC885" s="12"/>
      <c r="AD885" s="4"/>
      <c r="AE885" s="4"/>
    </row>
    <row r="886">
      <c r="A886" s="4"/>
      <c r="B886" s="84"/>
      <c r="C886" s="84"/>
      <c r="D886" s="8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12"/>
      <c r="U886" s="4"/>
      <c r="V886" s="4"/>
      <c r="W886" s="87"/>
      <c r="X886" s="4"/>
      <c r="Y886" s="4"/>
      <c r="Z886" s="4"/>
      <c r="AA886" s="4"/>
      <c r="AB886" s="4"/>
      <c r="AC886" s="12"/>
      <c r="AD886" s="4"/>
      <c r="AE886" s="4"/>
    </row>
    <row r="887">
      <c r="A887" s="4"/>
      <c r="B887" s="84"/>
      <c r="C887" s="84"/>
      <c r="D887" s="8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12"/>
      <c r="U887" s="4"/>
      <c r="V887" s="4"/>
      <c r="W887" s="87"/>
      <c r="X887" s="4"/>
      <c r="Y887" s="4"/>
      <c r="Z887" s="4"/>
      <c r="AA887" s="4"/>
      <c r="AB887" s="4"/>
      <c r="AC887" s="12"/>
      <c r="AD887" s="4"/>
      <c r="AE887" s="4"/>
    </row>
    <row r="888">
      <c r="A888" s="4"/>
      <c r="B888" s="84"/>
      <c r="C888" s="84"/>
      <c r="D888" s="8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12"/>
      <c r="U888" s="4"/>
      <c r="V888" s="4"/>
      <c r="W888" s="87"/>
      <c r="X888" s="4"/>
      <c r="Y888" s="4"/>
      <c r="Z888" s="4"/>
      <c r="AA888" s="4"/>
      <c r="AB888" s="4"/>
      <c r="AC888" s="12"/>
      <c r="AD888" s="4"/>
      <c r="AE888" s="4"/>
    </row>
    <row r="889">
      <c r="A889" s="4"/>
      <c r="B889" s="84"/>
      <c r="C889" s="84"/>
      <c r="D889" s="8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12"/>
      <c r="U889" s="4"/>
      <c r="V889" s="4"/>
      <c r="W889" s="87"/>
      <c r="X889" s="4"/>
      <c r="Y889" s="4"/>
      <c r="Z889" s="4"/>
      <c r="AA889" s="4"/>
      <c r="AB889" s="4"/>
      <c r="AC889" s="12"/>
      <c r="AD889" s="4"/>
      <c r="AE889" s="4"/>
    </row>
    <row r="890">
      <c r="A890" s="4"/>
      <c r="B890" s="84"/>
      <c r="C890" s="84"/>
      <c r="D890" s="8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12"/>
      <c r="U890" s="4"/>
      <c r="V890" s="4"/>
      <c r="W890" s="87"/>
      <c r="X890" s="4"/>
      <c r="Y890" s="4"/>
      <c r="Z890" s="4"/>
      <c r="AA890" s="4"/>
      <c r="AB890" s="4"/>
      <c r="AC890" s="12"/>
      <c r="AD890" s="4"/>
      <c r="AE890" s="4"/>
    </row>
    <row r="891">
      <c r="A891" s="4"/>
      <c r="B891" s="84"/>
      <c r="C891" s="84"/>
      <c r="D891" s="8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12"/>
      <c r="U891" s="4"/>
      <c r="V891" s="4"/>
      <c r="W891" s="87"/>
      <c r="X891" s="4"/>
      <c r="Y891" s="4"/>
      <c r="Z891" s="4"/>
      <c r="AA891" s="4"/>
      <c r="AB891" s="4"/>
      <c r="AC891" s="12"/>
      <c r="AD891" s="4"/>
      <c r="AE891" s="4"/>
    </row>
    <row r="892">
      <c r="A892" s="4"/>
      <c r="B892" s="84"/>
      <c r="C892" s="84"/>
      <c r="D892" s="8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12"/>
      <c r="U892" s="4"/>
      <c r="V892" s="4"/>
      <c r="W892" s="87"/>
      <c r="X892" s="4"/>
      <c r="Y892" s="4"/>
      <c r="Z892" s="4"/>
      <c r="AA892" s="4"/>
      <c r="AB892" s="4"/>
      <c r="AC892" s="12"/>
      <c r="AD892" s="4"/>
      <c r="AE892" s="4"/>
    </row>
    <row r="893">
      <c r="A893" s="4"/>
      <c r="B893" s="84"/>
      <c r="C893" s="84"/>
      <c r="D893" s="8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12"/>
      <c r="U893" s="4"/>
      <c r="V893" s="4"/>
      <c r="W893" s="87"/>
      <c r="X893" s="4"/>
      <c r="Y893" s="4"/>
      <c r="Z893" s="4"/>
      <c r="AA893" s="4"/>
      <c r="AB893" s="4"/>
      <c r="AC893" s="12"/>
      <c r="AD893" s="4"/>
      <c r="AE893" s="4"/>
    </row>
    <row r="894">
      <c r="A894" s="4"/>
      <c r="B894" s="84"/>
      <c r="C894" s="84"/>
      <c r="D894" s="8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12"/>
      <c r="U894" s="4"/>
      <c r="V894" s="4"/>
      <c r="W894" s="87"/>
      <c r="X894" s="4"/>
      <c r="Y894" s="4"/>
      <c r="Z894" s="4"/>
      <c r="AA894" s="4"/>
      <c r="AB894" s="4"/>
      <c r="AC894" s="12"/>
      <c r="AD894" s="4"/>
      <c r="AE894" s="4"/>
    </row>
    <row r="895">
      <c r="A895" s="4"/>
      <c r="B895" s="84"/>
      <c r="C895" s="84"/>
      <c r="D895" s="8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12"/>
      <c r="U895" s="4"/>
      <c r="V895" s="4"/>
      <c r="W895" s="87"/>
      <c r="X895" s="4"/>
      <c r="Y895" s="4"/>
      <c r="Z895" s="4"/>
      <c r="AA895" s="4"/>
      <c r="AB895" s="4"/>
      <c r="AC895" s="12"/>
      <c r="AD895" s="4"/>
      <c r="AE895" s="4"/>
    </row>
    <row r="896">
      <c r="A896" s="4"/>
      <c r="B896" s="84"/>
      <c r="C896" s="84"/>
      <c r="D896" s="8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12"/>
      <c r="U896" s="4"/>
      <c r="V896" s="4"/>
      <c r="W896" s="87"/>
      <c r="X896" s="4"/>
      <c r="Y896" s="4"/>
      <c r="Z896" s="4"/>
      <c r="AA896" s="4"/>
      <c r="AB896" s="4"/>
      <c r="AC896" s="12"/>
      <c r="AD896" s="4"/>
      <c r="AE896" s="4"/>
    </row>
    <row r="897">
      <c r="A897" s="4"/>
      <c r="B897" s="84"/>
      <c r="C897" s="84"/>
      <c r="D897" s="8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12"/>
      <c r="U897" s="4"/>
      <c r="V897" s="4"/>
      <c r="W897" s="87"/>
      <c r="X897" s="4"/>
      <c r="Y897" s="4"/>
      <c r="Z897" s="4"/>
      <c r="AA897" s="4"/>
      <c r="AB897" s="4"/>
      <c r="AC897" s="12"/>
      <c r="AD897" s="4"/>
      <c r="AE897" s="4"/>
    </row>
    <row r="898">
      <c r="A898" s="4"/>
      <c r="B898" s="84"/>
      <c r="C898" s="84"/>
      <c r="D898" s="8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12"/>
      <c r="U898" s="4"/>
      <c r="V898" s="4"/>
      <c r="W898" s="87"/>
      <c r="X898" s="4"/>
      <c r="Y898" s="4"/>
      <c r="Z898" s="4"/>
      <c r="AA898" s="4"/>
      <c r="AB898" s="4"/>
      <c r="AC898" s="12"/>
      <c r="AD898" s="4"/>
      <c r="AE898" s="4"/>
    </row>
    <row r="899">
      <c r="A899" s="4"/>
      <c r="B899" s="84"/>
      <c r="C899" s="84"/>
      <c r="D899" s="8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12"/>
      <c r="U899" s="4"/>
      <c r="V899" s="4"/>
      <c r="W899" s="87"/>
      <c r="X899" s="4"/>
      <c r="Y899" s="4"/>
      <c r="Z899" s="4"/>
      <c r="AA899" s="4"/>
      <c r="AB899" s="4"/>
      <c r="AC899" s="12"/>
      <c r="AD899" s="4"/>
      <c r="AE899" s="4"/>
    </row>
    <row r="900">
      <c r="A900" s="4"/>
      <c r="B900" s="84"/>
      <c r="C900" s="84"/>
      <c r="D900" s="8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12"/>
      <c r="U900" s="4"/>
      <c r="V900" s="4"/>
      <c r="W900" s="87"/>
      <c r="X900" s="4"/>
      <c r="Y900" s="4"/>
      <c r="Z900" s="4"/>
      <c r="AA900" s="4"/>
      <c r="AB900" s="4"/>
      <c r="AC900" s="12"/>
      <c r="AD900" s="4"/>
      <c r="AE900" s="4"/>
    </row>
    <row r="901">
      <c r="A901" s="4"/>
      <c r="B901" s="84"/>
      <c r="C901" s="84"/>
      <c r="D901" s="8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12"/>
      <c r="U901" s="4"/>
      <c r="V901" s="4"/>
      <c r="W901" s="87"/>
      <c r="X901" s="4"/>
      <c r="Y901" s="4"/>
      <c r="Z901" s="4"/>
      <c r="AA901" s="4"/>
      <c r="AB901" s="4"/>
      <c r="AC901" s="12"/>
      <c r="AD901" s="4"/>
      <c r="AE901" s="4"/>
    </row>
    <row r="902">
      <c r="A902" s="4"/>
      <c r="B902" s="84"/>
      <c r="C902" s="84"/>
      <c r="D902" s="8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12"/>
      <c r="U902" s="4"/>
      <c r="V902" s="4"/>
      <c r="W902" s="87"/>
      <c r="X902" s="4"/>
      <c r="Y902" s="4"/>
      <c r="Z902" s="4"/>
      <c r="AA902" s="4"/>
      <c r="AB902" s="4"/>
      <c r="AC902" s="12"/>
      <c r="AD902" s="4"/>
      <c r="AE902" s="4"/>
    </row>
    <row r="903">
      <c r="A903" s="4"/>
      <c r="B903" s="84"/>
      <c r="C903" s="84"/>
      <c r="D903" s="8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12"/>
      <c r="U903" s="4"/>
      <c r="V903" s="4"/>
      <c r="W903" s="87"/>
      <c r="X903" s="4"/>
      <c r="Y903" s="4"/>
      <c r="Z903" s="4"/>
      <c r="AA903" s="4"/>
      <c r="AB903" s="4"/>
      <c r="AC903" s="12"/>
      <c r="AD903" s="4"/>
      <c r="AE903" s="4"/>
    </row>
    <row r="904">
      <c r="A904" s="4"/>
      <c r="B904" s="84"/>
      <c r="C904" s="84"/>
      <c r="D904" s="8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2"/>
      <c r="U904" s="4"/>
      <c r="V904" s="4"/>
      <c r="W904" s="87"/>
      <c r="X904" s="4"/>
      <c r="Y904" s="4"/>
      <c r="Z904" s="4"/>
      <c r="AA904" s="4"/>
      <c r="AB904" s="4"/>
      <c r="AC904" s="12"/>
      <c r="AD904" s="4"/>
      <c r="AE904" s="4"/>
    </row>
    <row r="905">
      <c r="A905" s="4"/>
      <c r="B905" s="84"/>
      <c r="C905" s="84"/>
      <c r="D905" s="8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12"/>
      <c r="U905" s="4"/>
      <c r="V905" s="4"/>
      <c r="W905" s="87"/>
      <c r="X905" s="4"/>
      <c r="Y905" s="4"/>
      <c r="Z905" s="4"/>
      <c r="AA905" s="4"/>
      <c r="AB905" s="4"/>
      <c r="AC905" s="12"/>
      <c r="AD905" s="4"/>
      <c r="AE905" s="4"/>
    </row>
    <row r="906">
      <c r="A906" s="4"/>
      <c r="B906" s="84"/>
      <c r="C906" s="84"/>
      <c r="D906" s="8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12"/>
      <c r="U906" s="4"/>
      <c r="V906" s="4"/>
      <c r="W906" s="87"/>
      <c r="X906" s="4"/>
      <c r="Y906" s="4"/>
      <c r="Z906" s="4"/>
      <c r="AA906" s="4"/>
      <c r="AB906" s="4"/>
      <c r="AC906" s="12"/>
      <c r="AD906" s="4"/>
      <c r="AE906" s="4"/>
    </row>
    <row r="907">
      <c r="A907" s="4"/>
      <c r="B907" s="84"/>
      <c r="C907" s="84"/>
      <c r="D907" s="8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12"/>
      <c r="U907" s="4"/>
      <c r="V907" s="4"/>
      <c r="W907" s="87"/>
      <c r="X907" s="4"/>
      <c r="Y907" s="4"/>
      <c r="Z907" s="4"/>
      <c r="AA907" s="4"/>
      <c r="AB907" s="4"/>
      <c r="AC907" s="12"/>
      <c r="AD907" s="4"/>
      <c r="AE907" s="4"/>
    </row>
    <row r="908">
      <c r="A908" s="4"/>
      <c r="B908" s="84"/>
      <c r="C908" s="84"/>
      <c r="D908" s="8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12"/>
      <c r="U908" s="4"/>
      <c r="V908" s="4"/>
      <c r="W908" s="87"/>
      <c r="X908" s="4"/>
      <c r="Y908" s="4"/>
      <c r="Z908" s="4"/>
      <c r="AA908" s="4"/>
      <c r="AB908" s="4"/>
      <c r="AC908" s="12"/>
      <c r="AD908" s="4"/>
      <c r="AE908" s="4"/>
    </row>
    <row r="909">
      <c r="A909" s="4"/>
      <c r="B909" s="84"/>
      <c r="C909" s="84"/>
      <c r="D909" s="8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12"/>
      <c r="U909" s="4"/>
      <c r="V909" s="4"/>
      <c r="W909" s="87"/>
      <c r="X909" s="4"/>
      <c r="Y909" s="4"/>
      <c r="Z909" s="4"/>
      <c r="AA909" s="4"/>
      <c r="AB909" s="4"/>
      <c r="AC909" s="12"/>
      <c r="AD909" s="4"/>
      <c r="AE909" s="4"/>
    </row>
    <row r="910">
      <c r="A910" s="4"/>
      <c r="B910" s="84"/>
      <c r="C910" s="84"/>
      <c r="D910" s="8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12"/>
      <c r="U910" s="4"/>
      <c r="V910" s="4"/>
      <c r="W910" s="87"/>
      <c r="X910" s="4"/>
      <c r="Y910" s="4"/>
      <c r="Z910" s="4"/>
      <c r="AA910" s="4"/>
      <c r="AB910" s="4"/>
      <c r="AC910" s="12"/>
      <c r="AD910" s="4"/>
      <c r="AE910" s="4"/>
    </row>
    <row r="911">
      <c r="A911" s="4"/>
      <c r="B911" s="84"/>
      <c r="C911" s="84"/>
      <c r="D911" s="8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12"/>
      <c r="U911" s="4"/>
      <c r="V911" s="4"/>
      <c r="W911" s="87"/>
      <c r="X911" s="4"/>
      <c r="Y911" s="4"/>
      <c r="Z911" s="4"/>
      <c r="AA911" s="4"/>
      <c r="AB911" s="4"/>
      <c r="AC911" s="12"/>
      <c r="AD911" s="4"/>
      <c r="AE911" s="4"/>
    </row>
    <row r="912">
      <c r="A912" s="4"/>
      <c r="B912" s="84"/>
      <c r="C912" s="84"/>
      <c r="D912" s="8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12"/>
      <c r="U912" s="4"/>
      <c r="V912" s="4"/>
      <c r="W912" s="87"/>
      <c r="X912" s="4"/>
      <c r="Y912" s="4"/>
      <c r="Z912" s="4"/>
      <c r="AA912" s="4"/>
      <c r="AB912" s="4"/>
      <c r="AC912" s="12"/>
      <c r="AD912" s="4"/>
      <c r="AE912" s="4"/>
    </row>
    <row r="913">
      <c r="A913" s="4"/>
      <c r="B913" s="84"/>
      <c r="C913" s="84"/>
      <c r="D913" s="8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12"/>
      <c r="U913" s="4"/>
      <c r="V913" s="4"/>
      <c r="W913" s="87"/>
      <c r="X913" s="4"/>
      <c r="Y913" s="4"/>
      <c r="Z913" s="4"/>
      <c r="AA913" s="4"/>
      <c r="AB913" s="4"/>
      <c r="AC913" s="12"/>
      <c r="AD913" s="4"/>
      <c r="AE913" s="4"/>
    </row>
    <row r="914">
      <c r="A914" s="4"/>
      <c r="B914" s="84"/>
      <c r="C914" s="84"/>
      <c r="D914" s="8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12"/>
      <c r="U914" s="4"/>
      <c r="V914" s="4"/>
      <c r="W914" s="87"/>
      <c r="X914" s="4"/>
      <c r="Y914" s="4"/>
      <c r="Z914" s="4"/>
      <c r="AA914" s="4"/>
      <c r="AB914" s="4"/>
      <c r="AC914" s="12"/>
      <c r="AD914" s="4"/>
      <c r="AE914" s="4"/>
    </row>
    <row r="915">
      <c r="A915" s="4"/>
      <c r="B915" s="84"/>
      <c r="C915" s="84"/>
      <c r="D915" s="8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12"/>
      <c r="U915" s="4"/>
      <c r="V915" s="4"/>
      <c r="W915" s="87"/>
      <c r="X915" s="4"/>
      <c r="Y915" s="4"/>
      <c r="Z915" s="4"/>
      <c r="AA915" s="4"/>
      <c r="AB915" s="4"/>
      <c r="AC915" s="12"/>
      <c r="AD915" s="4"/>
      <c r="AE915" s="4"/>
    </row>
    <row r="916">
      <c r="A916" s="4"/>
      <c r="B916" s="84"/>
      <c r="C916" s="84"/>
      <c r="D916" s="8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12"/>
      <c r="U916" s="4"/>
      <c r="V916" s="4"/>
      <c r="W916" s="87"/>
      <c r="X916" s="4"/>
      <c r="Y916" s="4"/>
      <c r="Z916" s="4"/>
      <c r="AA916" s="4"/>
      <c r="AB916" s="4"/>
      <c r="AC916" s="12"/>
      <c r="AD916" s="4"/>
      <c r="AE916" s="4"/>
    </row>
    <row r="917">
      <c r="A917" s="4"/>
      <c r="B917" s="84"/>
      <c r="C917" s="84"/>
      <c r="D917" s="8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12"/>
      <c r="U917" s="4"/>
      <c r="V917" s="4"/>
      <c r="W917" s="87"/>
      <c r="X917" s="4"/>
      <c r="Y917" s="4"/>
      <c r="Z917" s="4"/>
      <c r="AA917" s="4"/>
      <c r="AB917" s="4"/>
      <c r="AC917" s="12"/>
      <c r="AD917" s="4"/>
      <c r="AE917" s="4"/>
    </row>
    <row r="918">
      <c r="A918" s="4"/>
      <c r="B918" s="84"/>
      <c r="C918" s="84"/>
      <c r="D918" s="8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12"/>
      <c r="U918" s="4"/>
      <c r="V918" s="4"/>
      <c r="W918" s="87"/>
      <c r="X918" s="4"/>
      <c r="Y918" s="4"/>
      <c r="Z918" s="4"/>
      <c r="AA918" s="4"/>
      <c r="AB918" s="4"/>
      <c r="AC918" s="12"/>
      <c r="AD918" s="4"/>
      <c r="AE918" s="4"/>
    </row>
    <row r="919">
      <c r="A919" s="4"/>
      <c r="B919" s="84"/>
      <c r="C919" s="84"/>
      <c r="D919" s="8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12"/>
      <c r="U919" s="4"/>
      <c r="V919" s="4"/>
      <c r="W919" s="87"/>
      <c r="X919" s="4"/>
      <c r="Y919" s="4"/>
      <c r="Z919" s="4"/>
      <c r="AA919" s="4"/>
      <c r="AB919" s="4"/>
      <c r="AC919" s="12"/>
      <c r="AD919" s="4"/>
      <c r="AE919" s="4"/>
    </row>
    <row r="920">
      <c r="A920" s="4"/>
      <c r="B920" s="84"/>
      <c r="C920" s="84"/>
      <c r="D920" s="8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12"/>
      <c r="U920" s="4"/>
      <c r="V920" s="4"/>
      <c r="W920" s="87"/>
      <c r="X920" s="4"/>
      <c r="Y920" s="4"/>
      <c r="Z920" s="4"/>
      <c r="AA920" s="4"/>
      <c r="AB920" s="4"/>
      <c r="AC920" s="12"/>
      <c r="AD920" s="4"/>
      <c r="AE920" s="4"/>
    </row>
    <row r="921">
      <c r="A921" s="4"/>
      <c r="B921" s="84"/>
      <c r="C921" s="84"/>
      <c r="D921" s="8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12"/>
      <c r="U921" s="4"/>
      <c r="V921" s="4"/>
      <c r="W921" s="87"/>
      <c r="X921" s="4"/>
      <c r="Y921" s="4"/>
      <c r="Z921" s="4"/>
      <c r="AA921" s="4"/>
      <c r="AB921" s="4"/>
      <c r="AC921" s="12"/>
      <c r="AD921" s="4"/>
      <c r="AE921" s="4"/>
    </row>
    <row r="922">
      <c r="A922" s="4"/>
      <c r="B922" s="84"/>
      <c r="C922" s="84"/>
      <c r="D922" s="8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12"/>
      <c r="U922" s="4"/>
      <c r="V922" s="4"/>
      <c r="W922" s="87"/>
      <c r="X922" s="4"/>
      <c r="Y922" s="4"/>
      <c r="Z922" s="4"/>
      <c r="AA922" s="4"/>
      <c r="AB922" s="4"/>
      <c r="AC922" s="12"/>
      <c r="AD922" s="4"/>
      <c r="AE922" s="4"/>
    </row>
    <row r="923">
      <c r="A923" s="4"/>
      <c r="B923" s="84"/>
      <c r="C923" s="84"/>
      <c r="D923" s="8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12"/>
      <c r="U923" s="4"/>
      <c r="V923" s="4"/>
      <c r="W923" s="87"/>
      <c r="X923" s="4"/>
      <c r="Y923" s="4"/>
      <c r="Z923" s="4"/>
      <c r="AA923" s="4"/>
      <c r="AB923" s="4"/>
      <c r="AC923" s="12"/>
      <c r="AD923" s="4"/>
      <c r="AE923" s="4"/>
    </row>
    <row r="924">
      <c r="A924" s="4"/>
      <c r="B924" s="84"/>
      <c r="C924" s="84"/>
      <c r="D924" s="8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12"/>
      <c r="U924" s="4"/>
      <c r="V924" s="4"/>
      <c r="W924" s="87"/>
      <c r="X924" s="4"/>
      <c r="Y924" s="4"/>
      <c r="Z924" s="4"/>
      <c r="AA924" s="4"/>
      <c r="AB924" s="4"/>
      <c r="AC924" s="12"/>
      <c r="AD924" s="4"/>
      <c r="AE924" s="4"/>
    </row>
    <row r="925">
      <c r="A925" s="4"/>
      <c r="B925" s="84"/>
      <c r="C925" s="84"/>
      <c r="D925" s="8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12"/>
      <c r="U925" s="4"/>
      <c r="V925" s="4"/>
      <c r="W925" s="87"/>
      <c r="X925" s="4"/>
      <c r="Y925" s="4"/>
      <c r="Z925" s="4"/>
      <c r="AA925" s="4"/>
      <c r="AB925" s="4"/>
      <c r="AC925" s="12"/>
      <c r="AD925" s="4"/>
      <c r="AE925" s="4"/>
    </row>
    <row r="926">
      <c r="A926" s="4"/>
      <c r="B926" s="84"/>
      <c r="C926" s="84"/>
      <c r="D926" s="8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12"/>
      <c r="U926" s="4"/>
      <c r="V926" s="4"/>
      <c r="W926" s="87"/>
      <c r="X926" s="4"/>
      <c r="Y926" s="4"/>
      <c r="Z926" s="4"/>
      <c r="AA926" s="4"/>
      <c r="AB926" s="4"/>
      <c r="AC926" s="12"/>
      <c r="AD926" s="4"/>
      <c r="AE926" s="4"/>
    </row>
    <row r="927">
      <c r="A927" s="4"/>
      <c r="B927" s="84"/>
      <c r="C927" s="84"/>
      <c r="D927" s="8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12"/>
      <c r="U927" s="4"/>
      <c r="V927" s="4"/>
      <c r="W927" s="87"/>
      <c r="X927" s="4"/>
      <c r="Y927" s="4"/>
      <c r="Z927" s="4"/>
      <c r="AA927" s="4"/>
      <c r="AB927" s="4"/>
      <c r="AC927" s="12"/>
      <c r="AD927" s="4"/>
      <c r="AE927" s="4"/>
    </row>
    <row r="928">
      <c r="A928" s="4"/>
      <c r="B928" s="84"/>
      <c r="C928" s="84"/>
      <c r="D928" s="8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12"/>
      <c r="U928" s="4"/>
      <c r="V928" s="4"/>
      <c r="W928" s="87"/>
      <c r="X928" s="4"/>
      <c r="Y928" s="4"/>
      <c r="Z928" s="4"/>
      <c r="AA928" s="4"/>
      <c r="AB928" s="4"/>
      <c r="AC928" s="12"/>
      <c r="AD928" s="4"/>
      <c r="AE928" s="4"/>
    </row>
    <row r="929">
      <c r="A929" s="4"/>
      <c r="B929" s="84"/>
      <c r="C929" s="84"/>
      <c r="D929" s="8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12"/>
      <c r="U929" s="4"/>
      <c r="V929" s="4"/>
      <c r="W929" s="87"/>
      <c r="X929" s="4"/>
      <c r="Y929" s="4"/>
      <c r="Z929" s="4"/>
      <c r="AA929" s="4"/>
      <c r="AB929" s="4"/>
      <c r="AC929" s="12"/>
      <c r="AD929" s="4"/>
      <c r="AE929" s="4"/>
    </row>
    <row r="930">
      <c r="A930" s="4"/>
      <c r="B930" s="84"/>
      <c r="C930" s="84"/>
      <c r="D930" s="8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12"/>
      <c r="U930" s="4"/>
      <c r="V930" s="4"/>
      <c r="W930" s="87"/>
      <c r="X930" s="4"/>
      <c r="Y930" s="4"/>
      <c r="Z930" s="4"/>
      <c r="AA930" s="4"/>
      <c r="AB930" s="4"/>
      <c r="AC930" s="12"/>
      <c r="AD930" s="4"/>
      <c r="AE930" s="4"/>
    </row>
    <row r="931">
      <c r="A931" s="4"/>
      <c r="B931" s="84"/>
      <c r="C931" s="84"/>
      <c r="D931" s="8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12"/>
      <c r="U931" s="4"/>
      <c r="V931" s="4"/>
      <c r="W931" s="87"/>
      <c r="X931" s="4"/>
      <c r="Y931" s="4"/>
      <c r="Z931" s="4"/>
      <c r="AA931" s="4"/>
      <c r="AB931" s="4"/>
      <c r="AC931" s="12"/>
      <c r="AD931" s="4"/>
      <c r="AE931" s="4"/>
    </row>
    <row r="932">
      <c r="A932" s="4"/>
      <c r="B932" s="84"/>
      <c r="C932" s="84"/>
      <c r="D932" s="8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12"/>
      <c r="U932" s="4"/>
      <c r="V932" s="4"/>
      <c r="W932" s="87"/>
      <c r="X932" s="4"/>
      <c r="Y932" s="4"/>
      <c r="Z932" s="4"/>
      <c r="AA932" s="4"/>
      <c r="AB932" s="4"/>
      <c r="AC932" s="12"/>
      <c r="AD932" s="4"/>
      <c r="AE932" s="4"/>
    </row>
    <row r="933">
      <c r="A933" s="4"/>
      <c r="B933" s="84"/>
      <c r="C933" s="84"/>
      <c r="D933" s="8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12"/>
      <c r="U933" s="4"/>
      <c r="V933" s="4"/>
      <c r="W933" s="87"/>
      <c r="X933" s="4"/>
      <c r="Y933" s="4"/>
      <c r="Z933" s="4"/>
      <c r="AA933" s="4"/>
      <c r="AB933" s="4"/>
      <c r="AC933" s="12"/>
      <c r="AD933" s="4"/>
      <c r="AE933" s="4"/>
    </row>
    <row r="934">
      <c r="A934" s="4"/>
      <c r="B934" s="84"/>
      <c r="C934" s="84"/>
      <c r="D934" s="8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12"/>
      <c r="U934" s="4"/>
      <c r="V934" s="4"/>
      <c r="W934" s="87"/>
      <c r="X934" s="4"/>
      <c r="Y934" s="4"/>
      <c r="Z934" s="4"/>
      <c r="AA934" s="4"/>
      <c r="AB934" s="4"/>
      <c r="AC934" s="12"/>
      <c r="AD934" s="4"/>
      <c r="AE934" s="4"/>
    </row>
    <row r="935">
      <c r="A935" s="4"/>
      <c r="B935" s="84"/>
      <c r="C935" s="84"/>
      <c r="D935" s="8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12"/>
      <c r="U935" s="4"/>
      <c r="V935" s="4"/>
      <c r="W935" s="87"/>
      <c r="X935" s="4"/>
      <c r="Y935" s="4"/>
      <c r="Z935" s="4"/>
      <c r="AA935" s="4"/>
      <c r="AB935" s="4"/>
      <c r="AC935" s="12"/>
      <c r="AD935" s="4"/>
      <c r="AE935" s="4"/>
    </row>
    <row r="936">
      <c r="A936" s="4"/>
      <c r="B936" s="84"/>
      <c r="C936" s="84"/>
      <c r="D936" s="8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12"/>
      <c r="U936" s="4"/>
      <c r="V936" s="4"/>
      <c r="W936" s="87"/>
      <c r="X936" s="4"/>
      <c r="Y936" s="4"/>
      <c r="Z936" s="4"/>
      <c r="AA936" s="4"/>
      <c r="AB936" s="4"/>
      <c r="AC936" s="12"/>
      <c r="AD936" s="4"/>
      <c r="AE936" s="4"/>
    </row>
    <row r="937">
      <c r="A937" s="4"/>
      <c r="B937" s="84"/>
      <c r="C937" s="84"/>
      <c r="D937" s="8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12"/>
      <c r="U937" s="4"/>
      <c r="V937" s="4"/>
      <c r="W937" s="87"/>
      <c r="X937" s="4"/>
      <c r="Y937" s="4"/>
      <c r="Z937" s="4"/>
      <c r="AA937" s="4"/>
      <c r="AB937" s="4"/>
      <c r="AC937" s="12"/>
      <c r="AD937" s="4"/>
      <c r="AE937" s="4"/>
    </row>
    <row r="938">
      <c r="A938" s="4"/>
      <c r="B938" s="84"/>
      <c r="C938" s="84"/>
      <c r="D938" s="8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12"/>
      <c r="U938" s="4"/>
      <c r="V938" s="4"/>
      <c r="W938" s="87"/>
      <c r="X938" s="4"/>
      <c r="Y938" s="4"/>
      <c r="Z938" s="4"/>
      <c r="AA938" s="4"/>
      <c r="AB938" s="4"/>
      <c r="AC938" s="12"/>
      <c r="AD938" s="4"/>
      <c r="AE938" s="4"/>
    </row>
    <row r="939">
      <c r="A939" s="4"/>
      <c r="B939" s="84"/>
      <c r="C939" s="84"/>
      <c r="D939" s="8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12"/>
      <c r="U939" s="4"/>
      <c r="V939" s="4"/>
      <c r="W939" s="87"/>
      <c r="X939" s="4"/>
      <c r="Y939" s="4"/>
      <c r="Z939" s="4"/>
      <c r="AA939" s="4"/>
      <c r="AB939" s="4"/>
      <c r="AC939" s="12"/>
      <c r="AD939" s="4"/>
      <c r="AE939" s="4"/>
    </row>
    <row r="940">
      <c r="A940" s="4"/>
      <c r="B940" s="84"/>
      <c r="C940" s="84"/>
      <c r="D940" s="8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12"/>
      <c r="U940" s="4"/>
      <c r="V940" s="4"/>
      <c r="W940" s="87"/>
      <c r="X940" s="4"/>
      <c r="Y940" s="4"/>
      <c r="Z940" s="4"/>
      <c r="AA940" s="4"/>
      <c r="AB940" s="4"/>
      <c r="AC940" s="12"/>
      <c r="AD940" s="4"/>
      <c r="AE940" s="4"/>
    </row>
    <row r="941">
      <c r="A941" s="4"/>
      <c r="B941" s="84"/>
      <c r="C941" s="84"/>
      <c r="D941" s="8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12"/>
      <c r="U941" s="4"/>
      <c r="V941" s="4"/>
      <c r="W941" s="87"/>
      <c r="X941" s="4"/>
      <c r="Y941" s="4"/>
      <c r="Z941" s="4"/>
      <c r="AA941" s="4"/>
      <c r="AB941" s="4"/>
      <c r="AC941" s="12"/>
      <c r="AD941" s="4"/>
      <c r="AE941" s="4"/>
    </row>
    <row r="942">
      <c r="A942" s="4"/>
      <c r="B942" s="84"/>
      <c r="C942" s="84"/>
      <c r="D942" s="8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12"/>
      <c r="U942" s="4"/>
      <c r="V942" s="4"/>
      <c r="W942" s="87"/>
      <c r="X942" s="4"/>
      <c r="Y942" s="4"/>
      <c r="Z942" s="4"/>
      <c r="AA942" s="4"/>
      <c r="AB942" s="4"/>
      <c r="AC942" s="12"/>
      <c r="AD942" s="4"/>
      <c r="AE942" s="4"/>
    </row>
    <row r="943">
      <c r="A943" s="4"/>
      <c r="B943" s="84"/>
      <c r="C943" s="84"/>
      <c r="D943" s="8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12"/>
      <c r="U943" s="4"/>
      <c r="V943" s="4"/>
      <c r="W943" s="87"/>
      <c r="X943" s="4"/>
      <c r="Y943" s="4"/>
      <c r="Z943" s="4"/>
      <c r="AA943" s="4"/>
      <c r="AB943" s="4"/>
      <c r="AC943" s="12"/>
      <c r="AD943" s="4"/>
      <c r="AE943" s="4"/>
    </row>
    <row r="944">
      <c r="A944" s="4"/>
      <c r="B944" s="84"/>
      <c r="C944" s="84"/>
      <c r="D944" s="8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12"/>
      <c r="U944" s="4"/>
      <c r="V944" s="4"/>
      <c r="W944" s="87"/>
      <c r="X944" s="4"/>
      <c r="Y944" s="4"/>
      <c r="Z944" s="4"/>
      <c r="AA944" s="4"/>
      <c r="AB944" s="4"/>
      <c r="AC944" s="12"/>
      <c r="AD944" s="4"/>
      <c r="AE944" s="4"/>
    </row>
    <row r="945">
      <c r="A945" s="4"/>
      <c r="B945" s="84"/>
      <c r="C945" s="84"/>
      <c r="D945" s="8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12"/>
      <c r="U945" s="4"/>
      <c r="V945" s="4"/>
      <c r="W945" s="87"/>
      <c r="X945" s="4"/>
      <c r="Y945" s="4"/>
      <c r="Z945" s="4"/>
      <c r="AA945" s="4"/>
      <c r="AB945" s="4"/>
      <c r="AC945" s="12"/>
      <c r="AD945" s="4"/>
      <c r="AE945" s="4"/>
    </row>
    <row r="946">
      <c r="A946" s="4"/>
      <c r="B946" s="84"/>
      <c r="C946" s="84"/>
      <c r="D946" s="8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12"/>
      <c r="U946" s="4"/>
      <c r="V946" s="4"/>
      <c r="W946" s="87"/>
      <c r="X946" s="4"/>
      <c r="Y946" s="4"/>
      <c r="Z946" s="4"/>
      <c r="AA946" s="4"/>
      <c r="AB946" s="4"/>
      <c r="AC946" s="12"/>
      <c r="AD946" s="4"/>
      <c r="AE946" s="4"/>
    </row>
    <row r="947">
      <c r="A947" s="4"/>
      <c r="B947" s="84"/>
      <c r="C947" s="84"/>
      <c r="D947" s="8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12"/>
      <c r="U947" s="4"/>
      <c r="V947" s="4"/>
      <c r="W947" s="87"/>
      <c r="X947" s="4"/>
      <c r="Y947" s="4"/>
      <c r="Z947" s="4"/>
      <c r="AA947" s="4"/>
      <c r="AB947" s="4"/>
      <c r="AC947" s="12"/>
      <c r="AD947" s="4"/>
      <c r="AE947" s="4"/>
    </row>
    <row r="948">
      <c r="A948" s="4"/>
      <c r="B948" s="84"/>
      <c r="C948" s="84"/>
      <c r="D948" s="8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12"/>
      <c r="U948" s="4"/>
      <c r="V948" s="4"/>
      <c r="W948" s="87"/>
      <c r="X948" s="4"/>
      <c r="Y948" s="4"/>
      <c r="Z948" s="4"/>
      <c r="AA948" s="4"/>
      <c r="AB948" s="4"/>
      <c r="AC948" s="12"/>
      <c r="AD948" s="4"/>
      <c r="AE948" s="4"/>
    </row>
    <row r="949">
      <c r="A949" s="4"/>
      <c r="B949" s="84"/>
      <c r="C949" s="84"/>
      <c r="D949" s="8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12"/>
      <c r="U949" s="4"/>
      <c r="V949" s="4"/>
      <c r="W949" s="87"/>
      <c r="X949" s="4"/>
      <c r="Y949" s="4"/>
      <c r="Z949" s="4"/>
      <c r="AA949" s="4"/>
      <c r="AB949" s="4"/>
      <c r="AC949" s="12"/>
      <c r="AD949" s="4"/>
      <c r="AE949" s="4"/>
    </row>
    <row r="950">
      <c r="A950" s="4"/>
      <c r="B950" s="84"/>
      <c r="C950" s="84"/>
      <c r="D950" s="8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12"/>
      <c r="U950" s="4"/>
      <c r="V950" s="4"/>
      <c r="W950" s="87"/>
      <c r="X950" s="4"/>
      <c r="Y950" s="4"/>
      <c r="Z950" s="4"/>
      <c r="AA950" s="4"/>
      <c r="AB950" s="4"/>
      <c r="AC950" s="12"/>
      <c r="AD950" s="4"/>
      <c r="AE950" s="4"/>
    </row>
    <row r="951">
      <c r="A951" s="4"/>
      <c r="B951" s="84"/>
      <c r="C951" s="84"/>
      <c r="D951" s="8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12"/>
      <c r="U951" s="4"/>
      <c r="V951" s="4"/>
      <c r="W951" s="87"/>
      <c r="X951" s="4"/>
      <c r="Y951" s="4"/>
      <c r="Z951" s="4"/>
      <c r="AA951" s="4"/>
      <c r="AB951" s="4"/>
      <c r="AC951" s="12"/>
      <c r="AD951" s="4"/>
      <c r="AE951" s="4"/>
    </row>
    <row r="952">
      <c r="A952" s="4"/>
      <c r="B952" s="84"/>
      <c r="C952" s="84"/>
      <c r="D952" s="8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12"/>
      <c r="U952" s="4"/>
      <c r="V952" s="4"/>
      <c r="W952" s="87"/>
      <c r="X952" s="4"/>
      <c r="Y952" s="4"/>
      <c r="Z952" s="4"/>
      <c r="AA952" s="4"/>
      <c r="AB952" s="4"/>
      <c r="AC952" s="12"/>
      <c r="AD952" s="4"/>
      <c r="AE952" s="4"/>
    </row>
    <row r="953">
      <c r="A953" s="4"/>
      <c r="B953" s="84"/>
      <c r="C953" s="84"/>
      <c r="D953" s="8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12"/>
      <c r="U953" s="4"/>
      <c r="V953" s="4"/>
      <c r="W953" s="87"/>
      <c r="X953" s="4"/>
      <c r="Y953" s="4"/>
      <c r="Z953" s="4"/>
      <c r="AA953" s="4"/>
      <c r="AB953" s="4"/>
      <c r="AC953" s="12"/>
      <c r="AD953" s="4"/>
      <c r="AE953" s="4"/>
    </row>
    <row r="954">
      <c r="A954" s="4"/>
      <c r="B954" s="84"/>
      <c r="C954" s="84"/>
      <c r="D954" s="8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12"/>
      <c r="U954" s="4"/>
      <c r="V954" s="4"/>
      <c r="W954" s="87"/>
      <c r="X954" s="4"/>
      <c r="Y954" s="4"/>
      <c r="Z954" s="4"/>
      <c r="AA954" s="4"/>
      <c r="AB954" s="4"/>
      <c r="AC954" s="12"/>
      <c r="AD954" s="4"/>
      <c r="AE954" s="4"/>
    </row>
    <row r="955">
      <c r="A955" s="4"/>
      <c r="B955" s="84"/>
      <c r="C955" s="84"/>
      <c r="D955" s="8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12"/>
      <c r="U955" s="4"/>
      <c r="V955" s="4"/>
      <c r="W955" s="87"/>
      <c r="X955" s="4"/>
      <c r="Y955" s="4"/>
      <c r="Z955" s="4"/>
      <c r="AA955" s="4"/>
      <c r="AB955" s="4"/>
      <c r="AC955" s="12"/>
      <c r="AD955" s="4"/>
      <c r="AE955" s="4"/>
    </row>
    <row r="956">
      <c r="A956" s="4"/>
      <c r="B956" s="84"/>
      <c r="C956" s="84"/>
      <c r="D956" s="8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12"/>
      <c r="U956" s="4"/>
      <c r="V956" s="4"/>
      <c r="W956" s="87"/>
      <c r="X956" s="4"/>
      <c r="Y956" s="4"/>
      <c r="Z956" s="4"/>
      <c r="AA956" s="4"/>
      <c r="AB956" s="4"/>
      <c r="AC956" s="12"/>
      <c r="AD956" s="4"/>
      <c r="AE956" s="4"/>
    </row>
    <row r="957">
      <c r="A957" s="4"/>
      <c r="B957" s="84"/>
      <c r="C957" s="84"/>
      <c r="D957" s="8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12"/>
      <c r="U957" s="4"/>
      <c r="V957" s="4"/>
      <c r="W957" s="87"/>
      <c r="X957" s="4"/>
      <c r="Y957" s="4"/>
      <c r="Z957" s="4"/>
      <c r="AA957" s="4"/>
      <c r="AB957" s="4"/>
      <c r="AC957" s="12"/>
      <c r="AD957" s="4"/>
      <c r="AE957" s="4"/>
    </row>
    <row r="958">
      <c r="A958" s="4"/>
      <c r="B958" s="84"/>
      <c r="C958" s="84"/>
      <c r="D958" s="8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12"/>
      <c r="U958" s="4"/>
      <c r="V958" s="4"/>
      <c r="W958" s="87"/>
      <c r="X958" s="4"/>
      <c r="Y958" s="4"/>
      <c r="Z958" s="4"/>
      <c r="AA958" s="4"/>
      <c r="AB958" s="4"/>
      <c r="AC958" s="12"/>
      <c r="AD958" s="4"/>
      <c r="AE958" s="4"/>
    </row>
    <row r="959">
      <c r="A959" s="4"/>
      <c r="B959" s="84"/>
      <c r="C959" s="84"/>
      <c r="D959" s="8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12"/>
      <c r="U959" s="4"/>
      <c r="V959" s="4"/>
      <c r="W959" s="87"/>
      <c r="X959" s="4"/>
      <c r="Y959" s="4"/>
      <c r="Z959" s="4"/>
      <c r="AA959" s="4"/>
      <c r="AB959" s="4"/>
      <c r="AC959" s="12"/>
      <c r="AD959" s="4"/>
      <c r="AE959" s="4"/>
    </row>
    <row r="960">
      <c r="A960" s="4"/>
      <c r="B960" s="84"/>
      <c r="C960" s="84"/>
      <c r="D960" s="8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12"/>
      <c r="U960" s="4"/>
      <c r="V960" s="4"/>
      <c r="W960" s="87"/>
      <c r="X960" s="4"/>
      <c r="Y960" s="4"/>
      <c r="Z960" s="4"/>
      <c r="AA960" s="4"/>
      <c r="AB960" s="4"/>
      <c r="AC960" s="12"/>
      <c r="AD960" s="4"/>
      <c r="AE960" s="4"/>
    </row>
    <row r="961">
      <c r="A961" s="4"/>
      <c r="B961" s="84"/>
      <c r="C961" s="84"/>
      <c r="D961" s="8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12"/>
      <c r="U961" s="4"/>
      <c r="V961" s="4"/>
      <c r="W961" s="87"/>
      <c r="X961" s="4"/>
      <c r="Y961" s="4"/>
      <c r="Z961" s="4"/>
      <c r="AA961" s="4"/>
      <c r="AB961" s="4"/>
      <c r="AC961" s="12"/>
      <c r="AD961" s="4"/>
      <c r="AE961" s="4"/>
    </row>
    <row r="962">
      <c r="A962" s="4"/>
      <c r="B962" s="84"/>
      <c r="C962" s="84"/>
      <c r="D962" s="8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12"/>
      <c r="U962" s="4"/>
      <c r="V962" s="4"/>
      <c r="W962" s="87"/>
      <c r="X962" s="4"/>
      <c r="Y962" s="4"/>
      <c r="Z962" s="4"/>
      <c r="AA962" s="4"/>
      <c r="AB962" s="4"/>
      <c r="AC962" s="12"/>
      <c r="AD962" s="4"/>
      <c r="AE962" s="4"/>
    </row>
    <row r="963">
      <c r="A963" s="4"/>
      <c r="B963" s="84"/>
      <c r="C963" s="84"/>
      <c r="D963" s="8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2"/>
      <c r="U963" s="4"/>
      <c r="V963" s="4"/>
      <c r="W963" s="87"/>
      <c r="X963" s="4"/>
      <c r="Y963" s="4"/>
      <c r="Z963" s="4"/>
      <c r="AA963" s="4"/>
      <c r="AB963" s="4"/>
      <c r="AC963" s="12"/>
      <c r="AD963" s="4"/>
      <c r="AE963" s="4"/>
    </row>
    <row r="964">
      <c r="A964" s="4"/>
      <c r="B964" s="84"/>
      <c r="C964" s="84"/>
      <c r="D964" s="8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12"/>
      <c r="U964" s="4"/>
      <c r="V964" s="4"/>
      <c r="W964" s="87"/>
      <c r="X964" s="4"/>
      <c r="Y964" s="4"/>
      <c r="Z964" s="4"/>
      <c r="AA964" s="4"/>
      <c r="AB964" s="4"/>
      <c r="AC964" s="12"/>
      <c r="AD964" s="4"/>
      <c r="AE964" s="4"/>
    </row>
    <row r="965">
      <c r="A965" s="4"/>
      <c r="B965" s="84"/>
      <c r="C965" s="84"/>
      <c r="D965" s="8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12"/>
      <c r="U965" s="4"/>
      <c r="V965" s="4"/>
      <c r="W965" s="87"/>
      <c r="X965" s="4"/>
      <c r="Y965" s="4"/>
      <c r="Z965" s="4"/>
      <c r="AA965" s="4"/>
      <c r="AB965" s="4"/>
      <c r="AC965" s="12"/>
      <c r="AD965" s="4"/>
      <c r="AE965" s="4"/>
    </row>
    <row r="966">
      <c r="A966" s="4"/>
      <c r="B966" s="84"/>
      <c r="C966" s="84"/>
      <c r="D966" s="8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12"/>
      <c r="U966" s="4"/>
      <c r="V966" s="4"/>
      <c r="W966" s="87"/>
      <c r="X966" s="4"/>
      <c r="Y966" s="4"/>
      <c r="Z966" s="4"/>
      <c r="AA966" s="4"/>
      <c r="AB966" s="4"/>
      <c r="AC966" s="12"/>
      <c r="AD966" s="4"/>
      <c r="AE966" s="4"/>
    </row>
    <row r="967">
      <c r="A967" s="4"/>
      <c r="B967" s="84"/>
      <c r="C967" s="84"/>
      <c r="D967" s="8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12"/>
      <c r="U967" s="4"/>
      <c r="V967" s="4"/>
      <c r="W967" s="87"/>
      <c r="X967" s="4"/>
      <c r="Y967" s="4"/>
      <c r="Z967" s="4"/>
      <c r="AA967" s="4"/>
      <c r="AB967" s="4"/>
      <c r="AC967" s="12"/>
      <c r="AD967" s="4"/>
      <c r="AE967" s="4"/>
    </row>
    <row r="968">
      <c r="A968" s="4"/>
      <c r="B968" s="84"/>
      <c r="C968" s="84"/>
      <c r="D968" s="8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12"/>
      <c r="U968" s="4"/>
      <c r="V968" s="4"/>
      <c r="W968" s="87"/>
      <c r="X968" s="4"/>
      <c r="Y968" s="4"/>
      <c r="Z968" s="4"/>
      <c r="AA968" s="4"/>
      <c r="AB968" s="4"/>
      <c r="AC968" s="12"/>
      <c r="AD968" s="4"/>
      <c r="AE968" s="4"/>
    </row>
    <row r="969">
      <c r="A969" s="4"/>
      <c r="B969" s="84"/>
      <c r="C969" s="84"/>
      <c r="D969" s="8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12"/>
      <c r="U969" s="4"/>
      <c r="V969" s="4"/>
      <c r="W969" s="87"/>
      <c r="X969" s="4"/>
      <c r="Y969" s="4"/>
      <c r="Z969" s="4"/>
      <c r="AA969" s="4"/>
      <c r="AB969" s="4"/>
      <c r="AC969" s="12"/>
      <c r="AD969" s="4"/>
      <c r="AE969" s="4"/>
    </row>
    <row r="970">
      <c r="A970" s="4"/>
      <c r="B970" s="84"/>
      <c r="C970" s="84"/>
      <c r="D970" s="8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12"/>
      <c r="U970" s="4"/>
      <c r="V970" s="4"/>
      <c r="W970" s="87"/>
      <c r="X970" s="4"/>
      <c r="Y970" s="4"/>
      <c r="Z970" s="4"/>
      <c r="AA970" s="4"/>
      <c r="AB970" s="4"/>
      <c r="AC970" s="12"/>
      <c r="AD970" s="4"/>
      <c r="AE970" s="4"/>
    </row>
    <row r="971">
      <c r="A971" s="4"/>
      <c r="B971" s="84"/>
      <c r="C971" s="84"/>
      <c r="D971" s="8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12"/>
      <c r="U971" s="4"/>
      <c r="V971" s="4"/>
      <c r="W971" s="87"/>
      <c r="X971" s="4"/>
      <c r="Y971" s="4"/>
      <c r="Z971" s="4"/>
      <c r="AA971" s="4"/>
      <c r="AB971" s="4"/>
      <c r="AC971" s="12"/>
      <c r="AD971" s="4"/>
      <c r="AE971" s="4"/>
    </row>
    <row r="972">
      <c r="A972" s="4"/>
      <c r="B972" s="84"/>
      <c r="C972" s="84"/>
      <c r="D972" s="8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12"/>
      <c r="U972" s="4"/>
      <c r="V972" s="4"/>
      <c r="W972" s="87"/>
      <c r="X972" s="4"/>
      <c r="Y972" s="4"/>
      <c r="Z972" s="4"/>
      <c r="AA972" s="4"/>
      <c r="AB972" s="4"/>
      <c r="AC972" s="12"/>
      <c r="AD972" s="4"/>
      <c r="AE972" s="4"/>
    </row>
    <row r="973">
      <c r="A973" s="4"/>
      <c r="B973" s="84"/>
      <c r="C973" s="84"/>
      <c r="D973" s="8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12"/>
      <c r="U973" s="4"/>
      <c r="V973" s="4"/>
      <c r="W973" s="87"/>
      <c r="X973" s="4"/>
      <c r="Y973" s="4"/>
      <c r="Z973" s="4"/>
      <c r="AA973" s="4"/>
      <c r="AB973" s="4"/>
      <c r="AC973" s="12"/>
      <c r="AD973" s="4"/>
      <c r="AE973" s="4"/>
    </row>
    <row r="974">
      <c r="A974" s="4"/>
      <c r="B974" s="84"/>
      <c r="C974" s="84"/>
      <c r="D974" s="8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12"/>
      <c r="U974" s="4"/>
      <c r="V974" s="4"/>
      <c r="W974" s="87"/>
      <c r="X974" s="4"/>
      <c r="Y974" s="4"/>
      <c r="Z974" s="4"/>
      <c r="AA974" s="4"/>
      <c r="AB974" s="4"/>
      <c r="AC974" s="12"/>
      <c r="AD974" s="4"/>
      <c r="AE974" s="4"/>
    </row>
    <row r="975">
      <c r="A975" s="4"/>
      <c r="B975" s="84"/>
      <c r="C975" s="84"/>
      <c r="D975" s="8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12"/>
      <c r="U975" s="4"/>
      <c r="V975" s="4"/>
      <c r="W975" s="87"/>
      <c r="X975" s="4"/>
      <c r="Y975" s="4"/>
      <c r="Z975" s="4"/>
      <c r="AA975" s="4"/>
      <c r="AB975" s="4"/>
      <c r="AC975" s="12"/>
      <c r="AD975" s="4"/>
      <c r="AE975" s="4"/>
    </row>
    <row r="976">
      <c r="A976" s="4"/>
      <c r="B976" s="84"/>
      <c r="C976" s="84"/>
      <c r="D976" s="8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12"/>
      <c r="U976" s="4"/>
      <c r="V976" s="4"/>
      <c r="W976" s="87"/>
      <c r="X976" s="4"/>
      <c r="Y976" s="4"/>
      <c r="Z976" s="4"/>
      <c r="AA976" s="4"/>
      <c r="AB976" s="4"/>
      <c r="AC976" s="12"/>
      <c r="AD976" s="4"/>
      <c r="AE976" s="4"/>
    </row>
    <row r="977">
      <c r="A977" s="4"/>
      <c r="B977" s="84"/>
      <c r="C977" s="84"/>
      <c r="D977" s="8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12"/>
      <c r="U977" s="4"/>
      <c r="V977" s="4"/>
      <c r="W977" s="87"/>
      <c r="X977" s="4"/>
      <c r="Y977" s="4"/>
      <c r="Z977" s="4"/>
      <c r="AA977" s="4"/>
      <c r="AB977" s="4"/>
      <c r="AC977" s="12"/>
      <c r="AD977" s="4"/>
      <c r="AE977" s="4"/>
    </row>
    <row r="978">
      <c r="A978" s="4"/>
      <c r="B978" s="84"/>
      <c r="C978" s="84"/>
      <c r="D978" s="8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12"/>
      <c r="U978" s="4"/>
      <c r="V978" s="4"/>
      <c r="W978" s="87"/>
      <c r="X978" s="4"/>
      <c r="Y978" s="4"/>
      <c r="Z978" s="4"/>
      <c r="AA978" s="4"/>
      <c r="AB978" s="4"/>
      <c r="AC978" s="12"/>
      <c r="AD978" s="4"/>
      <c r="AE978" s="4"/>
    </row>
    <row r="979">
      <c r="A979" s="4"/>
      <c r="B979" s="84"/>
      <c r="C979" s="84"/>
      <c r="D979" s="8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12"/>
      <c r="U979" s="4"/>
      <c r="V979" s="4"/>
      <c r="W979" s="87"/>
      <c r="X979" s="4"/>
      <c r="Y979" s="4"/>
      <c r="Z979" s="4"/>
      <c r="AA979" s="4"/>
      <c r="AB979" s="4"/>
      <c r="AC979" s="12"/>
      <c r="AD979" s="4"/>
      <c r="AE979" s="4"/>
    </row>
    <row r="980">
      <c r="A980" s="4"/>
      <c r="B980" s="84"/>
      <c r="C980" s="84"/>
      <c r="D980" s="8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12"/>
      <c r="U980" s="4"/>
      <c r="V980" s="4"/>
      <c r="W980" s="87"/>
      <c r="X980" s="4"/>
      <c r="Y980" s="4"/>
      <c r="Z980" s="4"/>
      <c r="AA980" s="4"/>
      <c r="AB980" s="4"/>
      <c r="AC980" s="12"/>
      <c r="AD980" s="4"/>
      <c r="AE980" s="4"/>
    </row>
    <row r="981">
      <c r="A981" s="4"/>
      <c r="B981" s="84"/>
      <c r="C981" s="84"/>
      <c r="D981" s="8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12"/>
      <c r="U981" s="4"/>
      <c r="V981" s="4"/>
      <c r="W981" s="87"/>
      <c r="X981" s="4"/>
      <c r="Y981" s="4"/>
      <c r="Z981" s="4"/>
      <c r="AA981" s="4"/>
      <c r="AB981" s="4"/>
      <c r="AC981" s="12"/>
      <c r="AD981" s="4"/>
      <c r="AE981" s="4"/>
    </row>
    <row r="982">
      <c r="A982" s="4"/>
      <c r="B982" s="84"/>
      <c r="C982" s="84"/>
      <c r="D982" s="8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12"/>
      <c r="U982" s="4"/>
      <c r="V982" s="4"/>
      <c r="W982" s="87"/>
      <c r="X982" s="4"/>
      <c r="Y982" s="4"/>
      <c r="Z982" s="4"/>
      <c r="AA982" s="4"/>
      <c r="AB982" s="4"/>
      <c r="AC982" s="12"/>
      <c r="AD982" s="4"/>
      <c r="AE982" s="4"/>
    </row>
    <row r="983">
      <c r="A983" s="4"/>
      <c r="B983" s="84"/>
      <c r="C983" s="84"/>
      <c r="D983" s="8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12"/>
      <c r="U983" s="4"/>
      <c r="V983" s="4"/>
      <c r="W983" s="87"/>
      <c r="X983" s="4"/>
      <c r="Y983" s="4"/>
      <c r="Z983" s="4"/>
      <c r="AA983" s="4"/>
      <c r="AB983" s="4"/>
      <c r="AC983" s="12"/>
      <c r="AD983" s="4"/>
      <c r="AE983" s="4"/>
    </row>
    <row r="984">
      <c r="A984" s="4"/>
      <c r="B984" s="84"/>
      <c r="C984" s="84"/>
      <c r="D984" s="8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12"/>
      <c r="U984" s="4"/>
      <c r="V984" s="4"/>
      <c r="W984" s="87"/>
      <c r="X984" s="4"/>
      <c r="Y984" s="4"/>
      <c r="Z984" s="4"/>
      <c r="AA984" s="4"/>
      <c r="AB984" s="4"/>
      <c r="AC984" s="12"/>
      <c r="AD984" s="4"/>
      <c r="AE984" s="4"/>
    </row>
    <row r="985">
      <c r="A985" s="4"/>
      <c r="B985" s="84"/>
      <c r="C985" s="84"/>
      <c r="D985" s="8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12"/>
      <c r="U985" s="4"/>
      <c r="V985" s="4"/>
      <c r="W985" s="87"/>
      <c r="X985" s="4"/>
      <c r="Y985" s="4"/>
      <c r="Z985" s="4"/>
      <c r="AA985" s="4"/>
      <c r="AB985" s="4"/>
      <c r="AC985" s="12"/>
      <c r="AD985" s="4"/>
      <c r="AE985" s="4"/>
    </row>
    <row r="986">
      <c r="A986" s="4"/>
      <c r="B986" s="84"/>
      <c r="C986" s="84"/>
      <c r="D986" s="8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12"/>
      <c r="U986" s="4"/>
      <c r="V986" s="4"/>
      <c r="W986" s="87"/>
      <c r="X986" s="4"/>
      <c r="Y986" s="4"/>
      <c r="Z986" s="4"/>
      <c r="AA986" s="4"/>
      <c r="AB986" s="4"/>
      <c r="AC986" s="12"/>
      <c r="AD986" s="4"/>
      <c r="AE986" s="4"/>
    </row>
    <row r="987">
      <c r="A987" s="4"/>
      <c r="B987" s="84"/>
      <c r="C987" s="84"/>
      <c r="D987" s="8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12"/>
      <c r="U987" s="4"/>
      <c r="V987" s="4"/>
      <c r="W987" s="87"/>
      <c r="X987" s="4"/>
      <c r="Y987" s="4"/>
      <c r="Z987" s="4"/>
      <c r="AA987" s="4"/>
      <c r="AB987" s="4"/>
      <c r="AC987" s="12"/>
      <c r="AD987" s="4"/>
      <c r="AE987" s="4"/>
    </row>
    <row r="988">
      <c r="A988" s="4"/>
      <c r="B988" s="84"/>
      <c r="C988" s="84"/>
      <c r="D988" s="8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12"/>
      <c r="U988" s="4"/>
      <c r="V988" s="4"/>
      <c r="W988" s="87"/>
      <c r="X988" s="4"/>
      <c r="Y988" s="4"/>
      <c r="Z988" s="4"/>
      <c r="AA988" s="4"/>
      <c r="AB988" s="4"/>
      <c r="AC988" s="12"/>
      <c r="AD988" s="4"/>
      <c r="AE988" s="4"/>
    </row>
    <row r="989">
      <c r="A989" s="4"/>
      <c r="B989" s="84"/>
      <c r="C989" s="84"/>
      <c r="D989" s="8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12"/>
      <c r="U989" s="4"/>
      <c r="V989" s="4"/>
      <c r="W989" s="87"/>
      <c r="X989" s="4"/>
      <c r="Y989" s="4"/>
      <c r="Z989" s="4"/>
      <c r="AA989" s="4"/>
      <c r="AB989" s="4"/>
      <c r="AC989" s="12"/>
      <c r="AD989" s="4"/>
      <c r="AE989" s="4"/>
    </row>
    <row r="990">
      <c r="A990" s="4"/>
      <c r="B990" s="84"/>
      <c r="C990" s="84"/>
      <c r="D990" s="8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12"/>
      <c r="U990" s="4"/>
      <c r="V990" s="4"/>
      <c r="W990" s="87"/>
      <c r="X990" s="4"/>
      <c r="Y990" s="4"/>
      <c r="Z990" s="4"/>
      <c r="AA990" s="4"/>
      <c r="AB990" s="4"/>
      <c r="AC990" s="12"/>
      <c r="AD990" s="4"/>
      <c r="AE990" s="4"/>
    </row>
    <row r="991">
      <c r="A991" s="4"/>
      <c r="B991" s="84"/>
      <c r="C991" s="84"/>
      <c r="D991" s="8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12"/>
      <c r="U991" s="4"/>
      <c r="V991" s="4"/>
      <c r="W991" s="87"/>
      <c r="X991" s="4"/>
      <c r="Y991" s="4"/>
      <c r="Z991" s="4"/>
      <c r="AA991" s="4"/>
      <c r="AB991" s="4"/>
      <c r="AC991" s="12"/>
      <c r="AD991" s="4"/>
      <c r="AE991" s="4"/>
    </row>
    <row r="992">
      <c r="A992" s="4"/>
      <c r="B992" s="84"/>
      <c r="C992" s="84"/>
      <c r="D992" s="8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12"/>
      <c r="U992" s="4"/>
      <c r="V992" s="4"/>
      <c r="W992" s="87"/>
      <c r="X992" s="4"/>
      <c r="Y992" s="4"/>
      <c r="Z992" s="4"/>
      <c r="AA992" s="4"/>
      <c r="AB992" s="4"/>
      <c r="AC992" s="12"/>
      <c r="AD992" s="4"/>
      <c r="AE992" s="4"/>
    </row>
    <row r="993">
      <c r="A993" s="4"/>
      <c r="B993" s="84"/>
      <c r="C993" s="84"/>
      <c r="D993" s="8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12"/>
      <c r="U993" s="4"/>
      <c r="V993" s="4"/>
      <c r="W993" s="87"/>
      <c r="X993" s="4"/>
      <c r="Y993" s="4"/>
      <c r="Z993" s="4"/>
      <c r="AA993" s="4"/>
      <c r="AB993" s="4"/>
      <c r="AC993" s="12"/>
      <c r="AD993" s="4"/>
      <c r="AE993" s="4"/>
    </row>
    <row r="994">
      <c r="A994" s="4"/>
      <c r="B994" s="84"/>
      <c r="C994" s="84"/>
      <c r="D994" s="8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12"/>
      <c r="U994" s="4"/>
      <c r="V994" s="4"/>
      <c r="W994" s="87"/>
      <c r="X994" s="4"/>
      <c r="Y994" s="4"/>
      <c r="Z994" s="4"/>
      <c r="AA994" s="4"/>
      <c r="AB994" s="4"/>
      <c r="AC994" s="12"/>
      <c r="AD994" s="4"/>
      <c r="AE994" s="4"/>
    </row>
    <row r="995">
      <c r="A995" s="4"/>
      <c r="B995" s="84"/>
      <c r="C995" s="84"/>
      <c r="D995" s="8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12"/>
      <c r="U995" s="4"/>
      <c r="V995" s="4"/>
      <c r="W995" s="87"/>
      <c r="X995" s="4"/>
      <c r="Y995" s="4"/>
      <c r="Z995" s="4"/>
      <c r="AA995" s="4"/>
      <c r="AB995" s="4"/>
      <c r="AC995" s="12"/>
      <c r="AD995" s="4"/>
      <c r="AE995" s="4"/>
    </row>
    <row r="996">
      <c r="A996" s="4"/>
      <c r="B996" s="84"/>
      <c r="C996" s="84"/>
      <c r="D996" s="8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12"/>
      <c r="U996" s="4"/>
      <c r="V996" s="4"/>
      <c r="W996" s="87"/>
      <c r="X996" s="4"/>
      <c r="Y996" s="4"/>
      <c r="Z996" s="4"/>
      <c r="AA996" s="4"/>
      <c r="AB996" s="4"/>
      <c r="AC996" s="12"/>
      <c r="AD996" s="4"/>
      <c r="AE996" s="4"/>
    </row>
    <row r="997">
      <c r="A997" s="4"/>
      <c r="B997" s="84"/>
      <c r="C997" s="84"/>
      <c r="D997" s="8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12"/>
      <c r="U997" s="4"/>
      <c r="V997" s="4"/>
      <c r="W997" s="87"/>
      <c r="X997" s="4"/>
      <c r="Y997" s="4"/>
      <c r="Z997" s="4"/>
      <c r="AA997" s="4"/>
      <c r="AB997" s="4"/>
      <c r="AC997" s="12"/>
      <c r="AD997" s="4"/>
      <c r="AE997" s="4"/>
    </row>
    <row r="998">
      <c r="A998" s="4"/>
      <c r="B998" s="84"/>
      <c r="C998" s="84"/>
      <c r="D998" s="8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12"/>
      <c r="U998" s="4"/>
      <c r="V998" s="4"/>
      <c r="W998" s="87"/>
      <c r="X998" s="4"/>
      <c r="Y998" s="4"/>
      <c r="Z998" s="4"/>
      <c r="AA998" s="4"/>
      <c r="AB998" s="4"/>
      <c r="AC998" s="12"/>
      <c r="AD998" s="4"/>
      <c r="AE998" s="4"/>
    </row>
    <row r="999">
      <c r="A999" s="4"/>
      <c r="B999" s="84"/>
      <c r="C999" s="84"/>
      <c r="D999" s="8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12"/>
      <c r="U999" s="4"/>
      <c r="V999" s="4"/>
      <c r="W999" s="87"/>
      <c r="X999" s="4"/>
      <c r="Y999" s="4"/>
      <c r="Z999" s="4"/>
      <c r="AA999" s="4"/>
      <c r="AB999" s="4"/>
      <c r="AC999" s="12"/>
      <c r="AD999" s="4"/>
      <c r="AE999" s="4"/>
    </row>
    <row r="1000">
      <c r="A1000" s="4"/>
      <c r="B1000" s="84"/>
      <c r="C1000" s="84"/>
      <c r="D1000" s="8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2"/>
      <c r="R1000" s="4"/>
      <c r="S1000" s="4"/>
      <c r="T1000" s="12"/>
      <c r="U1000" s="4"/>
      <c r="V1000" s="4"/>
      <c r="W1000" s="87"/>
      <c r="X1000" s="4"/>
      <c r="Y1000" s="4"/>
      <c r="Z1000" s="4"/>
      <c r="AA1000" s="4"/>
      <c r="AB1000" s="4"/>
      <c r="AC1000" s="12"/>
      <c r="AD1000" s="4"/>
      <c r="AE1000" s="4"/>
    </row>
    <row r="1001">
      <c r="A1001" s="4"/>
      <c r="B1001" s="84"/>
      <c r="C1001" s="84"/>
      <c r="D1001" s="8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12"/>
      <c r="R1001" s="4"/>
      <c r="S1001" s="4"/>
      <c r="T1001" s="12"/>
      <c r="U1001" s="4"/>
      <c r="V1001" s="4"/>
      <c r="W1001" s="87"/>
      <c r="X1001" s="4"/>
      <c r="Y1001" s="4"/>
      <c r="Z1001" s="4"/>
      <c r="AA1001" s="4"/>
      <c r="AB1001" s="4"/>
      <c r="AC1001" s="12"/>
      <c r="AD1001" s="4"/>
      <c r="AE1001" s="4"/>
    </row>
    <row r="1002">
      <c r="A1002" s="4"/>
      <c r="B1002" s="84"/>
      <c r="C1002" s="84"/>
      <c r="D1002" s="8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12"/>
      <c r="R1002" s="4"/>
      <c r="S1002" s="4"/>
      <c r="T1002" s="12"/>
      <c r="U1002" s="4"/>
      <c r="V1002" s="4"/>
      <c r="W1002" s="87"/>
      <c r="X1002" s="4"/>
      <c r="Y1002" s="4"/>
      <c r="Z1002" s="4"/>
      <c r="AA1002" s="4"/>
      <c r="AB1002" s="4"/>
      <c r="AC1002" s="12"/>
      <c r="AD1002" s="4"/>
      <c r="AE1002" s="4"/>
    </row>
    <row r="1003">
      <c r="A1003" s="4"/>
      <c r="B1003" s="84"/>
      <c r="C1003" s="84"/>
      <c r="D1003" s="8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12"/>
      <c r="R1003" s="4"/>
      <c r="S1003" s="4"/>
      <c r="T1003" s="12"/>
      <c r="U1003" s="4"/>
      <c r="V1003" s="4"/>
      <c r="W1003" s="87"/>
      <c r="X1003" s="4"/>
      <c r="Y1003" s="4"/>
      <c r="Z1003" s="4"/>
      <c r="AA1003" s="4"/>
      <c r="AB1003" s="4"/>
      <c r="AC1003" s="12"/>
      <c r="AD1003" s="4"/>
      <c r="AE1003" s="4"/>
    </row>
    <row r="1004">
      <c r="A1004" s="4"/>
      <c r="B1004" s="84"/>
      <c r="C1004" s="84"/>
      <c r="D1004" s="8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12"/>
      <c r="R1004" s="4"/>
      <c r="S1004" s="4"/>
      <c r="T1004" s="12"/>
      <c r="U1004" s="4"/>
      <c r="V1004" s="4"/>
      <c r="W1004" s="87"/>
      <c r="X1004" s="4"/>
      <c r="Y1004" s="4"/>
      <c r="Z1004" s="4"/>
      <c r="AA1004" s="4"/>
      <c r="AB1004" s="4"/>
      <c r="AC1004" s="12"/>
      <c r="AD1004" s="4"/>
      <c r="AE1004" s="4"/>
    </row>
    <row r="1005">
      <c r="A1005" s="4"/>
      <c r="B1005" s="84"/>
      <c r="C1005" s="84"/>
      <c r="D1005" s="8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12"/>
      <c r="R1005" s="4"/>
      <c r="S1005" s="4"/>
      <c r="T1005" s="12"/>
      <c r="U1005" s="4"/>
      <c r="V1005" s="4"/>
      <c r="W1005" s="87"/>
      <c r="X1005" s="4"/>
      <c r="Y1005" s="4"/>
      <c r="Z1005" s="4"/>
      <c r="AA1005" s="4"/>
      <c r="AB1005" s="4"/>
      <c r="AC1005" s="12"/>
      <c r="AD1005" s="4"/>
      <c r="AE1005" s="4"/>
    </row>
    <row r="1006">
      <c r="A1006" s="4"/>
      <c r="B1006" s="84"/>
      <c r="C1006" s="84"/>
      <c r="D1006" s="8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12"/>
      <c r="R1006" s="4"/>
      <c r="S1006" s="4"/>
      <c r="T1006" s="12"/>
      <c r="U1006" s="4"/>
      <c r="V1006" s="4"/>
      <c r="W1006" s="87"/>
      <c r="X1006" s="4"/>
      <c r="Y1006" s="4"/>
      <c r="Z1006" s="4"/>
      <c r="AA1006" s="4"/>
      <c r="AB1006" s="4"/>
      <c r="AC1006" s="12"/>
      <c r="AD1006" s="4"/>
      <c r="AE1006" s="4"/>
    </row>
    <row r="1007">
      <c r="A1007" s="4"/>
      <c r="B1007" s="84"/>
      <c r="C1007" s="84"/>
      <c r="D1007" s="8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12"/>
      <c r="R1007" s="4"/>
      <c r="S1007" s="4"/>
      <c r="T1007" s="12"/>
      <c r="U1007" s="4"/>
      <c r="V1007" s="4"/>
      <c r="W1007" s="87"/>
      <c r="X1007" s="4"/>
      <c r="Y1007" s="4"/>
      <c r="Z1007" s="4"/>
      <c r="AA1007" s="4"/>
      <c r="AB1007" s="4"/>
      <c r="AC1007" s="12"/>
      <c r="AD1007" s="4"/>
      <c r="AE1007" s="4"/>
    </row>
    <row r="1008">
      <c r="A1008" s="4"/>
      <c r="B1008" s="84"/>
      <c r="C1008" s="84"/>
      <c r="D1008" s="8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12"/>
      <c r="R1008" s="4"/>
      <c r="S1008" s="4"/>
      <c r="T1008" s="12"/>
      <c r="U1008" s="4"/>
      <c r="V1008" s="4"/>
      <c r="W1008" s="87"/>
      <c r="X1008" s="4"/>
      <c r="Y1008" s="4"/>
      <c r="Z1008" s="4"/>
      <c r="AA1008" s="4"/>
      <c r="AB1008" s="4"/>
      <c r="AC1008" s="12"/>
      <c r="AD1008" s="4"/>
      <c r="AE1008" s="4"/>
    </row>
    <row r="1009">
      <c r="A1009" s="4"/>
      <c r="B1009" s="84"/>
      <c r="C1009" s="84"/>
      <c r="D1009" s="8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12"/>
      <c r="R1009" s="4"/>
      <c r="S1009" s="4"/>
      <c r="T1009" s="12"/>
      <c r="U1009" s="4"/>
      <c r="V1009" s="4"/>
      <c r="W1009" s="87"/>
      <c r="X1009" s="4"/>
      <c r="Y1009" s="4"/>
      <c r="Z1009" s="4"/>
      <c r="AA1009" s="4"/>
      <c r="AB1009" s="4"/>
      <c r="AC1009" s="12"/>
      <c r="AD1009" s="4"/>
      <c r="AE1009" s="4"/>
    </row>
    <row r="1010">
      <c r="A1010" s="4"/>
      <c r="B1010" s="84"/>
      <c r="C1010" s="84"/>
      <c r="D1010" s="8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12"/>
      <c r="R1010" s="4"/>
      <c r="S1010" s="4"/>
      <c r="T1010" s="12"/>
      <c r="U1010" s="4"/>
      <c r="V1010" s="4"/>
      <c r="W1010" s="87"/>
      <c r="X1010" s="4"/>
      <c r="Y1010" s="4"/>
      <c r="Z1010" s="4"/>
      <c r="AA1010" s="4"/>
      <c r="AB1010" s="4"/>
      <c r="AC1010" s="12"/>
      <c r="AD1010" s="4"/>
      <c r="AE1010" s="4"/>
    </row>
    <row r="1011">
      <c r="A1011" s="4"/>
      <c r="B1011" s="84"/>
      <c r="C1011" s="84"/>
      <c r="D1011" s="8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12"/>
      <c r="R1011" s="4"/>
      <c r="S1011" s="4"/>
      <c r="T1011" s="12"/>
      <c r="U1011" s="4"/>
      <c r="V1011" s="4"/>
      <c r="W1011" s="87"/>
      <c r="X1011" s="4"/>
      <c r="Y1011" s="4"/>
      <c r="Z1011" s="4"/>
      <c r="AA1011" s="4"/>
      <c r="AB1011" s="4"/>
      <c r="AC1011" s="12"/>
      <c r="AD1011" s="4"/>
      <c r="AE1011" s="4"/>
    </row>
    <row r="1012">
      <c r="A1012" s="4"/>
      <c r="B1012" s="84"/>
      <c r="C1012" s="84"/>
      <c r="D1012" s="8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12"/>
      <c r="R1012" s="4"/>
      <c r="S1012" s="4"/>
      <c r="T1012" s="12"/>
      <c r="U1012" s="4"/>
      <c r="V1012" s="4"/>
      <c r="W1012" s="87"/>
      <c r="X1012" s="4"/>
      <c r="Y1012" s="4"/>
      <c r="Z1012" s="4"/>
      <c r="AA1012" s="4"/>
      <c r="AB1012" s="4"/>
      <c r="AC1012" s="12"/>
      <c r="AD1012" s="4"/>
      <c r="AE1012" s="4"/>
    </row>
    <row r="1013">
      <c r="A1013" s="4"/>
      <c r="B1013" s="84"/>
      <c r="C1013" s="84"/>
      <c r="D1013" s="8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12"/>
      <c r="R1013" s="4"/>
      <c r="S1013" s="4"/>
      <c r="T1013" s="12"/>
      <c r="U1013" s="4"/>
      <c r="V1013" s="4"/>
      <c r="W1013" s="87"/>
      <c r="X1013" s="4"/>
      <c r="Y1013" s="4"/>
      <c r="Z1013" s="4"/>
      <c r="AA1013" s="4"/>
      <c r="AB1013" s="4"/>
      <c r="AC1013" s="12"/>
      <c r="AD1013" s="4"/>
      <c r="AE1013" s="4"/>
    </row>
    <row r="1014">
      <c r="A1014" s="4"/>
      <c r="B1014" s="84"/>
      <c r="C1014" s="84"/>
      <c r="D1014" s="8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12"/>
      <c r="R1014" s="4"/>
      <c r="S1014" s="4"/>
      <c r="T1014" s="12"/>
      <c r="U1014" s="4"/>
      <c r="V1014" s="4"/>
      <c r="W1014" s="87"/>
      <c r="X1014" s="4"/>
      <c r="Y1014" s="4"/>
      <c r="Z1014" s="4"/>
      <c r="AA1014" s="4"/>
      <c r="AB1014" s="4"/>
      <c r="AC1014" s="12"/>
      <c r="AD1014" s="4"/>
      <c r="AE1014" s="4"/>
    </row>
    <row r="1015">
      <c r="A1015" s="4"/>
      <c r="B1015" s="84"/>
      <c r="C1015" s="84"/>
      <c r="D1015" s="8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12"/>
      <c r="R1015" s="4"/>
      <c r="S1015" s="4"/>
      <c r="T1015" s="12"/>
      <c r="U1015" s="4"/>
      <c r="V1015" s="4"/>
      <c r="W1015" s="87"/>
      <c r="X1015" s="4"/>
      <c r="Y1015" s="4"/>
      <c r="Z1015" s="4"/>
      <c r="AA1015" s="4"/>
      <c r="AB1015" s="4"/>
      <c r="AC1015" s="12"/>
      <c r="AD1015" s="4"/>
      <c r="AE1015" s="4"/>
    </row>
    <row r="1016">
      <c r="A1016" s="4"/>
      <c r="B1016" s="84"/>
      <c r="C1016" s="84"/>
      <c r="D1016" s="8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12"/>
      <c r="R1016" s="4"/>
      <c r="S1016" s="4"/>
      <c r="T1016" s="12"/>
      <c r="U1016" s="4"/>
      <c r="V1016" s="4"/>
      <c r="W1016" s="87"/>
      <c r="X1016" s="4"/>
      <c r="Y1016" s="4"/>
      <c r="Z1016" s="4"/>
      <c r="AA1016" s="4"/>
      <c r="AB1016" s="4"/>
      <c r="AC1016" s="12"/>
      <c r="AD1016" s="4"/>
      <c r="AE1016" s="4"/>
    </row>
    <row r="1017">
      <c r="A1017" s="4"/>
      <c r="B1017" s="84"/>
      <c r="C1017" s="84"/>
      <c r="D1017" s="8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12"/>
      <c r="R1017" s="4"/>
      <c r="S1017" s="4"/>
      <c r="T1017" s="12"/>
      <c r="U1017" s="4"/>
      <c r="V1017" s="4"/>
      <c r="W1017" s="87"/>
      <c r="X1017" s="4"/>
      <c r="Y1017" s="4"/>
      <c r="Z1017" s="4"/>
      <c r="AA1017" s="4"/>
      <c r="AB1017" s="4"/>
      <c r="AC1017" s="12"/>
      <c r="AD1017" s="4"/>
      <c r="AE1017" s="4"/>
    </row>
    <row r="1018">
      <c r="A1018" s="4"/>
      <c r="B1018" s="84"/>
      <c r="C1018" s="84"/>
      <c r="D1018" s="8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12"/>
      <c r="R1018" s="4"/>
      <c r="S1018" s="4"/>
      <c r="T1018" s="12"/>
      <c r="U1018" s="4"/>
      <c r="V1018" s="4"/>
      <c r="W1018" s="87"/>
      <c r="X1018" s="4"/>
      <c r="Y1018" s="4"/>
      <c r="Z1018" s="4"/>
      <c r="AA1018" s="4"/>
      <c r="AB1018" s="4"/>
      <c r="AC1018" s="12"/>
      <c r="AD1018" s="4"/>
      <c r="AE1018" s="4"/>
    </row>
    <row r="1019">
      <c r="A1019" s="4"/>
      <c r="B1019" s="84"/>
      <c r="C1019" s="84"/>
      <c r="D1019" s="8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12"/>
      <c r="R1019" s="4"/>
      <c r="S1019" s="4"/>
      <c r="T1019" s="12"/>
      <c r="U1019" s="4"/>
      <c r="V1019" s="4"/>
      <c r="W1019" s="87"/>
      <c r="X1019" s="4"/>
      <c r="Y1019" s="4"/>
      <c r="Z1019" s="4"/>
      <c r="AA1019" s="4"/>
      <c r="AB1019" s="4"/>
      <c r="AC1019" s="12"/>
      <c r="AD1019" s="4"/>
      <c r="AE1019" s="4"/>
    </row>
    <row r="1020">
      <c r="A1020" s="4"/>
      <c r="B1020" s="84"/>
      <c r="C1020" s="84"/>
      <c r="D1020" s="8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12"/>
      <c r="R1020" s="4"/>
      <c r="S1020" s="4"/>
      <c r="T1020" s="12"/>
      <c r="U1020" s="4"/>
      <c r="V1020" s="4"/>
      <c r="W1020" s="87"/>
      <c r="X1020" s="4"/>
      <c r="Y1020" s="4"/>
      <c r="Z1020" s="4"/>
      <c r="AA1020" s="4"/>
      <c r="AB1020" s="4"/>
      <c r="AC1020" s="12"/>
      <c r="AD1020" s="4"/>
      <c r="AE1020" s="4"/>
    </row>
    <row r="1021">
      <c r="A1021" s="4"/>
      <c r="B1021" s="84"/>
      <c r="C1021" s="84"/>
      <c r="D1021" s="8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12"/>
      <c r="R1021" s="4"/>
      <c r="S1021" s="4"/>
      <c r="T1021" s="12"/>
      <c r="U1021" s="4"/>
      <c r="V1021" s="4"/>
      <c r="W1021" s="87"/>
      <c r="X1021" s="4"/>
      <c r="Y1021" s="4"/>
      <c r="Z1021" s="4"/>
      <c r="AA1021" s="4"/>
      <c r="AB1021" s="4"/>
      <c r="AC1021" s="12"/>
      <c r="AD1021" s="4"/>
      <c r="AE1021" s="4"/>
    </row>
    <row r="1022">
      <c r="A1022" s="4"/>
      <c r="B1022" s="84"/>
      <c r="C1022" s="84"/>
      <c r="D1022" s="8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12"/>
      <c r="R1022" s="4"/>
      <c r="S1022" s="4"/>
      <c r="T1022" s="12"/>
      <c r="U1022" s="4"/>
      <c r="V1022" s="4"/>
      <c r="W1022" s="87"/>
      <c r="X1022" s="4"/>
      <c r="Y1022" s="4"/>
      <c r="Z1022" s="4"/>
      <c r="AA1022" s="4"/>
      <c r="AB1022" s="4"/>
      <c r="AC1022" s="12"/>
      <c r="AD1022" s="4"/>
      <c r="AE1022" s="4"/>
    </row>
    <row r="1023">
      <c r="A1023" s="4"/>
      <c r="B1023" s="84"/>
      <c r="C1023" s="84"/>
      <c r="D1023" s="8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12"/>
      <c r="R1023" s="4"/>
      <c r="S1023" s="4"/>
      <c r="T1023" s="12"/>
      <c r="U1023" s="4"/>
      <c r="V1023" s="4"/>
      <c r="W1023" s="87"/>
      <c r="X1023" s="4"/>
      <c r="Y1023" s="4"/>
      <c r="Z1023" s="4"/>
      <c r="AA1023" s="4"/>
      <c r="AB1023" s="4"/>
      <c r="AC1023" s="12"/>
      <c r="AD1023" s="4"/>
      <c r="AE1023" s="4"/>
    </row>
    <row r="1024">
      <c r="A1024" s="4"/>
      <c r="B1024" s="84"/>
      <c r="C1024" s="84"/>
      <c r="D1024" s="8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12"/>
      <c r="R1024" s="4"/>
      <c r="S1024" s="4"/>
      <c r="T1024" s="12"/>
      <c r="U1024" s="4"/>
      <c r="V1024" s="4"/>
      <c r="W1024" s="87"/>
      <c r="X1024" s="4"/>
      <c r="Y1024" s="4"/>
      <c r="Z1024" s="4"/>
      <c r="AA1024" s="4"/>
      <c r="AB1024" s="4"/>
      <c r="AC1024" s="12"/>
      <c r="AD1024" s="4"/>
      <c r="AE1024" s="4"/>
    </row>
    <row r="1025">
      <c r="A1025" s="4"/>
      <c r="B1025" s="84"/>
      <c r="C1025" s="84"/>
      <c r="D1025" s="8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12"/>
      <c r="R1025" s="4"/>
      <c r="S1025" s="4"/>
      <c r="T1025" s="12"/>
      <c r="U1025" s="4"/>
      <c r="V1025" s="4"/>
      <c r="W1025" s="87"/>
      <c r="X1025" s="4"/>
      <c r="Y1025" s="4"/>
      <c r="Z1025" s="4"/>
      <c r="AA1025" s="4"/>
      <c r="AB1025" s="4"/>
      <c r="AC1025" s="12"/>
      <c r="AD1025" s="4"/>
      <c r="AE1025" s="4"/>
    </row>
    <row r="1026">
      <c r="A1026" s="4"/>
      <c r="B1026" s="84"/>
      <c r="C1026" s="84"/>
      <c r="D1026" s="8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12"/>
      <c r="R1026" s="4"/>
      <c r="S1026" s="4"/>
      <c r="T1026" s="12"/>
      <c r="U1026" s="4"/>
      <c r="V1026" s="4"/>
      <c r="W1026" s="87"/>
      <c r="X1026" s="4"/>
      <c r="Y1026" s="4"/>
      <c r="Z1026" s="4"/>
      <c r="AA1026" s="4"/>
      <c r="AB1026" s="4"/>
      <c r="AC1026" s="12"/>
      <c r="AD1026" s="4"/>
      <c r="AE1026" s="4"/>
    </row>
    <row r="1027">
      <c r="A1027" s="4"/>
      <c r="B1027" s="84"/>
      <c r="C1027" s="84"/>
      <c r="D1027" s="8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12"/>
      <c r="R1027" s="4"/>
      <c r="S1027" s="4"/>
      <c r="T1027" s="12"/>
      <c r="U1027" s="4"/>
      <c r="V1027" s="4"/>
      <c r="W1027" s="87"/>
      <c r="X1027" s="4"/>
      <c r="Y1027" s="4"/>
      <c r="Z1027" s="4"/>
      <c r="AA1027" s="4"/>
      <c r="AB1027" s="4"/>
      <c r="AC1027" s="12"/>
      <c r="AD1027" s="4"/>
      <c r="AE1027" s="4"/>
    </row>
    <row r="1028">
      <c r="A1028" s="4"/>
      <c r="B1028" s="84"/>
      <c r="C1028" s="84"/>
      <c r="D1028" s="8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12"/>
      <c r="R1028" s="4"/>
      <c r="S1028" s="4"/>
      <c r="T1028" s="12"/>
      <c r="U1028" s="4"/>
      <c r="V1028" s="4"/>
      <c r="W1028" s="87"/>
      <c r="X1028" s="4"/>
      <c r="Y1028" s="4"/>
      <c r="Z1028" s="4"/>
      <c r="AA1028" s="4"/>
      <c r="AB1028" s="4"/>
      <c r="AC1028" s="12"/>
      <c r="AD1028" s="4"/>
      <c r="AE1028" s="4"/>
    </row>
    <row r="1029">
      <c r="A1029" s="4"/>
      <c r="B1029" s="84"/>
      <c r="C1029" s="84"/>
      <c r="D1029" s="8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12"/>
      <c r="R1029" s="4"/>
      <c r="S1029" s="4"/>
      <c r="T1029" s="12"/>
      <c r="U1029" s="4"/>
      <c r="V1029" s="4"/>
      <c r="W1029" s="87"/>
      <c r="X1029" s="4"/>
      <c r="Y1029" s="4"/>
      <c r="Z1029" s="4"/>
      <c r="AA1029" s="4"/>
      <c r="AB1029" s="4"/>
      <c r="AC1029" s="12"/>
      <c r="AD1029" s="4"/>
      <c r="AE1029" s="4"/>
    </row>
    <row r="1030">
      <c r="A1030" s="4"/>
      <c r="B1030" s="84"/>
      <c r="C1030" s="84"/>
      <c r="D1030" s="8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12"/>
      <c r="R1030" s="4"/>
      <c r="S1030" s="4"/>
      <c r="T1030" s="12"/>
      <c r="U1030" s="4"/>
      <c r="V1030" s="4"/>
      <c r="W1030" s="87"/>
      <c r="X1030" s="4"/>
      <c r="Y1030" s="4"/>
      <c r="Z1030" s="4"/>
      <c r="AA1030" s="4"/>
      <c r="AB1030" s="4"/>
      <c r="AC1030" s="12"/>
      <c r="AD1030" s="4"/>
      <c r="AE1030" s="4"/>
    </row>
    <row r="1031">
      <c r="A1031" s="4"/>
      <c r="B1031" s="84"/>
      <c r="C1031" s="84"/>
      <c r="D1031" s="8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12"/>
      <c r="R1031" s="4"/>
      <c r="S1031" s="4"/>
      <c r="T1031" s="12"/>
      <c r="U1031" s="4"/>
      <c r="V1031" s="4"/>
      <c r="W1031" s="87"/>
      <c r="X1031" s="4"/>
      <c r="Y1031" s="4"/>
      <c r="Z1031" s="4"/>
      <c r="AA1031" s="4"/>
      <c r="AB1031" s="4"/>
      <c r="AC1031" s="12"/>
      <c r="AD1031" s="4"/>
      <c r="AE1031" s="4"/>
    </row>
    <row r="1032">
      <c r="A1032" s="4"/>
      <c r="B1032" s="84"/>
      <c r="C1032" s="84"/>
      <c r="D1032" s="8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12"/>
      <c r="R1032" s="4"/>
      <c r="S1032" s="4"/>
      <c r="T1032" s="12"/>
      <c r="U1032" s="4"/>
      <c r="V1032" s="4"/>
      <c r="W1032" s="87"/>
      <c r="X1032" s="4"/>
      <c r="Y1032" s="4"/>
      <c r="Z1032" s="4"/>
      <c r="AA1032" s="4"/>
      <c r="AB1032" s="4"/>
      <c r="AC1032" s="12"/>
      <c r="AD1032" s="4"/>
      <c r="AE1032" s="4"/>
    </row>
    <row r="1033">
      <c r="A1033" s="4"/>
      <c r="B1033" s="84"/>
      <c r="C1033" s="84"/>
      <c r="D1033" s="8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12"/>
      <c r="R1033" s="4"/>
      <c r="S1033" s="4"/>
      <c r="T1033" s="12"/>
      <c r="U1033" s="4"/>
      <c r="V1033" s="4"/>
      <c r="W1033" s="87"/>
      <c r="X1033" s="4"/>
      <c r="Y1033" s="4"/>
      <c r="Z1033" s="4"/>
      <c r="AA1033" s="4"/>
      <c r="AB1033" s="4"/>
      <c r="AC1033" s="12"/>
      <c r="AD1033" s="4"/>
      <c r="AE1033" s="4"/>
    </row>
    <row r="1034">
      <c r="A1034" s="4"/>
      <c r="B1034" s="84"/>
      <c r="C1034" s="84"/>
      <c r="D1034" s="8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12"/>
      <c r="R1034" s="4"/>
      <c r="S1034" s="4"/>
      <c r="T1034" s="12"/>
      <c r="U1034" s="4"/>
      <c r="V1034" s="4"/>
      <c r="W1034" s="87"/>
      <c r="X1034" s="4"/>
      <c r="Y1034" s="4"/>
      <c r="Z1034" s="4"/>
      <c r="AA1034" s="4"/>
      <c r="AB1034" s="4"/>
      <c r="AC1034" s="12"/>
      <c r="AD1034" s="4"/>
      <c r="AE1034" s="4"/>
    </row>
    <row r="1035">
      <c r="A1035" s="4"/>
      <c r="B1035" s="84"/>
      <c r="C1035" s="84"/>
      <c r="D1035" s="8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12"/>
      <c r="R1035" s="4"/>
      <c r="S1035" s="4"/>
      <c r="T1035" s="12"/>
      <c r="U1035" s="4"/>
      <c r="V1035" s="4"/>
      <c r="W1035" s="87"/>
      <c r="X1035" s="4"/>
      <c r="Y1035" s="4"/>
      <c r="Z1035" s="4"/>
      <c r="AA1035" s="4"/>
      <c r="AB1035" s="4"/>
      <c r="AC1035" s="12"/>
      <c r="AD1035" s="4"/>
      <c r="AE1035" s="4"/>
    </row>
    <row r="1036">
      <c r="A1036" s="4"/>
      <c r="B1036" s="84"/>
      <c r="C1036" s="84"/>
      <c r="D1036" s="8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12"/>
      <c r="R1036" s="4"/>
      <c r="S1036" s="4"/>
      <c r="T1036" s="12"/>
      <c r="U1036" s="4"/>
      <c r="V1036" s="4"/>
      <c r="W1036" s="87"/>
      <c r="X1036" s="4"/>
      <c r="Y1036" s="4"/>
      <c r="Z1036" s="4"/>
      <c r="AA1036" s="4"/>
      <c r="AB1036" s="4"/>
      <c r="AC1036" s="12"/>
      <c r="AD1036" s="4"/>
      <c r="AE1036" s="4"/>
    </row>
    <row r="1037">
      <c r="A1037" s="4"/>
      <c r="B1037" s="84"/>
      <c r="C1037" s="84"/>
      <c r="D1037" s="8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12"/>
      <c r="R1037" s="4"/>
      <c r="S1037" s="4"/>
      <c r="T1037" s="12"/>
      <c r="U1037" s="4"/>
      <c r="V1037" s="4"/>
      <c r="W1037" s="87"/>
      <c r="X1037" s="4"/>
      <c r="Y1037" s="4"/>
      <c r="Z1037" s="4"/>
      <c r="AA1037" s="4"/>
      <c r="AB1037" s="4"/>
      <c r="AC1037" s="12"/>
      <c r="AD1037" s="4"/>
      <c r="AE1037" s="4"/>
    </row>
    <row r="1038">
      <c r="A1038" s="4"/>
      <c r="B1038" s="84"/>
      <c r="C1038" s="84"/>
      <c r="D1038" s="8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12"/>
      <c r="R1038" s="4"/>
      <c r="S1038" s="4"/>
      <c r="T1038" s="12"/>
      <c r="U1038" s="4"/>
      <c r="V1038" s="4"/>
      <c r="W1038" s="87"/>
      <c r="X1038" s="4"/>
      <c r="Y1038" s="4"/>
      <c r="Z1038" s="4"/>
      <c r="AA1038" s="4"/>
      <c r="AB1038" s="4"/>
      <c r="AC1038" s="12"/>
      <c r="AD1038" s="4"/>
      <c r="AE1038" s="4"/>
    </row>
    <row r="1039">
      <c r="A1039" s="4"/>
      <c r="B1039" s="84"/>
      <c r="C1039" s="84"/>
      <c r="D1039" s="8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12"/>
      <c r="R1039" s="4"/>
      <c r="S1039" s="4"/>
      <c r="T1039" s="12"/>
      <c r="U1039" s="4"/>
      <c r="V1039" s="4"/>
      <c r="W1039" s="87"/>
      <c r="X1039" s="4"/>
      <c r="Y1039" s="4"/>
      <c r="Z1039" s="4"/>
      <c r="AA1039" s="4"/>
      <c r="AB1039" s="4"/>
      <c r="AC1039" s="12"/>
      <c r="AD1039" s="4"/>
      <c r="AE1039" s="4"/>
    </row>
    <row r="1040">
      <c r="A1040" s="4"/>
      <c r="B1040" s="84"/>
      <c r="C1040" s="84"/>
      <c r="D1040" s="8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12"/>
      <c r="R1040" s="4"/>
      <c r="S1040" s="4"/>
      <c r="T1040" s="12"/>
      <c r="U1040" s="4"/>
      <c r="V1040" s="4"/>
      <c r="W1040" s="87"/>
      <c r="X1040" s="4"/>
      <c r="Y1040" s="4"/>
      <c r="Z1040" s="4"/>
      <c r="AA1040" s="4"/>
      <c r="AB1040" s="4"/>
      <c r="AC1040" s="12"/>
      <c r="AD1040" s="4"/>
      <c r="AE1040" s="4"/>
    </row>
    <row r="1041">
      <c r="A1041" s="4"/>
      <c r="B1041" s="84"/>
      <c r="C1041" s="84"/>
      <c r="D1041" s="8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12"/>
      <c r="R1041" s="4"/>
      <c r="S1041" s="4"/>
      <c r="T1041" s="12"/>
      <c r="U1041" s="4"/>
      <c r="V1041" s="4"/>
      <c r="W1041" s="87"/>
      <c r="X1041" s="4"/>
      <c r="Y1041" s="4"/>
      <c r="Z1041" s="4"/>
      <c r="AA1041" s="4"/>
      <c r="AB1041" s="4"/>
      <c r="AC1041" s="12"/>
      <c r="AD1041" s="4"/>
      <c r="AE1041" s="4"/>
    </row>
    <row r="1042">
      <c r="A1042" s="4"/>
      <c r="B1042" s="84"/>
      <c r="C1042" s="84"/>
      <c r="D1042" s="8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12"/>
      <c r="R1042" s="4"/>
      <c r="S1042" s="4"/>
      <c r="T1042" s="12"/>
      <c r="U1042" s="4"/>
      <c r="V1042" s="4"/>
      <c r="W1042" s="87"/>
      <c r="X1042" s="4"/>
      <c r="Y1042" s="4"/>
      <c r="Z1042" s="4"/>
      <c r="AA1042" s="4"/>
      <c r="AB1042" s="4"/>
      <c r="AC1042" s="12"/>
      <c r="AD1042" s="4"/>
      <c r="AE1042" s="4"/>
    </row>
    <row r="1043">
      <c r="A1043" s="4"/>
      <c r="B1043" s="84"/>
      <c r="C1043" s="84"/>
      <c r="D1043" s="8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12"/>
      <c r="R1043" s="4"/>
      <c r="S1043" s="4"/>
      <c r="T1043" s="12"/>
      <c r="U1043" s="4"/>
      <c r="V1043" s="4"/>
      <c r="W1043" s="87"/>
      <c r="X1043" s="4"/>
      <c r="Y1043" s="4"/>
      <c r="Z1043" s="4"/>
      <c r="AA1043" s="4"/>
      <c r="AB1043" s="4"/>
      <c r="AC1043" s="12"/>
      <c r="AD1043" s="4"/>
      <c r="AE1043" s="4"/>
    </row>
    <row r="1044">
      <c r="A1044" s="4"/>
      <c r="B1044" s="84"/>
      <c r="C1044" s="84"/>
      <c r="D1044" s="8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12"/>
      <c r="R1044" s="4"/>
      <c r="S1044" s="4"/>
      <c r="T1044" s="12"/>
      <c r="U1044" s="4"/>
      <c r="V1044" s="4"/>
      <c r="W1044" s="87"/>
      <c r="X1044" s="4"/>
      <c r="Y1044" s="4"/>
      <c r="Z1044" s="4"/>
      <c r="AA1044" s="4"/>
      <c r="AB1044" s="4"/>
      <c r="AC1044" s="12"/>
      <c r="AD1044" s="4"/>
      <c r="AE1044" s="4"/>
    </row>
    <row r="1045">
      <c r="A1045" s="4"/>
      <c r="B1045" s="84"/>
      <c r="C1045" s="84"/>
      <c r="D1045" s="8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12"/>
      <c r="R1045" s="4"/>
      <c r="S1045" s="4"/>
      <c r="T1045" s="12"/>
      <c r="U1045" s="4"/>
      <c r="V1045" s="4"/>
      <c r="W1045" s="87"/>
      <c r="X1045" s="4"/>
      <c r="Y1045" s="4"/>
      <c r="Z1045" s="4"/>
      <c r="AA1045" s="4"/>
      <c r="AB1045" s="4"/>
      <c r="AC1045" s="12"/>
      <c r="AD1045" s="4"/>
      <c r="AE1045" s="4"/>
    </row>
    <row r="1046">
      <c r="A1046" s="4"/>
      <c r="B1046" s="84"/>
      <c r="C1046" s="84"/>
      <c r="D1046" s="8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12"/>
      <c r="R1046" s="4"/>
      <c r="S1046" s="4"/>
      <c r="T1046" s="12"/>
      <c r="U1046" s="4"/>
      <c r="V1046" s="4"/>
      <c r="W1046" s="87"/>
      <c r="X1046" s="4"/>
      <c r="Y1046" s="4"/>
      <c r="Z1046" s="4"/>
      <c r="AA1046" s="4"/>
      <c r="AB1046" s="4"/>
      <c r="AC1046" s="12"/>
      <c r="AD1046" s="4"/>
      <c r="AE1046" s="4"/>
    </row>
    <row r="1047">
      <c r="A1047" s="4"/>
      <c r="B1047" s="84"/>
      <c r="C1047" s="84"/>
      <c r="D1047" s="8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12"/>
      <c r="R1047" s="4"/>
      <c r="S1047" s="4"/>
      <c r="T1047" s="12"/>
      <c r="U1047" s="4"/>
      <c r="V1047" s="4"/>
      <c r="W1047" s="87"/>
      <c r="X1047" s="4"/>
      <c r="Y1047" s="4"/>
      <c r="Z1047" s="4"/>
      <c r="AA1047" s="4"/>
      <c r="AB1047" s="4"/>
      <c r="AC1047" s="12"/>
      <c r="AD1047" s="4"/>
      <c r="AE1047" s="4"/>
    </row>
    <row r="1048">
      <c r="A1048" s="4"/>
      <c r="B1048" s="84"/>
      <c r="C1048" s="84"/>
      <c r="D1048" s="8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12"/>
      <c r="R1048" s="4"/>
      <c r="S1048" s="4"/>
      <c r="T1048" s="12"/>
      <c r="U1048" s="4"/>
      <c r="V1048" s="4"/>
      <c r="W1048" s="87"/>
      <c r="X1048" s="4"/>
      <c r="Y1048" s="4"/>
      <c r="Z1048" s="4"/>
      <c r="AA1048" s="4"/>
      <c r="AB1048" s="4"/>
      <c r="AC1048" s="12"/>
      <c r="AD1048" s="4"/>
      <c r="AE1048" s="4"/>
    </row>
    <row r="1049">
      <c r="A1049" s="4"/>
      <c r="B1049" s="84"/>
      <c r="C1049" s="84"/>
      <c r="D1049" s="8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12"/>
      <c r="R1049" s="4"/>
      <c r="S1049" s="4"/>
      <c r="T1049" s="12"/>
      <c r="U1049" s="4"/>
      <c r="V1049" s="4"/>
      <c r="W1049" s="87"/>
      <c r="X1049" s="4"/>
      <c r="Y1049" s="4"/>
      <c r="Z1049" s="4"/>
      <c r="AA1049" s="4"/>
      <c r="AB1049" s="4"/>
      <c r="AC1049" s="12"/>
      <c r="AD1049" s="4"/>
      <c r="AE1049" s="4"/>
    </row>
    <row r="1050">
      <c r="A1050" s="4"/>
      <c r="B1050" s="84"/>
      <c r="C1050" s="84"/>
      <c r="D1050" s="8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12"/>
      <c r="R1050" s="4"/>
      <c r="S1050" s="4"/>
      <c r="T1050" s="12"/>
      <c r="U1050" s="4"/>
      <c r="V1050" s="4"/>
      <c r="W1050" s="87"/>
      <c r="X1050" s="4"/>
      <c r="Y1050" s="4"/>
      <c r="Z1050" s="4"/>
      <c r="AA1050" s="4"/>
      <c r="AB1050" s="4"/>
      <c r="AC1050" s="12"/>
      <c r="AD1050" s="4"/>
      <c r="AE1050" s="4"/>
    </row>
    <row r="1051">
      <c r="A1051" s="4"/>
      <c r="B1051" s="84"/>
      <c r="C1051" s="84"/>
      <c r="D1051" s="8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12"/>
      <c r="R1051" s="4"/>
      <c r="S1051" s="4"/>
      <c r="T1051" s="12"/>
      <c r="U1051" s="4"/>
      <c r="V1051" s="4"/>
      <c r="W1051" s="87"/>
      <c r="X1051" s="4"/>
      <c r="Y1051" s="4"/>
      <c r="Z1051" s="4"/>
      <c r="AA1051" s="4"/>
      <c r="AB1051" s="4"/>
      <c r="AC1051" s="12"/>
      <c r="AD1051" s="4"/>
      <c r="AE1051" s="4"/>
    </row>
    <row r="1052">
      <c r="A1052" s="4"/>
      <c r="B1052" s="84"/>
      <c r="C1052" s="84"/>
      <c r="D1052" s="8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12"/>
      <c r="R1052" s="4"/>
      <c r="S1052" s="4"/>
      <c r="T1052" s="12"/>
      <c r="U1052" s="4"/>
      <c r="V1052" s="4"/>
      <c r="W1052" s="87"/>
      <c r="X1052" s="4"/>
      <c r="Y1052" s="4"/>
      <c r="Z1052" s="4"/>
      <c r="AA1052" s="4"/>
      <c r="AB1052" s="4"/>
      <c r="AC1052" s="12"/>
      <c r="AD1052" s="4"/>
      <c r="AE1052" s="4"/>
    </row>
    <row r="1053">
      <c r="A1053" s="4"/>
      <c r="B1053" s="84"/>
      <c r="C1053" s="84"/>
      <c r="D1053" s="8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12"/>
      <c r="R1053" s="4"/>
      <c r="S1053" s="4"/>
      <c r="T1053" s="12"/>
      <c r="U1053" s="4"/>
      <c r="V1053" s="4"/>
      <c r="W1053" s="87"/>
      <c r="X1053" s="4"/>
      <c r="Y1053" s="4"/>
      <c r="Z1053" s="4"/>
      <c r="AA1053" s="4"/>
      <c r="AB1053" s="4"/>
      <c r="AC1053" s="12"/>
      <c r="AD1053" s="4"/>
      <c r="AE1053" s="4"/>
    </row>
    <row r="1054">
      <c r="A1054" s="4"/>
      <c r="B1054" s="84"/>
      <c r="C1054" s="84"/>
      <c r="D1054" s="8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12"/>
      <c r="R1054" s="4"/>
      <c r="S1054" s="4"/>
      <c r="T1054" s="12"/>
      <c r="U1054" s="4"/>
      <c r="V1054" s="4"/>
      <c r="W1054" s="87"/>
      <c r="X1054" s="4"/>
      <c r="Y1054" s="4"/>
      <c r="Z1054" s="4"/>
      <c r="AA1054" s="4"/>
      <c r="AB1054" s="4"/>
      <c r="AC1054" s="12"/>
      <c r="AD1054" s="4"/>
      <c r="AE1054" s="4"/>
    </row>
    <row r="1055">
      <c r="A1055" s="4"/>
      <c r="B1055" s="84"/>
      <c r="C1055" s="84"/>
      <c r="D1055" s="8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12"/>
      <c r="R1055" s="4"/>
      <c r="S1055" s="4"/>
      <c r="T1055" s="12"/>
      <c r="U1055" s="4"/>
      <c r="V1055" s="4"/>
      <c r="W1055" s="87"/>
      <c r="X1055" s="4"/>
      <c r="Y1055" s="4"/>
      <c r="Z1055" s="4"/>
      <c r="AA1055" s="4"/>
      <c r="AB1055" s="4"/>
      <c r="AC1055" s="12"/>
      <c r="AD1055" s="4"/>
      <c r="AE1055" s="4"/>
    </row>
    <row r="1056">
      <c r="A1056" s="4"/>
      <c r="B1056" s="84"/>
      <c r="C1056" s="84"/>
      <c r="D1056" s="8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12"/>
      <c r="R1056" s="4"/>
      <c r="S1056" s="4"/>
      <c r="T1056" s="12"/>
      <c r="U1056" s="4"/>
      <c r="V1056" s="4"/>
      <c r="W1056" s="87"/>
      <c r="X1056" s="4"/>
      <c r="Y1056" s="4"/>
      <c r="Z1056" s="4"/>
      <c r="AA1056" s="4"/>
      <c r="AB1056" s="4"/>
      <c r="AC1056" s="12"/>
      <c r="AD1056" s="4"/>
      <c r="AE1056" s="4"/>
    </row>
    <row r="1057">
      <c r="A1057" s="4"/>
      <c r="B1057" s="84"/>
      <c r="C1057" s="84"/>
      <c r="D1057" s="8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12"/>
      <c r="R1057" s="4"/>
      <c r="S1057" s="4"/>
      <c r="T1057" s="12"/>
      <c r="U1057" s="4"/>
      <c r="V1057" s="4"/>
      <c r="W1057" s="87"/>
      <c r="X1057" s="4"/>
      <c r="Y1057" s="4"/>
      <c r="Z1057" s="4"/>
      <c r="AA1057" s="4"/>
      <c r="AB1057" s="4"/>
      <c r="AC1057" s="12"/>
      <c r="AD1057" s="4"/>
      <c r="AE1057" s="4"/>
    </row>
    <row r="1058">
      <c r="A1058" s="4"/>
      <c r="B1058" s="84"/>
      <c r="C1058" s="84"/>
      <c r="D1058" s="8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12"/>
      <c r="R1058" s="4"/>
      <c r="S1058" s="4"/>
      <c r="T1058" s="12"/>
      <c r="U1058" s="4"/>
      <c r="V1058" s="4"/>
      <c r="W1058" s="87"/>
      <c r="X1058" s="4"/>
      <c r="Y1058" s="4"/>
      <c r="Z1058" s="4"/>
      <c r="AA1058" s="4"/>
      <c r="AB1058" s="4"/>
      <c r="AC1058" s="12"/>
      <c r="AD1058" s="4"/>
      <c r="AE1058" s="4"/>
    </row>
    <row r="1059">
      <c r="A1059" s="4"/>
      <c r="B1059" s="84"/>
      <c r="C1059" s="84"/>
      <c r="D1059" s="8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12"/>
      <c r="R1059" s="4"/>
      <c r="S1059" s="4"/>
      <c r="T1059" s="12"/>
      <c r="U1059" s="4"/>
      <c r="V1059" s="4"/>
      <c r="W1059" s="87"/>
      <c r="X1059" s="4"/>
      <c r="Y1059" s="4"/>
      <c r="Z1059" s="4"/>
      <c r="AA1059" s="4"/>
      <c r="AB1059" s="4"/>
      <c r="AC1059" s="12"/>
      <c r="AD1059" s="4"/>
      <c r="AE1059" s="4"/>
    </row>
    <row r="1060">
      <c r="A1060" s="4"/>
      <c r="B1060" s="84"/>
      <c r="C1060" s="84"/>
      <c r="D1060" s="8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12"/>
      <c r="R1060" s="4"/>
      <c r="S1060" s="4"/>
      <c r="T1060" s="12"/>
      <c r="U1060" s="4"/>
      <c r="V1060" s="4"/>
      <c r="W1060" s="87"/>
      <c r="X1060" s="4"/>
      <c r="Y1060" s="4"/>
      <c r="Z1060" s="4"/>
      <c r="AA1060" s="4"/>
      <c r="AB1060" s="4"/>
      <c r="AC1060" s="12"/>
      <c r="AD1060" s="4"/>
      <c r="AE1060" s="4"/>
    </row>
    <row r="1061">
      <c r="A1061" s="4"/>
      <c r="B1061" s="84"/>
      <c r="C1061" s="84"/>
      <c r="D1061" s="8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12"/>
      <c r="R1061" s="4"/>
      <c r="S1061" s="4"/>
      <c r="T1061" s="12"/>
      <c r="U1061" s="4"/>
      <c r="V1061" s="4"/>
      <c r="W1061" s="87"/>
      <c r="X1061" s="4"/>
      <c r="Y1061" s="4"/>
      <c r="Z1061" s="4"/>
      <c r="AA1061" s="4"/>
      <c r="AB1061" s="4"/>
      <c r="AC1061" s="12"/>
      <c r="AD1061" s="4"/>
      <c r="AE1061" s="4"/>
    </row>
    <row r="1062">
      <c r="A1062" s="4"/>
      <c r="B1062" s="84"/>
      <c r="C1062" s="84"/>
      <c r="D1062" s="8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12"/>
      <c r="R1062" s="4"/>
      <c r="S1062" s="4"/>
      <c r="T1062" s="12"/>
      <c r="U1062" s="4"/>
      <c r="V1062" s="4"/>
      <c r="W1062" s="87"/>
      <c r="X1062" s="4"/>
      <c r="Y1062" s="4"/>
      <c r="Z1062" s="4"/>
      <c r="AA1062" s="4"/>
      <c r="AB1062" s="4"/>
      <c r="AC1062" s="12"/>
      <c r="AD1062" s="4"/>
      <c r="AE1062" s="4"/>
    </row>
    <row r="1063">
      <c r="A1063" s="4"/>
      <c r="B1063" s="84"/>
      <c r="C1063" s="84"/>
      <c r="D1063" s="8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12"/>
      <c r="R1063" s="4"/>
      <c r="S1063" s="4"/>
      <c r="T1063" s="12"/>
      <c r="U1063" s="4"/>
      <c r="V1063" s="4"/>
      <c r="W1063" s="87"/>
      <c r="X1063" s="4"/>
      <c r="Y1063" s="4"/>
      <c r="Z1063" s="4"/>
      <c r="AA1063" s="4"/>
      <c r="AB1063" s="4"/>
      <c r="AC1063" s="12"/>
      <c r="AD1063" s="4"/>
      <c r="AE1063" s="4"/>
    </row>
    <row r="1064">
      <c r="A1064" s="4"/>
      <c r="B1064" s="84"/>
      <c r="C1064" s="84"/>
      <c r="D1064" s="8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12"/>
      <c r="R1064" s="4"/>
      <c r="S1064" s="4"/>
      <c r="T1064" s="12"/>
      <c r="U1064" s="4"/>
      <c r="V1064" s="4"/>
      <c r="W1064" s="87"/>
      <c r="X1064" s="4"/>
      <c r="Y1064" s="4"/>
      <c r="Z1064" s="4"/>
      <c r="AA1064" s="4"/>
      <c r="AB1064" s="4"/>
      <c r="AC1064" s="12"/>
      <c r="AD1064" s="4"/>
      <c r="AE1064" s="4"/>
    </row>
    <row r="1065">
      <c r="A1065" s="4"/>
      <c r="B1065" s="84"/>
      <c r="C1065" s="84"/>
      <c r="D1065" s="8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12"/>
      <c r="R1065" s="4"/>
      <c r="S1065" s="4"/>
      <c r="T1065" s="12"/>
      <c r="U1065" s="4"/>
      <c r="V1065" s="4"/>
      <c r="W1065" s="87"/>
      <c r="X1065" s="4"/>
      <c r="Y1065" s="4"/>
      <c r="Z1065" s="4"/>
      <c r="AA1065" s="4"/>
      <c r="AB1065" s="4"/>
      <c r="AC1065" s="12"/>
      <c r="AD1065" s="4"/>
      <c r="AE1065" s="4"/>
    </row>
    <row r="1066">
      <c r="A1066" s="4"/>
      <c r="B1066" s="84"/>
      <c r="C1066" s="84"/>
      <c r="D1066" s="8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12"/>
      <c r="R1066" s="4"/>
      <c r="S1066" s="4"/>
      <c r="T1066" s="12"/>
      <c r="U1066" s="4"/>
      <c r="V1066" s="4"/>
      <c r="W1066" s="87"/>
      <c r="X1066" s="4"/>
      <c r="Y1066" s="4"/>
      <c r="Z1066" s="4"/>
      <c r="AA1066" s="4"/>
      <c r="AB1066" s="4"/>
      <c r="AC1066" s="12"/>
      <c r="AD1066" s="4"/>
      <c r="AE1066" s="4"/>
    </row>
    <row r="1067">
      <c r="A1067" s="4"/>
      <c r="B1067" s="84"/>
      <c r="C1067" s="84"/>
      <c r="D1067" s="8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12"/>
      <c r="R1067" s="4"/>
      <c r="S1067" s="4"/>
      <c r="T1067" s="12"/>
      <c r="U1067" s="4"/>
      <c r="V1067" s="4"/>
      <c r="W1067" s="87"/>
      <c r="X1067" s="4"/>
      <c r="Y1067" s="4"/>
      <c r="Z1067" s="4"/>
      <c r="AA1067" s="4"/>
      <c r="AB1067" s="4"/>
      <c r="AC1067" s="12"/>
      <c r="AD1067" s="4"/>
      <c r="AE1067" s="4"/>
    </row>
    <row r="1068">
      <c r="A1068" s="4"/>
      <c r="B1068" s="84"/>
      <c r="C1068" s="84"/>
      <c r="D1068" s="8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12"/>
      <c r="R1068" s="4"/>
      <c r="S1068" s="4"/>
      <c r="T1068" s="12"/>
      <c r="U1068" s="4"/>
      <c r="V1068" s="4"/>
      <c r="W1068" s="87"/>
      <c r="X1068" s="4"/>
      <c r="Y1068" s="4"/>
      <c r="Z1068" s="4"/>
      <c r="AA1068" s="4"/>
      <c r="AB1068" s="4"/>
      <c r="AC1068" s="12"/>
      <c r="AD1068" s="4"/>
      <c r="AE1068" s="4"/>
    </row>
    <row r="1069">
      <c r="A1069" s="4"/>
      <c r="B1069" s="84"/>
      <c r="C1069" s="84"/>
      <c r="D1069" s="8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12"/>
      <c r="R1069" s="4"/>
      <c r="S1069" s="4"/>
      <c r="T1069" s="12"/>
      <c r="U1069" s="4"/>
      <c r="V1069" s="4"/>
      <c r="W1069" s="87"/>
      <c r="X1069" s="4"/>
      <c r="Y1069" s="4"/>
      <c r="Z1069" s="4"/>
      <c r="AA1069" s="4"/>
      <c r="AB1069" s="4"/>
      <c r="AC1069" s="12"/>
      <c r="AD1069" s="4"/>
      <c r="AE1069" s="4"/>
    </row>
    <row r="1070">
      <c r="A1070" s="4"/>
      <c r="B1070" s="84"/>
      <c r="C1070" s="84"/>
      <c r="D1070" s="8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12"/>
      <c r="R1070" s="4"/>
      <c r="S1070" s="4"/>
      <c r="T1070" s="12"/>
      <c r="U1070" s="4"/>
      <c r="V1070" s="4"/>
      <c r="W1070" s="87"/>
      <c r="X1070" s="4"/>
      <c r="Y1070" s="4"/>
      <c r="Z1070" s="4"/>
      <c r="AA1070" s="4"/>
      <c r="AB1070" s="4"/>
      <c r="AC1070" s="12"/>
      <c r="AD1070" s="4"/>
      <c r="AE1070" s="4"/>
    </row>
    <row r="1071">
      <c r="A1071" s="4"/>
      <c r="B1071" s="84"/>
      <c r="C1071" s="84"/>
      <c r="D1071" s="8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12"/>
      <c r="R1071" s="4"/>
      <c r="S1071" s="4"/>
      <c r="T1071" s="12"/>
      <c r="U1071" s="4"/>
      <c r="V1071" s="4"/>
      <c r="W1071" s="87"/>
      <c r="X1071" s="4"/>
      <c r="Y1071" s="4"/>
      <c r="Z1071" s="4"/>
      <c r="AA1071" s="4"/>
      <c r="AB1071" s="4"/>
      <c r="AC1071" s="12"/>
      <c r="AD1071" s="4"/>
      <c r="AE1071" s="4"/>
    </row>
    <row r="1072">
      <c r="A1072" s="4"/>
      <c r="B1072" s="84"/>
      <c r="C1072" s="84"/>
      <c r="D1072" s="8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12"/>
      <c r="R1072" s="4"/>
      <c r="S1072" s="4"/>
      <c r="T1072" s="12"/>
      <c r="U1072" s="4"/>
      <c r="V1072" s="4"/>
      <c r="W1072" s="87"/>
      <c r="X1072" s="4"/>
      <c r="Y1072" s="4"/>
      <c r="Z1072" s="4"/>
      <c r="AA1072" s="4"/>
      <c r="AB1072" s="4"/>
      <c r="AC1072" s="12"/>
      <c r="AD1072" s="4"/>
      <c r="AE1072" s="4"/>
    </row>
    <row r="1073">
      <c r="A1073" s="4"/>
      <c r="B1073" s="84"/>
      <c r="C1073" s="84"/>
      <c r="D1073" s="8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12"/>
      <c r="R1073" s="4"/>
      <c r="S1073" s="4"/>
      <c r="T1073" s="12"/>
      <c r="U1073" s="4"/>
      <c r="V1073" s="4"/>
      <c r="W1073" s="87"/>
      <c r="X1073" s="4"/>
      <c r="Y1073" s="4"/>
      <c r="Z1073" s="4"/>
      <c r="AA1073" s="4"/>
      <c r="AB1073" s="4"/>
      <c r="AC1073" s="12"/>
      <c r="AD1073" s="4"/>
      <c r="AE1073" s="4"/>
    </row>
    <row r="1074">
      <c r="A1074" s="4"/>
      <c r="B1074" s="84"/>
      <c r="C1074" s="84"/>
      <c r="D1074" s="8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12"/>
      <c r="R1074" s="4"/>
      <c r="S1074" s="4"/>
      <c r="T1074" s="12"/>
      <c r="U1074" s="4"/>
      <c r="V1074" s="4"/>
      <c r="W1074" s="87"/>
      <c r="X1074" s="4"/>
      <c r="Y1074" s="4"/>
      <c r="Z1074" s="4"/>
      <c r="AA1074" s="4"/>
      <c r="AB1074" s="4"/>
      <c r="AC1074" s="12"/>
      <c r="AD1074" s="4"/>
      <c r="AE1074" s="4"/>
    </row>
    <row r="1075">
      <c r="A1075" s="4"/>
      <c r="B1075" s="84"/>
      <c r="C1075" s="84"/>
      <c r="D1075" s="8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12"/>
      <c r="R1075" s="4"/>
      <c r="S1075" s="4"/>
      <c r="T1075" s="12"/>
      <c r="U1075" s="4"/>
      <c r="V1075" s="4"/>
      <c r="W1075" s="87"/>
      <c r="X1075" s="4"/>
      <c r="Y1075" s="4"/>
      <c r="Z1075" s="4"/>
      <c r="AA1075" s="4"/>
      <c r="AB1075" s="4"/>
      <c r="AC1075" s="12"/>
      <c r="AD1075" s="4"/>
      <c r="AE1075" s="4"/>
    </row>
    <row r="1076">
      <c r="A1076" s="4"/>
      <c r="B1076" s="84"/>
      <c r="C1076" s="84"/>
      <c r="D1076" s="8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12"/>
      <c r="R1076" s="4"/>
      <c r="S1076" s="4"/>
      <c r="T1076" s="12"/>
      <c r="U1076" s="4"/>
      <c r="V1076" s="4"/>
      <c r="W1076" s="87"/>
      <c r="X1076" s="4"/>
      <c r="Y1076" s="4"/>
      <c r="Z1076" s="4"/>
      <c r="AA1076" s="4"/>
      <c r="AB1076" s="4"/>
      <c r="AC1076" s="12"/>
      <c r="AD1076" s="4"/>
      <c r="AE1076" s="4"/>
    </row>
    <row r="1077">
      <c r="A1077" s="4"/>
      <c r="B1077" s="84"/>
      <c r="C1077" s="84"/>
      <c r="D1077" s="8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12"/>
      <c r="R1077" s="4"/>
      <c r="S1077" s="4"/>
      <c r="T1077" s="12"/>
      <c r="U1077" s="4"/>
      <c r="V1077" s="4"/>
      <c r="W1077" s="87"/>
      <c r="X1077" s="4"/>
      <c r="Y1077" s="4"/>
      <c r="Z1077" s="4"/>
      <c r="AA1077" s="4"/>
      <c r="AB1077" s="4"/>
      <c r="AC1077" s="12"/>
      <c r="AD1077" s="4"/>
      <c r="AE1077" s="4"/>
    </row>
    <row r="1078">
      <c r="A1078" s="4"/>
      <c r="B1078" s="84"/>
      <c r="C1078" s="84"/>
      <c r="D1078" s="8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12"/>
      <c r="R1078" s="4"/>
      <c r="S1078" s="4"/>
      <c r="T1078" s="12"/>
      <c r="U1078" s="4"/>
      <c r="V1078" s="4"/>
      <c r="W1078" s="87"/>
      <c r="X1078" s="4"/>
      <c r="Y1078" s="4"/>
      <c r="Z1078" s="4"/>
      <c r="AA1078" s="4"/>
      <c r="AB1078" s="4"/>
      <c r="AC1078" s="12"/>
      <c r="AD1078" s="4"/>
      <c r="AE1078" s="4"/>
    </row>
    <row r="1079">
      <c r="A1079" s="4"/>
      <c r="B1079" s="84"/>
      <c r="C1079" s="84"/>
      <c r="D1079" s="8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12"/>
      <c r="R1079" s="4"/>
      <c r="S1079" s="4"/>
      <c r="T1079" s="12"/>
      <c r="U1079" s="4"/>
      <c r="V1079" s="4"/>
      <c r="W1079" s="87"/>
      <c r="X1079" s="4"/>
      <c r="Y1079" s="4"/>
      <c r="Z1079" s="4"/>
      <c r="AA1079" s="4"/>
      <c r="AB1079" s="4"/>
      <c r="AC1079" s="12"/>
      <c r="AD1079" s="4"/>
      <c r="AE1079" s="4"/>
    </row>
    <row r="1080">
      <c r="A1080" s="4"/>
      <c r="B1080" s="84"/>
      <c r="C1080" s="84"/>
      <c r="D1080" s="8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12"/>
      <c r="R1080" s="4"/>
      <c r="S1080" s="4"/>
      <c r="T1080" s="12"/>
      <c r="U1080" s="4"/>
      <c r="V1080" s="4"/>
      <c r="W1080" s="87"/>
      <c r="X1080" s="4"/>
      <c r="Y1080" s="4"/>
      <c r="Z1080" s="4"/>
      <c r="AA1080" s="4"/>
      <c r="AB1080" s="4"/>
      <c r="AC1080" s="12"/>
      <c r="AD1080" s="4"/>
      <c r="AE1080" s="4"/>
    </row>
    <row r="1081">
      <c r="A1081" s="4"/>
      <c r="B1081" s="84"/>
      <c r="C1081" s="84"/>
      <c r="D1081" s="8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12"/>
      <c r="R1081" s="4"/>
      <c r="S1081" s="4"/>
      <c r="T1081" s="12"/>
      <c r="U1081" s="4"/>
      <c r="V1081" s="4"/>
      <c r="W1081" s="87"/>
      <c r="X1081" s="4"/>
      <c r="Y1081" s="4"/>
      <c r="Z1081" s="4"/>
      <c r="AA1081" s="4"/>
      <c r="AB1081" s="4"/>
      <c r="AC1081" s="12"/>
      <c r="AD1081" s="4"/>
      <c r="AE1081" s="4"/>
    </row>
    <row r="1082">
      <c r="A1082" s="4"/>
      <c r="B1082" s="84"/>
      <c r="C1082" s="84"/>
      <c r="D1082" s="8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12"/>
      <c r="R1082" s="4"/>
      <c r="S1082" s="4"/>
      <c r="T1082" s="12"/>
      <c r="U1082" s="4"/>
      <c r="V1082" s="4"/>
      <c r="W1082" s="87"/>
      <c r="X1082" s="4"/>
      <c r="Y1082" s="4"/>
      <c r="Z1082" s="4"/>
      <c r="AA1082" s="4"/>
      <c r="AB1082" s="4"/>
      <c r="AC1082" s="12"/>
      <c r="AD1082" s="4"/>
      <c r="AE1082" s="4"/>
    </row>
    <row r="1083">
      <c r="A1083" s="4"/>
      <c r="B1083" s="84"/>
      <c r="C1083" s="84"/>
      <c r="D1083" s="8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12"/>
      <c r="R1083" s="4"/>
      <c r="S1083" s="4"/>
      <c r="T1083" s="12"/>
      <c r="U1083" s="4"/>
      <c r="V1083" s="4"/>
      <c r="W1083" s="87"/>
      <c r="X1083" s="4"/>
      <c r="Y1083" s="4"/>
      <c r="Z1083" s="4"/>
      <c r="AA1083" s="4"/>
      <c r="AB1083" s="4"/>
      <c r="AC1083" s="12"/>
      <c r="AD1083" s="4"/>
      <c r="AE1083" s="4"/>
    </row>
    <row r="1084">
      <c r="A1084" s="4"/>
      <c r="B1084" s="84"/>
      <c r="C1084" s="84"/>
      <c r="D1084" s="8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12"/>
      <c r="R1084" s="4"/>
      <c r="S1084" s="4"/>
      <c r="T1084" s="12"/>
      <c r="U1084" s="4"/>
      <c r="V1084" s="4"/>
      <c r="W1084" s="87"/>
      <c r="X1084" s="4"/>
      <c r="Y1084" s="4"/>
      <c r="Z1084" s="4"/>
      <c r="AA1084" s="4"/>
      <c r="AB1084" s="4"/>
      <c r="AC1084" s="12"/>
      <c r="AD1084" s="4"/>
      <c r="AE1084" s="4"/>
    </row>
    <row r="1085">
      <c r="A1085" s="4"/>
      <c r="B1085" s="84"/>
      <c r="C1085" s="84"/>
      <c r="D1085" s="8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12"/>
      <c r="R1085" s="4"/>
      <c r="S1085" s="4"/>
      <c r="T1085" s="12"/>
      <c r="U1085" s="4"/>
      <c r="V1085" s="4"/>
      <c r="W1085" s="87"/>
      <c r="X1085" s="4"/>
      <c r="Y1085" s="4"/>
      <c r="Z1085" s="4"/>
      <c r="AA1085" s="4"/>
      <c r="AB1085" s="4"/>
      <c r="AC1085" s="12"/>
      <c r="AD1085" s="4"/>
      <c r="AE1085" s="4"/>
    </row>
    <row r="1086">
      <c r="A1086" s="4"/>
      <c r="B1086" s="84"/>
      <c r="C1086" s="84"/>
      <c r="D1086" s="8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12"/>
      <c r="R1086" s="4"/>
      <c r="S1086" s="4"/>
      <c r="T1086" s="12"/>
      <c r="U1086" s="4"/>
      <c r="V1086" s="4"/>
      <c r="W1086" s="87"/>
      <c r="X1086" s="4"/>
      <c r="Y1086" s="4"/>
      <c r="Z1086" s="4"/>
      <c r="AA1086" s="4"/>
      <c r="AB1086" s="4"/>
      <c r="AC1086" s="12"/>
      <c r="AD1086" s="4"/>
      <c r="AE1086" s="4"/>
    </row>
    <row r="1087">
      <c r="A1087" s="4"/>
      <c r="B1087" s="84"/>
      <c r="C1087" s="84"/>
      <c r="D1087" s="8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12"/>
      <c r="R1087" s="4"/>
      <c r="S1087" s="4"/>
      <c r="T1087" s="12"/>
      <c r="U1087" s="4"/>
      <c r="V1087" s="4"/>
      <c r="W1087" s="87"/>
      <c r="X1087" s="4"/>
      <c r="Y1087" s="4"/>
      <c r="Z1087" s="4"/>
      <c r="AA1087" s="4"/>
      <c r="AB1087" s="4"/>
      <c r="AC1087" s="12"/>
      <c r="AD1087" s="4"/>
      <c r="AE1087" s="4"/>
    </row>
    <row r="1088">
      <c r="A1088" s="4"/>
      <c r="B1088" s="84"/>
      <c r="C1088" s="84"/>
      <c r="D1088" s="8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12"/>
      <c r="R1088" s="4"/>
      <c r="S1088" s="4"/>
      <c r="T1088" s="12"/>
      <c r="U1088" s="4"/>
      <c r="V1088" s="4"/>
      <c r="W1088" s="87"/>
      <c r="X1088" s="4"/>
      <c r="Y1088" s="4"/>
      <c r="Z1088" s="4"/>
      <c r="AA1088" s="4"/>
      <c r="AB1088" s="4"/>
      <c r="AC1088" s="12"/>
      <c r="AD1088" s="4"/>
      <c r="AE1088" s="4"/>
    </row>
    <row r="1089">
      <c r="A1089" s="4"/>
      <c r="B1089" s="84"/>
      <c r="C1089" s="84"/>
      <c r="D1089" s="8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12"/>
      <c r="R1089" s="4"/>
      <c r="S1089" s="4"/>
      <c r="T1089" s="12"/>
      <c r="U1089" s="4"/>
      <c r="V1089" s="4"/>
      <c r="W1089" s="87"/>
      <c r="X1089" s="4"/>
      <c r="Y1089" s="4"/>
      <c r="Z1089" s="4"/>
      <c r="AA1089" s="4"/>
      <c r="AB1089" s="4"/>
      <c r="AC1089" s="12"/>
      <c r="AD1089" s="4"/>
      <c r="AE1089" s="4"/>
    </row>
    <row r="1090">
      <c r="A1090" s="4"/>
      <c r="B1090" s="84"/>
      <c r="C1090" s="84"/>
      <c r="D1090" s="8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12"/>
      <c r="R1090" s="4"/>
      <c r="S1090" s="4"/>
      <c r="T1090" s="12"/>
      <c r="U1090" s="4"/>
      <c r="V1090" s="4"/>
      <c r="W1090" s="87"/>
      <c r="X1090" s="4"/>
      <c r="Y1090" s="4"/>
      <c r="Z1090" s="4"/>
      <c r="AA1090" s="4"/>
      <c r="AB1090" s="4"/>
      <c r="AC1090" s="12"/>
      <c r="AD1090" s="4"/>
      <c r="AE1090" s="4"/>
    </row>
    <row r="1091">
      <c r="A1091" s="4"/>
      <c r="B1091" s="84"/>
      <c r="C1091" s="84"/>
      <c r="D1091" s="8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12"/>
      <c r="R1091" s="4"/>
      <c r="S1091" s="4"/>
      <c r="T1091" s="12"/>
      <c r="U1091" s="4"/>
      <c r="V1091" s="4"/>
      <c r="W1091" s="87"/>
      <c r="X1091" s="4"/>
      <c r="Y1091" s="4"/>
      <c r="Z1091" s="4"/>
      <c r="AA1091" s="4"/>
      <c r="AB1091" s="4"/>
      <c r="AC1091" s="12"/>
      <c r="AD1091" s="4"/>
      <c r="AE1091" s="4"/>
    </row>
    <row r="1092">
      <c r="A1092" s="4"/>
      <c r="B1092" s="84"/>
      <c r="C1092" s="84"/>
      <c r="D1092" s="8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12"/>
      <c r="R1092" s="4"/>
      <c r="S1092" s="4"/>
      <c r="T1092" s="12"/>
      <c r="U1092" s="4"/>
      <c r="V1092" s="4"/>
      <c r="W1092" s="87"/>
      <c r="X1092" s="4"/>
      <c r="Y1092" s="4"/>
      <c r="Z1092" s="4"/>
      <c r="AA1092" s="4"/>
      <c r="AB1092" s="4"/>
      <c r="AC1092" s="12"/>
      <c r="AD1092" s="4"/>
      <c r="AE1092" s="4"/>
    </row>
    <row r="1093">
      <c r="A1093" s="4"/>
      <c r="B1093" s="84"/>
      <c r="C1093" s="84"/>
      <c r="D1093" s="8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12"/>
      <c r="R1093" s="4"/>
      <c r="S1093" s="4"/>
      <c r="T1093" s="12"/>
      <c r="U1093" s="4"/>
      <c r="V1093" s="4"/>
      <c r="W1093" s="87"/>
      <c r="X1093" s="4"/>
      <c r="Y1093" s="4"/>
      <c r="Z1093" s="4"/>
      <c r="AA1093" s="4"/>
      <c r="AB1093" s="4"/>
      <c r="AC1093" s="12"/>
      <c r="AD1093" s="4"/>
      <c r="AE1093" s="4"/>
    </row>
    <row r="1094">
      <c r="A1094" s="4"/>
      <c r="B1094" s="84"/>
      <c r="C1094" s="84"/>
      <c r="D1094" s="8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12"/>
      <c r="R1094" s="4"/>
      <c r="S1094" s="4"/>
      <c r="T1094" s="12"/>
      <c r="U1094" s="4"/>
      <c r="V1094" s="4"/>
      <c r="W1094" s="87"/>
      <c r="X1094" s="4"/>
      <c r="Y1094" s="4"/>
      <c r="Z1094" s="4"/>
      <c r="AA1094" s="4"/>
      <c r="AB1094" s="4"/>
      <c r="AC1094" s="12"/>
      <c r="AD1094" s="4"/>
      <c r="AE1094" s="4"/>
    </row>
    <row r="1095">
      <c r="A1095" s="4"/>
      <c r="B1095" s="84"/>
      <c r="C1095" s="84"/>
      <c r="D1095" s="8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12"/>
      <c r="R1095" s="4"/>
      <c r="S1095" s="4"/>
      <c r="T1095" s="12"/>
      <c r="U1095" s="4"/>
      <c r="V1095" s="4"/>
      <c r="W1095" s="87"/>
      <c r="X1095" s="4"/>
      <c r="Y1095" s="4"/>
      <c r="Z1095" s="4"/>
      <c r="AA1095" s="4"/>
      <c r="AB1095" s="4"/>
      <c r="AC1095" s="12"/>
      <c r="AD1095" s="4"/>
      <c r="AE1095" s="4"/>
    </row>
    <row r="1096">
      <c r="A1096" s="4"/>
      <c r="B1096" s="84"/>
      <c r="C1096" s="84"/>
      <c r="D1096" s="8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12"/>
      <c r="R1096" s="4"/>
      <c r="S1096" s="4"/>
      <c r="T1096" s="12"/>
      <c r="U1096" s="4"/>
      <c r="V1096" s="4"/>
      <c r="W1096" s="87"/>
      <c r="X1096" s="4"/>
      <c r="Y1096" s="4"/>
      <c r="Z1096" s="4"/>
      <c r="AA1096" s="4"/>
      <c r="AB1096" s="4"/>
      <c r="AC1096" s="12"/>
      <c r="AD1096" s="4"/>
      <c r="AE1096" s="4"/>
    </row>
    <row r="1097">
      <c r="A1097" s="4"/>
      <c r="B1097" s="84"/>
      <c r="C1097" s="84"/>
      <c r="D1097" s="8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12"/>
      <c r="R1097" s="4"/>
      <c r="S1097" s="4"/>
      <c r="T1097" s="12"/>
      <c r="U1097" s="4"/>
      <c r="V1097" s="4"/>
      <c r="W1097" s="87"/>
      <c r="X1097" s="4"/>
      <c r="Y1097" s="4"/>
      <c r="Z1097" s="4"/>
      <c r="AA1097" s="4"/>
      <c r="AB1097" s="4"/>
      <c r="AC1097" s="12"/>
      <c r="AD1097" s="4"/>
      <c r="AE1097" s="4"/>
    </row>
    <row r="1098">
      <c r="A1098" s="4"/>
      <c r="B1098" s="84"/>
      <c r="C1098" s="84"/>
      <c r="D1098" s="8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12"/>
      <c r="R1098" s="4"/>
      <c r="S1098" s="4"/>
      <c r="T1098" s="12"/>
      <c r="U1098" s="4"/>
      <c r="V1098" s="4"/>
      <c r="W1098" s="87"/>
      <c r="X1098" s="4"/>
      <c r="Y1098" s="4"/>
      <c r="Z1098" s="4"/>
      <c r="AA1098" s="4"/>
      <c r="AB1098" s="4"/>
      <c r="AC1098" s="12"/>
      <c r="AD1098" s="4"/>
      <c r="AE1098" s="4"/>
    </row>
    <row r="1099">
      <c r="A1099" s="4"/>
      <c r="B1099" s="84"/>
      <c r="C1099" s="84"/>
      <c r="D1099" s="8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12"/>
      <c r="R1099" s="4"/>
      <c r="S1099" s="4"/>
      <c r="T1099" s="12"/>
      <c r="U1099" s="4"/>
      <c r="V1099" s="4"/>
      <c r="W1099" s="87"/>
      <c r="X1099" s="4"/>
      <c r="Y1099" s="4"/>
      <c r="Z1099" s="4"/>
      <c r="AA1099" s="4"/>
      <c r="AB1099" s="4"/>
      <c r="AC1099" s="12"/>
      <c r="AD1099" s="4"/>
      <c r="AE1099" s="4"/>
    </row>
    <row r="1100">
      <c r="A1100" s="4"/>
      <c r="B1100" s="84"/>
      <c r="C1100" s="84"/>
      <c r="D1100" s="8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12"/>
      <c r="R1100" s="4"/>
      <c r="S1100" s="4"/>
      <c r="T1100" s="12"/>
      <c r="U1100" s="4"/>
      <c r="V1100" s="4"/>
      <c r="W1100" s="87"/>
      <c r="X1100" s="4"/>
      <c r="Y1100" s="4"/>
      <c r="Z1100" s="4"/>
      <c r="AA1100" s="4"/>
      <c r="AB1100" s="4"/>
      <c r="AC1100" s="12"/>
      <c r="AD1100" s="4"/>
      <c r="AE1100" s="4"/>
    </row>
    <row r="1101">
      <c r="A1101" s="4"/>
      <c r="B1101" s="84"/>
      <c r="C1101" s="84"/>
      <c r="D1101" s="8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12"/>
      <c r="R1101" s="4"/>
      <c r="S1101" s="4"/>
      <c r="T1101" s="12"/>
      <c r="U1101" s="4"/>
      <c r="V1101" s="4"/>
      <c r="W1101" s="87"/>
      <c r="X1101" s="4"/>
      <c r="Y1101" s="4"/>
      <c r="Z1101" s="4"/>
      <c r="AA1101" s="4"/>
      <c r="AB1101" s="4"/>
      <c r="AC1101" s="12"/>
      <c r="AD1101" s="4"/>
      <c r="AE1101" s="4"/>
    </row>
    <row r="1102">
      <c r="A1102" s="4"/>
      <c r="B1102" s="84"/>
      <c r="C1102" s="84"/>
      <c r="D1102" s="8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12"/>
      <c r="R1102" s="4"/>
      <c r="S1102" s="4"/>
      <c r="T1102" s="12"/>
      <c r="U1102" s="4"/>
      <c r="V1102" s="4"/>
      <c r="W1102" s="87"/>
      <c r="X1102" s="4"/>
      <c r="Y1102" s="4"/>
      <c r="Z1102" s="4"/>
      <c r="AA1102" s="4"/>
      <c r="AB1102" s="4"/>
      <c r="AC1102" s="12"/>
      <c r="AD1102" s="4"/>
      <c r="AE1102" s="4"/>
    </row>
    <row r="1103">
      <c r="A1103" s="4"/>
      <c r="B1103" s="84"/>
      <c r="C1103" s="84"/>
      <c r="D1103" s="8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12"/>
      <c r="R1103" s="4"/>
      <c r="S1103" s="4"/>
      <c r="T1103" s="12"/>
      <c r="U1103" s="4"/>
      <c r="V1103" s="4"/>
      <c r="W1103" s="87"/>
      <c r="X1103" s="4"/>
      <c r="Y1103" s="4"/>
      <c r="Z1103" s="4"/>
      <c r="AA1103" s="4"/>
      <c r="AB1103" s="4"/>
      <c r="AC1103" s="12"/>
      <c r="AD1103" s="4"/>
      <c r="AE1103" s="4"/>
    </row>
    <row r="1104">
      <c r="A1104" s="4"/>
      <c r="B1104" s="84"/>
      <c r="C1104" s="84"/>
      <c r="D1104" s="8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12"/>
      <c r="R1104" s="4"/>
      <c r="S1104" s="4"/>
      <c r="T1104" s="12"/>
      <c r="U1104" s="4"/>
      <c r="V1104" s="4"/>
      <c r="W1104" s="87"/>
      <c r="X1104" s="4"/>
      <c r="Y1104" s="4"/>
      <c r="Z1104" s="4"/>
      <c r="AA1104" s="4"/>
      <c r="AB1104" s="4"/>
      <c r="AC1104" s="12"/>
      <c r="AD1104" s="4"/>
      <c r="AE1104" s="4"/>
    </row>
    <row r="1105">
      <c r="A1105" s="4"/>
      <c r="B1105" s="84"/>
      <c r="C1105" s="84"/>
      <c r="D1105" s="8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12"/>
      <c r="R1105" s="4"/>
      <c r="S1105" s="4"/>
      <c r="T1105" s="12"/>
      <c r="U1105" s="4"/>
      <c r="V1105" s="4"/>
      <c r="W1105" s="87"/>
      <c r="X1105" s="4"/>
      <c r="Y1105" s="4"/>
      <c r="Z1105" s="4"/>
      <c r="AA1105" s="4"/>
      <c r="AB1105" s="4"/>
      <c r="AC1105" s="12"/>
      <c r="AD1105" s="4"/>
      <c r="AE1105" s="4"/>
    </row>
    <row r="1106">
      <c r="A1106" s="4"/>
      <c r="B1106" s="84"/>
      <c r="C1106" s="84"/>
      <c r="D1106" s="8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12"/>
      <c r="R1106" s="4"/>
      <c r="S1106" s="4"/>
      <c r="T1106" s="12"/>
      <c r="U1106" s="4"/>
      <c r="V1106" s="4"/>
      <c r="W1106" s="87"/>
      <c r="X1106" s="4"/>
      <c r="Y1106" s="4"/>
      <c r="Z1106" s="4"/>
      <c r="AA1106" s="4"/>
      <c r="AB1106" s="4"/>
      <c r="AC1106" s="12"/>
      <c r="AD1106" s="4"/>
      <c r="AE1106" s="4"/>
    </row>
    <row r="1107">
      <c r="A1107" s="4"/>
      <c r="B1107" s="84"/>
      <c r="C1107" s="84"/>
      <c r="D1107" s="8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12"/>
      <c r="R1107" s="4"/>
      <c r="S1107" s="4"/>
      <c r="T1107" s="12"/>
      <c r="U1107" s="4"/>
      <c r="V1107" s="4"/>
      <c r="W1107" s="87"/>
      <c r="X1107" s="4"/>
      <c r="Y1107" s="4"/>
      <c r="Z1107" s="4"/>
      <c r="AA1107" s="4"/>
      <c r="AB1107" s="4"/>
      <c r="AC1107" s="12"/>
      <c r="AD1107" s="4"/>
      <c r="AE1107" s="4"/>
    </row>
    <row r="1108">
      <c r="A1108" s="4"/>
      <c r="B1108" s="84"/>
      <c r="C1108" s="84"/>
      <c r="D1108" s="8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12"/>
      <c r="R1108" s="4"/>
      <c r="S1108" s="4"/>
      <c r="T1108" s="12"/>
      <c r="U1108" s="4"/>
      <c r="V1108" s="4"/>
      <c r="W1108" s="87"/>
      <c r="X1108" s="4"/>
      <c r="Y1108" s="4"/>
      <c r="Z1108" s="4"/>
      <c r="AA1108" s="4"/>
      <c r="AB1108" s="4"/>
      <c r="AC1108" s="12"/>
      <c r="AD1108" s="4"/>
      <c r="AE1108" s="4"/>
    </row>
    <row r="1109">
      <c r="A1109" s="4"/>
      <c r="B1109" s="84"/>
      <c r="C1109" s="84"/>
      <c r="D1109" s="8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12"/>
      <c r="R1109" s="4"/>
      <c r="S1109" s="4"/>
      <c r="T1109" s="12"/>
      <c r="U1109" s="4"/>
      <c r="V1109" s="4"/>
      <c r="W1109" s="87"/>
      <c r="X1109" s="4"/>
      <c r="Y1109" s="4"/>
      <c r="Z1109" s="4"/>
      <c r="AA1109" s="4"/>
      <c r="AB1109" s="4"/>
      <c r="AC1109" s="12"/>
      <c r="AD1109" s="4"/>
      <c r="AE1109" s="4"/>
    </row>
    <row r="1110">
      <c r="A1110" s="4"/>
      <c r="B1110" s="84"/>
      <c r="C1110" s="84"/>
      <c r="D1110" s="8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12"/>
      <c r="R1110" s="4"/>
      <c r="S1110" s="4"/>
      <c r="T1110" s="12"/>
      <c r="U1110" s="4"/>
      <c r="V1110" s="4"/>
      <c r="W1110" s="87"/>
      <c r="X1110" s="4"/>
      <c r="Y1110" s="4"/>
      <c r="Z1110" s="4"/>
      <c r="AA1110" s="4"/>
      <c r="AB1110" s="4"/>
      <c r="AC1110" s="12"/>
      <c r="AD1110" s="4"/>
      <c r="AE1110" s="4"/>
    </row>
    <row r="1111">
      <c r="A1111" s="4"/>
      <c r="B1111" s="84"/>
      <c r="C1111" s="84"/>
      <c r="D1111" s="8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12"/>
      <c r="R1111" s="4"/>
      <c r="S1111" s="4"/>
      <c r="T1111" s="12"/>
      <c r="U1111" s="4"/>
      <c r="V1111" s="4"/>
      <c r="W1111" s="87"/>
      <c r="X1111" s="4"/>
      <c r="Y1111" s="4"/>
      <c r="Z1111" s="4"/>
      <c r="AA1111" s="4"/>
      <c r="AB1111" s="4"/>
      <c r="AC1111" s="12"/>
      <c r="AD1111" s="4"/>
      <c r="AE1111" s="4"/>
    </row>
    <row r="1112">
      <c r="A1112" s="4"/>
      <c r="B1112" s="84"/>
      <c r="C1112" s="84"/>
      <c r="D1112" s="8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12"/>
      <c r="R1112" s="4"/>
      <c r="S1112" s="4"/>
      <c r="T1112" s="12"/>
      <c r="U1112" s="4"/>
      <c r="V1112" s="4"/>
      <c r="W1112" s="87"/>
      <c r="X1112" s="4"/>
      <c r="Y1112" s="4"/>
      <c r="Z1112" s="4"/>
      <c r="AA1112" s="4"/>
      <c r="AB1112" s="4"/>
      <c r="AC1112" s="12"/>
      <c r="AD1112" s="4"/>
      <c r="AE1112" s="4"/>
    </row>
    <row r="1113">
      <c r="A1113" s="4"/>
      <c r="B1113" s="84"/>
      <c r="C1113" s="84"/>
      <c r="D1113" s="8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12"/>
      <c r="R1113" s="4"/>
      <c r="S1113" s="4"/>
      <c r="T1113" s="12"/>
      <c r="U1113" s="4"/>
      <c r="V1113" s="4"/>
      <c r="W1113" s="87"/>
      <c r="X1113" s="4"/>
      <c r="Y1113" s="4"/>
      <c r="Z1113" s="4"/>
      <c r="AA1113" s="4"/>
      <c r="AB1113" s="4"/>
      <c r="AC1113" s="12"/>
      <c r="AD1113" s="4"/>
      <c r="AE1113" s="4"/>
    </row>
    <row r="1114">
      <c r="A1114" s="4"/>
      <c r="B1114" s="84"/>
      <c r="C1114" s="84"/>
      <c r="D1114" s="8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12"/>
      <c r="R1114" s="4"/>
      <c r="S1114" s="4"/>
      <c r="T1114" s="12"/>
      <c r="U1114" s="4"/>
      <c r="V1114" s="4"/>
      <c r="W1114" s="87"/>
      <c r="X1114" s="4"/>
      <c r="Y1114" s="4"/>
      <c r="Z1114" s="4"/>
      <c r="AA1114" s="4"/>
      <c r="AB1114" s="4"/>
      <c r="AC1114" s="12"/>
      <c r="AD1114" s="4"/>
      <c r="AE1114" s="4"/>
    </row>
    <row r="1115">
      <c r="A1115" s="4"/>
      <c r="B1115" s="84"/>
      <c r="C1115" s="84"/>
      <c r="D1115" s="8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12"/>
      <c r="R1115" s="4"/>
      <c r="S1115" s="4"/>
      <c r="T1115" s="12"/>
      <c r="U1115" s="4"/>
      <c r="V1115" s="4"/>
      <c r="W1115" s="87"/>
      <c r="X1115" s="4"/>
      <c r="Y1115" s="4"/>
      <c r="Z1115" s="4"/>
      <c r="AA1115" s="4"/>
      <c r="AB1115" s="4"/>
      <c r="AC1115" s="12"/>
      <c r="AD1115" s="4"/>
      <c r="AE1115" s="4"/>
    </row>
    <row r="1116">
      <c r="A1116" s="4"/>
      <c r="B1116" s="84"/>
      <c r="C1116" s="84"/>
      <c r="D1116" s="8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12"/>
      <c r="R1116" s="4"/>
      <c r="S1116" s="4"/>
      <c r="T1116" s="12"/>
      <c r="U1116" s="4"/>
      <c r="V1116" s="4"/>
      <c r="W1116" s="87"/>
      <c r="X1116" s="4"/>
      <c r="Y1116" s="4"/>
      <c r="Z1116" s="4"/>
      <c r="AA1116" s="4"/>
      <c r="AB1116" s="4"/>
      <c r="AC1116" s="12"/>
      <c r="AD1116" s="4"/>
      <c r="AE1116" s="4"/>
    </row>
    <row r="1117">
      <c r="A1117" s="4"/>
      <c r="B1117" s="84"/>
      <c r="C1117" s="84"/>
      <c r="D1117" s="8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12"/>
      <c r="R1117" s="4"/>
      <c r="S1117" s="4"/>
      <c r="T1117" s="12"/>
      <c r="U1117" s="4"/>
      <c r="V1117" s="4"/>
      <c r="W1117" s="87"/>
      <c r="X1117" s="4"/>
      <c r="Y1117" s="4"/>
      <c r="Z1117" s="4"/>
      <c r="AA1117" s="4"/>
      <c r="AB1117" s="4"/>
      <c r="AC1117" s="12"/>
      <c r="AD1117" s="4"/>
      <c r="AE1117" s="4"/>
    </row>
    <row r="1118">
      <c r="A1118" s="4"/>
      <c r="B1118" s="84"/>
      <c r="C1118" s="84"/>
      <c r="D1118" s="8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12"/>
      <c r="R1118" s="4"/>
      <c r="S1118" s="4"/>
      <c r="T1118" s="12"/>
      <c r="U1118" s="4"/>
      <c r="V1118" s="4"/>
      <c r="W1118" s="87"/>
      <c r="X1118" s="4"/>
      <c r="Y1118" s="4"/>
      <c r="Z1118" s="4"/>
      <c r="AA1118" s="4"/>
      <c r="AB1118" s="4"/>
      <c r="AC1118" s="12"/>
      <c r="AD1118" s="4"/>
      <c r="AE1118" s="4"/>
    </row>
    <row r="1119">
      <c r="A1119" s="4"/>
      <c r="B1119" s="84"/>
      <c r="C1119" s="84"/>
      <c r="D1119" s="8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12"/>
      <c r="R1119" s="4"/>
      <c r="S1119" s="4"/>
      <c r="T1119" s="12"/>
      <c r="U1119" s="4"/>
      <c r="V1119" s="4"/>
      <c r="W1119" s="87"/>
      <c r="X1119" s="4"/>
      <c r="Y1119" s="4"/>
      <c r="Z1119" s="4"/>
      <c r="AA1119" s="4"/>
      <c r="AB1119" s="4"/>
      <c r="AC1119" s="12"/>
      <c r="AD1119" s="4"/>
      <c r="AE1119" s="4"/>
    </row>
    <row r="1120">
      <c r="A1120" s="4"/>
      <c r="B1120" s="84"/>
      <c r="C1120" s="84"/>
      <c r="D1120" s="8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12"/>
      <c r="R1120" s="4"/>
      <c r="S1120" s="4"/>
      <c r="T1120" s="12"/>
      <c r="U1120" s="4"/>
      <c r="V1120" s="4"/>
      <c r="W1120" s="87"/>
      <c r="X1120" s="4"/>
      <c r="Y1120" s="4"/>
      <c r="Z1120" s="4"/>
      <c r="AA1120" s="4"/>
      <c r="AB1120" s="4"/>
      <c r="AC1120" s="12"/>
      <c r="AD1120" s="4"/>
      <c r="AE1120" s="4"/>
    </row>
    <row r="1121">
      <c r="A1121" s="4"/>
      <c r="B1121" s="84"/>
      <c r="C1121" s="84"/>
      <c r="D1121" s="8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12"/>
      <c r="R1121" s="4"/>
      <c r="S1121" s="4"/>
      <c r="T1121" s="12"/>
      <c r="U1121" s="4"/>
      <c r="V1121" s="4"/>
      <c r="W1121" s="87"/>
      <c r="X1121" s="4"/>
      <c r="Y1121" s="4"/>
      <c r="Z1121" s="4"/>
      <c r="AA1121" s="4"/>
      <c r="AB1121" s="4"/>
      <c r="AC1121" s="12"/>
      <c r="AD1121" s="4"/>
      <c r="AE1121" s="4"/>
    </row>
    <row r="1122">
      <c r="A1122" s="4"/>
      <c r="B1122" s="84"/>
      <c r="C1122" s="84"/>
      <c r="D1122" s="8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12"/>
      <c r="R1122" s="4"/>
      <c r="S1122" s="4"/>
      <c r="T1122" s="12"/>
      <c r="U1122" s="4"/>
      <c r="V1122" s="4"/>
      <c r="W1122" s="87"/>
      <c r="X1122" s="4"/>
      <c r="Y1122" s="4"/>
      <c r="Z1122" s="4"/>
      <c r="AA1122" s="4"/>
      <c r="AB1122" s="4"/>
      <c r="AC1122" s="12"/>
      <c r="AD1122" s="4"/>
      <c r="AE1122" s="4"/>
    </row>
    <row r="1123">
      <c r="A1123" s="4"/>
      <c r="B1123" s="84"/>
      <c r="C1123" s="84"/>
      <c r="D1123" s="8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12"/>
      <c r="R1123" s="4"/>
      <c r="S1123" s="4"/>
      <c r="T1123" s="12"/>
      <c r="U1123" s="4"/>
      <c r="V1123" s="4"/>
      <c r="W1123" s="87"/>
      <c r="X1123" s="4"/>
      <c r="Y1123" s="4"/>
      <c r="Z1123" s="4"/>
      <c r="AA1123" s="4"/>
      <c r="AB1123" s="4"/>
      <c r="AC1123" s="12"/>
      <c r="AD1123" s="4"/>
      <c r="AE1123" s="4"/>
    </row>
    <row r="1124">
      <c r="A1124" s="4"/>
      <c r="B1124" s="84"/>
      <c r="C1124" s="84"/>
      <c r="D1124" s="8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12"/>
      <c r="R1124" s="4"/>
      <c r="S1124" s="4"/>
      <c r="T1124" s="12"/>
      <c r="U1124" s="4"/>
      <c r="V1124" s="4"/>
      <c r="W1124" s="87"/>
      <c r="X1124" s="4"/>
      <c r="Y1124" s="4"/>
      <c r="Z1124" s="4"/>
      <c r="AA1124" s="4"/>
      <c r="AB1124" s="4"/>
      <c r="AC1124" s="12"/>
      <c r="AD1124" s="4"/>
      <c r="AE1124" s="4"/>
    </row>
    <row r="1125">
      <c r="A1125" s="4"/>
      <c r="B1125" s="84"/>
      <c r="C1125" s="84"/>
      <c r="D1125" s="8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12"/>
      <c r="R1125" s="4"/>
      <c r="S1125" s="4"/>
      <c r="T1125" s="12"/>
      <c r="U1125" s="4"/>
      <c r="V1125" s="4"/>
      <c r="W1125" s="87"/>
      <c r="X1125" s="4"/>
      <c r="Y1125" s="4"/>
      <c r="Z1125" s="4"/>
      <c r="AA1125" s="4"/>
      <c r="AB1125" s="4"/>
      <c r="AC1125" s="12"/>
      <c r="AD1125" s="4"/>
      <c r="AE1125" s="4"/>
    </row>
    <row r="1126">
      <c r="A1126" s="4"/>
      <c r="B1126" s="84"/>
      <c r="C1126" s="84"/>
      <c r="D1126" s="8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12"/>
      <c r="R1126" s="4"/>
      <c r="S1126" s="4"/>
      <c r="T1126" s="12"/>
      <c r="U1126" s="4"/>
      <c r="V1126" s="4"/>
      <c r="W1126" s="87"/>
      <c r="X1126" s="4"/>
      <c r="Y1126" s="4"/>
      <c r="Z1126" s="4"/>
      <c r="AA1126" s="4"/>
      <c r="AB1126" s="4"/>
      <c r="AC1126" s="12"/>
      <c r="AD1126" s="4"/>
      <c r="AE1126" s="4"/>
    </row>
    <row r="1127">
      <c r="A1127" s="4"/>
      <c r="B1127" s="84"/>
      <c r="C1127" s="84"/>
      <c r="D1127" s="8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12"/>
      <c r="R1127" s="4"/>
      <c r="S1127" s="4"/>
      <c r="T1127" s="12"/>
      <c r="U1127" s="4"/>
      <c r="V1127" s="4"/>
      <c r="W1127" s="87"/>
      <c r="X1127" s="4"/>
      <c r="Y1127" s="4"/>
      <c r="Z1127" s="4"/>
      <c r="AA1127" s="4"/>
      <c r="AB1127" s="4"/>
      <c r="AC1127" s="12"/>
      <c r="AD1127" s="4"/>
      <c r="AE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12"/>
      <c r="R1128" s="4"/>
      <c r="S1128" s="4"/>
      <c r="T1128" s="12"/>
      <c r="U1128" s="4"/>
      <c r="V1128" s="4"/>
      <c r="W1128" s="87"/>
      <c r="X1128" s="4"/>
      <c r="Y1128" s="4"/>
      <c r="Z1128" s="4"/>
      <c r="AA1128" s="4"/>
      <c r="AB1128" s="4"/>
      <c r="AC1128" s="12"/>
      <c r="AD1128" s="4"/>
      <c r="AE1128" s="4"/>
    </row>
  </sheetData>
  <autoFilter ref="$A$1:$AE$130"/>
  <dataValidations>
    <dataValidation type="list" allowBlank="1" showErrorMessage="1" sqref="AD2:AD3 AD5:AD8 AD10:AD11 AD14:AD15 AD17:AD18 AD20 AD22:AD23 AD25:AD42 AD45:AD48 AD50:AD68 AD71:AD73 AD76:AD80 AD82:AD84 AD86:AD90 AD93 AD95:AD104 AD107:AD110 AD112:AD114 AD116:AD125 AD128:AD129 Y2:Y130">
      <formula1>"EMI doc shared,EMI Rejected,Interested,Enrolled,Not Interested, Not Interested_Fees High,Plan Dropped,Joined Elsewhere,EMI Approved,FPL,Not Answering,Gone Cold,Switchedoff,Not Reachable,Disconnecting the call,EMI Applied,Doc Pending,Call Busy,Call back re"&amp;"quested"</formula1>
    </dataValidation>
    <dataValidation type="list" allowBlank="1" showErrorMessage="1" sqref="AE2:AE3 AE5:AE8 AE10:AE11 AE14:AE15 AE17:AE18 AE20 AE22:AE23 AE25:AE42 AE45:AE48 AE50:AE68 AE71:AE73 AE76:AE80 AE82:AE84 AE86:AE90 AE93 AE95:AE104 AE107:AE110 AE112:AE114 Z2:Z121 AE116:AE125 AE128:AE129 V2:V130 Z123:Z130 V586:V684">
      <formula1>"Cold,Warm,Hot,Super Hot,Lost,Not Connected,Won,Connected,Approved,Rejected"</formula1>
    </dataValidation>
    <dataValidation type="list" allowBlank="1" showErrorMessage="1" sqref="U2:U130 U586:U684">
      <formula1>"Not Answering,Not Interested,Interested,Demo Scheduled,Demo Completed,Enrolled,EMI Rejected,Interested_DNP,Wrong Number,Not Reachable,Joined Elsewhere,Followup,Call Back Requested,Call Busy,Future Prospect Leads,Disconnecting the call,Switchedoff,Looking "&amp;"for job,EMI Process"</formula1>
    </dataValidation>
    <dataValidation type="list" allowBlank="1" showErrorMessage="1" sqref="A2:A130 A586:A684">
      <formula1>"Sasi,Brindha,Dustin"</formula1>
    </dataValidation>
    <dataValidation type="custom" allowBlank="1" showDropDown="1" sqref="AC2:AC3 AC5:AC8 AC10:AC11 AC14:AC15 AC17:AC18 AC20 AC22:AC23 AC25:AC42 AC45:AC48 AC50:AC68 AC71:AC73 AC76:AC80 AC82:AC84 AC86:AC90 AC93 AC95:AC104 AC107:AC110 AC112:AC114 AC116:AC125 AC128:AC129 T2:T130">
      <formula1>OR(NOT(ISERROR(DATEVALUE(T2))), AND(ISNUMBER(T2), LEFT(CELL("format", T2))="D"))</formula1>
    </dataValidation>
  </dataValidations>
  <hyperlinks>
    <hyperlink r:id="rId1" ref="AB27"/>
    <hyperlink r:id="rId2" ref="AB52"/>
    <hyperlink r:id="rId3" ref="AB110"/>
    <hyperlink r:id="rId4" ref="AB117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3" max="3" width="15.25"/>
    <col customWidth="1" min="4" max="4" width="29.13"/>
    <col customWidth="1" min="5" max="5" width="22.13"/>
    <col customWidth="1" min="6" max="6" width="12.38"/>
    <col customWidth="1" min="7" max="7" width="6.0"/>
    <col customWidth="1" min="10" max="10" width="2.63"/>
    <col customWidth="1" min="11" max="13" width="2.75"/>
    <col customWidth="1" min="14" max="14" width="2.63"/>
    <col customWidth="1" min="15" max="15" width="2.38"/>
    <col customWidth="1" min="16" max="17" width="2.88"/>
    <col customWidth="1" min="18" max="18" width="2.75"/>
    <col customWidth="1" min="19" max="19" width="3.13"/>
    <col customWidth="1" min="20" max="20" width="8.25"/>
    <col customWidth="1" min="21" max="21" width="16.63"/>
    <col customWidth="1" min="22" max="22" width="18.25"/>
    <col customWidth="1" min="23" max="23" width="3.25"/>
    <col customWidth="1" min="24" max="24" width="24.75"/>
    <col customWidth="1" min="25" max="25" width="16.88"/>
    <col customWidth="1" min="26" max="26" width="18.25"/>
    <col customWidth="1" min="27" max="27" width="98.0"/>
  </cols>
  <sheetData>
    <row r="1">
      <c r="A1" s="1" t="s">
        <v>1016</v>
      </c>
      <c r="B1" s="50" t="s">
        <v>157</v>
      </c>
      <c r="C1" s="50" t="s">
        <v>334</v>
      </c>
      <c r="D1" s="88" t="s">
        <v>335</v>
      </c>
      <c r="E1" s="50" t="s">
        <v>336</v>
      </c>
      <c r="F1" s="50" t="s">
        <v>337</v>
      </c>
      <c r="G1" s="88" t="s">
        <v>338</v>
      </c>
      <c r="H1" s="88" t="s">
        <v>339</v>
      </c>
      <c r="I1" s="88" t="s">
        <v>340</v>
      </c>
      <c r="J1" s="50">
        <v>1.0</v>
      </c>
      <c r="K1" s="50">
        <v>2.0</v>
      </c>
      <c r="L1" s="50">
        <v>3.0</v>
      </c>
      <c r="M1" s="50">
        <v>4.0</v>
      </c>
      <c r="N1" s="50">
        <v>5.0</v>
      </c>
      <c r="O1" s="50">
        <v>6.0</v>
      </c>
      <c r="P1" s="50">
        <v>7.0</v>
      </c>
      <c r="Q1" s="1">
        <v>8.0</v>
      </c>
      <c r="R1" s="1">
        <v>9.0</v>
      </c>
      <c r="S1" s="1">
        <v>10.0</v>
      </c>
      <c r="T1" s="1" t="s">
        <v>341</v>
      </c>
      <c r="U1" s="1" t="s">
        <v>1017</v>
      </c>
      <c r="V1" s="51" t="s">
        <v>342</v>
      </c>
      <c r="W1" s="1" t="s">
        <v>343</v>
      </c>
      <c r="X1" s="52" t="s">
        <v>344</v>
      </c>
      <c r="Y1" s="51" t="s">
        <v>345</v>
      </c>
      <c r="Z1" s="3" t="s">
        <v>342</v>
      </c>
      <c r="AA1" s="89" t="s">
        <v>346</v>
      </c>
      <c r="AB1" s="4"/>
      <c r="AC1" s="4"/>
      <c r="AD1" s="4"/>
    </row>
    <row r="2">
      <c r="A2" s="5" t="s">
        <v>22</v>
      </c>
      <c r="B2" s="90" t="s">
        <v>1018</v>
      </c>
      <c r="C2" s="90" t="s">
        <v>1019</v>
      </c>
      <c r="D2" s="4"/>
      <c r="E2" s="90" t="s">
        <v>1020</v>
      </c>
      <c r="F2" s="90" t="s">
        <v>704</v>
      </c>
      <c r="G2" s="5" t="s">
        <v>354</v>
      </c>
      <c r="H2" s="90" t="s">
        <v>1021</v>
      </c>
      <c r="I2" s="90" t="s">
        <v>1022</v>
      </c>
      <c r="J2" s="10" t="b">
        <v>1</v>
      </c>
      <c r="K2" s="10" t="b">
        <v>1</v>
      </c>
      <c r="L2" s="10" t="b">
        <v>1</v>
      </c>
      <c r="M2" s="10" t="b">
        <v>1</v>
      </c>
      <c r="N2" s="10" t="b">
        <v>1</v>
      </c>
      <c r="O2" s="10" t="b">
        <v>1</v>
      </c>
      <c r="P2" s="12" t="b">
        <v>0</v>
      </c>
      <c r="Q2" s="10" t="b">
        <v>0</v>
      </c>
      <c r="R2" s="10" t="b">
        <v>0</v>
      </c>
      <c r="S2" s="10" t="b">
        <v>0</v>
      </c>
      <c r="T2" s="91">
        <v>46079.0</v>
      </c>
      <c r="U2" s="9" t="s">
        <v>784</v>
      </c>
      <c r="V2" s="56" t="s">
        <v>362</v>
      </c>
      <c r="W2" s="57" t="b">
        <v>0</v>
      </c>
      <c r="X2" s="56" t="s">
        <v>1023</v>
      </c>
      <c r="Y2" s="53"/>
      <c r="Z2" s="58"/>
      <c r="AA2" s="4"/>
      <c r="AB2" s="4"/>
      <c r="AC2" s="4"/>
      <c r="AD2" s="4"/>
    </row>
    <row r="3">
      <c r="A3" s="5" t="s">
        <v>22</v>
      </c>
      <c r="B3" s="90" t="s">
        <v>1024</v>
      </c>
      <c r="C3" s="90" t="s">
        <v>1025</v>
      </c>
      <c r="D3" s="4"/>
      <c r="E3" s="90" t="s">
        <v>1026</v>
      </c>
      <c r="F3" s="90" t="s">
        <v>465</v>
      </c>
      <c r="G3" s="5" t="s">
        <v>354</v>
      </c>
      <c r="H3" s="90" t="s">
        <v>1027</v>
      </c>
      <c r="I3" s="90" t="s">
        <v>1028</v>
      </c>
      <c r="J3" s="54" t="b">
        <v>1</v>
      </c>
      <c r="K3" s="10" t="b">
        <v>0</v>
      </c>
      <c r="L3" s="10" t="b">
        <v>0</v>
      </c>
      <c r="M3" s="10" t="b">
        <v>0</v>
      </c>
      <c r="N3" s="12" t="b">
        <v>0</v>
      </c>
      <c r="O3" s="12" t="b">
        <v>0</v>
      </c>
      <c r="P3" s="12" t="b">
        <v>0</v>
      </c>
      <c r="Q3" s="10" t="b">
        <v>0</v>
      </c>
      <c r="R3" s="10" t="b">
        <v>0</v>
      </c>
      <c r="S3" s="10" t="b">
        <v>0</v>
      </c>
      <c r="T3" s="91">
        <v>46041.0</v>
      </c>
      <c r="U3" s="9" t="s">
        <v>357</v>
      </c>
      <c r="V3" s="56" t="s">
        <v>358</v>
      </c>
      <c r="W3" s="57" t="b">
        <v>0</v>
      </c>
      <c r="X3" s="56" t="s">
        <v>1029</v>
      </c>
      <c r="Y3" s="53"/>
      <c r="Z3" s="58"/>
      <c r="AA3" s="4"/>
      <c r="AB3" s="4"/>
      <c r="AC3" s="4"/>
      <c r="AD3" s="4"/>
    </row>
    <row r="4">
      <c r="A4" s="5" t="s">
        <v>22</v>
      </c>
      <c r="B4" s="90" t="s">
        <v>1030</v>
      </c>
      <c r="C4" s="90" t="s">
        <v>1031</v>
      </c>
      <c r="D4" s="4"/>
      <c r="E4" s="90" t="s">
        <v>1032</v>
      </c>
      <c r="F4" s="90" t="s">
        <v>1033</v>
      </c>
      <c r="G4" s="5" t="s">
        <v>716</v>
      </c>
      <c r="H4" s="90" t="s">
        <v>1021</v>
      </c>
      <c r="I4" s="90" t="s">
        <v>1022</v>
      </c>
      <c r="J4" s="57" t="b">
        <v>1</v>
      </c>
      <c r="K4" s="67" t="b">
        <v>1</v>
      </c>
      <c r="L4" s="71" t="b">
        <v>1</v>
      </c>
      <c r="M4" s="71" t="b">
        <v>1</v>
      </c>
      <c r="N4" s="54" t="b">
        <v>1</v>
      </c>
      <c r="O4" s="71" t="b">
        <v>1</v>
      </c>
      <c r="P4" s="71" t="b">
        <v>1</v>
      </c>
      <c r="Q4" s="71" t="b">
        <v>1</v>
      </c>
      <c r="R4" s="71" t="b">
        <v>1</v>
      </c>
      <c r="S4" s="54" t="b">
        <v>1</v>
      </c>
      <c r="T4" s="92">
        <v>46112.0</v>
      </c>
      <c r="U4" s="9" t="s">
        <v>357</v>
      </c>
      <c r="V4" s="56" t="s">
        <v>358</v>
      </c>
      <c r="W4" s="54" t="b">
        <v>1</v>
      </c>
      <c r="X4" s="56" t="s">
        <v>1034</v>
      </c>
      <c r="Y4" s="6" t="s">
        <v>382</v>
      </c>
      <c r="Z4" s="56" t="s">
        <v>358</v>
      </c>
      <c r="AA4" s="9" t="s">
        <v>1035</v>
      </c>
      <c r="AB4" s="4"/>
      <c r="AC4" s="4"/>
      <c r="AD4" s="4"/>
    </row>
    <row r="5">
      <c r="A5" s="5" t="s">
        <v>22</v>
      </c>
      <c r="B5" s="90" t="s">
        <v>1036</v>
      </c>
      <c r="C5" s="90" t="s">
        <v>1037</v>
      </c>
      <c r="D5" s="4"/>
      <c r="E5" s="90" t="s">
        <v>1038</v>
      </c>
      <c r="F5" s="90" t="s">
        <v>465</v>
      </c>
      <c r="G5" s="5" t="s">
        <v>354</v>
      </c>
      <c r="H5" s="90" t="s">
        <v>1021</v>
      </c>
      <c r="I5" s="90" t="s">
        <v>1022</v>
      </c>
      <c r="J5" s="10" t="b">
        <v>1</v>
      </c>
      <c r="K5" s="10" t="b">
        <v>1</v>
      </c>
      <c r="L5" s="10" t="b">
        <v>1</v>
      </c>
      <c r="M5" s="10" t="b">
        <v>1</v>
      </c>
      <c r="N5" s="10" t="b">
        <v>1</v>
      </c>
      <c r="O5" s="54" t="b">
        <v>1</v>
      </c>
      <c r="P5" s="12" t="b">
        <v>0</v>
      </c>
      <c r="Q5" s="10" t="b">
        <v>0</v>
      </c>
      <c r="R5" s="10" t="b">
        <v>0</v>
      </c>
      <c r="S5" s="10" t="b">
        <v>0</v>
      </c>
      <c r="T5" s="91">
        <v>46058.0</v>
      </c>
      <c r="U5" s="9" t="s">
        <v>424</v>
      </c>
      <c r="V5" s="56" t="s">
        <v>358</v>
      </c>
      <c r="W5" s="57" t="b">
        <v>0</v>
      </c>
      <c r="X5" s="56" t="s">
        <v>1039</v>
      </c>
      <c r="Y5" s="53"/>
      <c r="Z5" s="58"/>
      <c r="AA5" s="4"/>
      <c r="AB5" s="4"/>
      <c r="AC5" s="4"/>
      <c r="AD5" s="4"/>
    </row>
    <row r="6">
      <c r="A6" s="5" t="s">
        <v>22</v>
      </c>
      <c r="B6" s="90" t="s">
        <v>1040</v>
      </c>
      <c r="C6" s="90" t="s">
        <v>1041</v>
      </c>
      <c r="D6" s="4"/>
      <c r="E6" s="90" t="s">
        <v>1042</v>
      </c>
      <c r="F6" s="90" t="s">
        <v>465</v>
      </c>
      <c r="G6" s="5" t="s">
        <v>354</v>
      </c>
      <c r="H6" s="90" t="s">
        <v>1021</v>
      </c>
      <c r="I6" s="90" t="s">
        <v>1043</v>
      </c>
      <c r="J6" s="10" t="b">
        <v>1</v>
      </c>
      <c r="K6" s="10" t="b">
        <v>1</v>
      </c>
      <c r="L6" s="10" t="b">
        <v>1</v>
      </c>
      <c r="M6" s="10" t="b">
        <v>1</v>
      </c>
      <c r="N6" s="57" t="b">
        <v>1</v>
      </c>
      <c r="O6" s="67" t="b">
        <v>1</v>
      </c>
      <c r="P6" s="67" t="b">
        <v>1</v>
      </c>
      <c r="Q6" s="54" t="b">
        <v>1</v>
      </c>
      <c r="R6" s="10" t="b">
        <v>0</v>
      </c>
      <c r="S6" s="10" t="b">
        <v>0</v>
      </c>
      <c r="T6" s="91">
        <v>46063.0</v>
      </c>
      <c r="U6" s="9" t="s">
        <v>357</v>
      </c>
      <c r="V6" s="56" t="s">
        <v>358</v>
      </c>
      <c r="W6" s="54" t="b">
        <v>1</v>
      </c>
      <c r="X6" s="56" t="s">
        <v>1044</v>
      </c>
      <c r="Y6" s="6" t="s">
        <v>684</v>
      </c>
      <c r="Z6" s="56" t="s">
        <v>358</v>
      </c>
      <c r="AA6" s="9" t="s">
        <v>1045</v>
      </c>
      <c r="AB6" s="4"/>
      <c r="AC6" s="4"/>
      <c r="AD6" s="4"/>
    </row>
    <row r="7">
      <c r="A7" s="5" t="s">
        <v>22</v>
      </c>
      <c r="B7" s="90" t="s">
        <v>1046</v>
      </c>
      <c r="C7" s="90" t="s">
        <v>1047</v>
      </c>
      <c r="D7" s="4"/>
      <c r="E7" s="90" t="s">
        <v>1048</v>
      </c>
      <c r="F7" s="90" t="s">
        <v>1049</v>
      </c>
      <c r="G7" s="5" t="s">
        <v>716</v>
      </c>
      <c r="H7" s="90" t="s">
        <v>1021</v>
      </c>
      <c r="I7" s="90" t="s">
        <v>1043</v>
      </c>
      <c r="J7" s="10" t="b">
        <v>1</v>
      </c>
      <c r="K7" s="10" t="b">
        <v>1</v>
      </c>
      <c r="L7" s="54" t="b">
        <v>1</v>
      </c>
      <c r="M7" s="10" t="b">
        <v>0</v>
      </c>
      <c r="N7" s="12" t="b">
        <v>0</v>
      </c>
      <c r="O7" s="12" t="b">
        <v>0</v>
      </c>
      <c r="P7" s="12" t="b">
        <v>0</v>
      </c>
      <c r="Q7" s="10" t="b">
        <v>0</v>
      </c>
      <c r="R7" s="10" t="b">
        <v>0</v>
      </c>
      <c r="S7" s="10" t="b">
        <v>0</v>
      </c>
      <c r="T7" s="91">
        <v>46042.0</v>
      </c>
      <c r="U7" s="9" t="s">
        <v>357</v>
      </c>
      <c r="V7" s="56" t="s">
        <v>358</v>
      </c>
      <c r="W7" s="57" t="b">
        <v>0</v>
      </c>
      <c r="X7" s="56" t="s">
        <v>1050</v>
      </c>
      <c r="Y7" s="53"/>
      <c r="Z7" s="58"/>
      <c r="AA7" s="4"/>
      <c r="AB7" s="4"/>
      <c r="AC7" s="4"/>
      <c r="AD7" s="4"/>
    </row>
    <row r="8">
      <c r="A8" s="5" t="s">
        <v>22</v>
      </c>
      <c r="B8" s="90" t="s">
        <v>1051</v>
      </c>
      <c r="C8" s="90" t="s">
        <v>1052</v>
      </c>
      <c r="D8" s="4"/>
      <c r="E8" s="90" t="s">
        <v>1053</v>
      </c>
      <c r="F8" s="90" t="s">
        <v>409</v>
      </c>
      <c r="G8" s="5" t="s">
        <v>354</v>
      </c>
      <c r="H8" s="90" t="s">
        <v>1054</v>
      </c>
      <c r="I8" s="90" t="s">
        <v>1028</v>
      </c>
      <c r="J8" s="10" t="b">
        <v>1</v>
      </c>
      <c r="K8" s="10" t="b">
        <v>1</v>
      </c>
      <c r="L8" s="10" t="b">
        <v>1</v>
      </c>
      <c r="M8" s="10" t="b">
        <v>1</v>
      </c>
      <c r="N8" s="10" t="b">
        <v>1</v>
      </c>
      <c r="O8" s="12" t="b">
        <v>0</v>
      </c>
      <c r="P8" s="12" t="b">
        <v>0</v>
      </c>
      <c r="Q8" s="10" t="b">
        <v>0</v>
      </c>
      <c r="R8" s="10" t="b">
        <v>0</v>
      </c>
      <c r="S8" s="10" t="b">
        <v>0</v>
      </c>
      <c r="T8" s="91">
        <v>46058.0</v>
      </c>
      <c r="U8" s="9" t="s">
        <v>1055</v>
      </c>
      <c r="V8" s="56" t="s">
        <v>362</v>
      </c>
      <c r="W8" s="57" t="b">
        <v>0</v>
      </c>
      <c r="X8" s="56" t="s">
        <v>1056</v>
      </c>
      <c r="Y8" s="53"/>
      <c r="Z8" s="58"/>
      <c r="AA8" s="4"/>
      <c r="AB8" s="4"/>
      <c r="AC8" s="4"/>
      <c r="AD8" s="4"/>
    </row>
    <row r="9">
      <c r="A9" s="5" t="s">
        <v>22</v>
      </c>
      <c r="B9" s="90" t="s">
        <v>1057</v>
      </c>
      <c r="C9" s="90" t="s">
        <v>1058</v>
      </c>
      <c r="D9" s="4"/>
      <c r="E9" s="90" t="s">
        <v>1059</v>
      </c>
      <c r="F9" s="90" t="s">
        <v>465</v>
      </c>
      <c r="G9" s="5" t="s">
        <v>354</v>
      </c>
      <c r="H9" s="90" t="s">
        <v>1054</v>
      </c>
      <c r="I9" s="90" t="s">
        <v>1043</v>
      </c>
      <c r="J9" s="54" t="b">
        <v>1</v>
      </c>
      <c r="K9" s="10" t="b">
        <v>0</v>
      </c>
      <c r="L9" s="10" t="b">
        <v>0</v>
      </c>
      <c r="M9" s="10" t="b">
        <v>0</v>
      </c>
      <c r="N9" s="12" t="b">
        <v>0</v>
      </c>
      <c r="O9" s="12" t="b">
        <v>0</v>
      </c>
      <c r="P9" s="12" t="b">
        <v>0</v>
      </c>
      <c r="Q9" s="10" t="b">
        <v>0</v>
      </c>
      <c r="R9" s="10" t="b">
        <v>0</v>
      </c>
      <c r="S9" s="10" t="b">
        <v>0</v>
      </c>
      <c r="T9" s="91">
        <v>46041.0</v>
      </c>
      <c r="U9" s="9" t="s">
        <v>357</v>
      </c>
      <c r="V9" s="56" t="s">
        <v>358</v>
      </c>
      <c r="W9" s="57" t="b">
        <v>0</v>
      </c>
      <c r="X9" s="56" t="s">
        <v>1060</v>
      </c>
      <c r="Y9" s="53"/>
      <c r="Z9" s="58"/>
      <c r="AA9" s="4"/>
      <c r="AB9" s="4"/>
      <c r="AC9" s="4"/>
      <c r="AD9" s="4"/>
    </row>
    <row r="10">
      <c r="A10" s="5" t="s">
        <v>22</v>
      </c>
      <c r="B10" s="93" t="s">
        <v>1061</v>
      </c>
      <c r="C10" s="93" t="s">
        <v>1062</v>
      </c>
      <c r="D10" s="6" t="s">
        <v>351</v>
      </c>
      <c r="E10" s="93" t="s">
        <v>1063</v>
      </c>
      <c r="F10" s="93" t="s">
        <v>1064</v>
      </c>
      <c r="G10" s="12" t="s">
        <v>354</v>
      </c>
      <c r="H10" s="93" t="s">
        <v>475</v>
      </c>
      <c r="I10" s="93" t="s">
        <v>380</v>
      </c>
      <c r="J10" s="10" t="b">
        <v>1</v>
      </c>
      <c r="K10" s="10" t="b">
        <v>1</v>
      </c>
      <c r="L10" s="10" t="b">
        <v>1</v>
      </c>
      <c r="M10" s="10" t="b">
        <v>1</v>
      </c>
      <c r="N10" s="10" t="b">
        <v>1</v>
      </c>
      <c r="O10" s="94" t="b">
        <v>1</v>
      </c>
      <c r="P10" s="10" t="b">
        <v>0</v>
      </c>
      <c r="Q10" s="10" t="b">
        <v>0</v>
      </c>
      <c r="R10" s="10" t="b">
        <v>0</v>
      </c>
      <c r="S10" s="10" t="b">
        <v>0</v>
      </c>
      <c r="T10" s="91">
        <v>46079.0</v>
      </c>
      <c r="U10" s="9" t="s">
        <v>357</v>
      </c>
      <c r="V10" s="56" t="s">
        <v>358</v>
      </c>
      <c r="W10" s="57" t="b">
        <v>0</v>
      </c>
      <c r="X10" s="56" t="s">
        <v>1065</v>
      </c>
      <c r="Y10" s="53"/>
      <c r="Z10" s="58"/>
      <c r="AA10" s="4"/>
      <c r="AB10" s="4"/>
      <c r="AC10" s="4"/>
      <c r="AD10" s="4"/>
    </row>
    <row r="11">
      <c r="A11" s="5" t="s">
        <v>22</v>
      </c>
      <c r="B11" s="90" t="s">
        <v>1066</v>
      </c>
      <c r="C11" s="90" t="s">
        <v>1067</v>
      </c>
      <c r="D11" s="53" t="s">
        <v>365</v>
      </c>
      <c r="E11" s="90" t="s">
        <v>1068</v>
      </c>
      <c r="F11" s="90" t="s">
        <v>1069</v>
      </c>
      <c r="G11" s="5" t="s">
        <v>354</v>
      </c>
      <c r="H11" s="90" t="s">
        <v>355</v>
      </c>
      <c r="I11" s="90" t="s">
        <v>356</v>
      </c>
      <c r="J11" s="10" t="b">
        <v>1</v>
      </c>
      <c r="K11" s="10" t="b">
        <v>1</v>
      </c>
      <c r="L11" s="10" t="b">
        <v>1</v>
      </c>
      <c r="M11" s="54" t="b">
        <v>1</v>
      </c>
      <c r="N11" s="12" t="b">
        <v>0</v>
      </c>
      <c r="O11" s="12" t="b">
        <v>0</v>
      </c>
      <c r="P11" s="12" t="b">
        <v>0</v>
      </c>
      <c r="Q11" s="10" t="b">
        <v>0</v>
      </c>
      <c r="R11" s="10" t="b">
        <v>0</v>
      </c>
      <c r="S11" s="10" t="b">
        <v>0</v>
      </c>
      <c r="T11" s="91">
        <v>46049.0</v>
      </c>
      <c r="U11" s="9" t="s">
        <v>357</v>
      </c>
      <c r="V11" s="56" t="s">
        <v>358</v>
      </c>
      <c r="W11" s="57" t="b">
        <v>0</v>
      </c>
      <c r="X11" s="56" t="s">
        <v>1070</v>
      </c>
      <c r="Y11" s="53"/>
      <c r="Z11" s="58"/>
      <c r="AA11" s="4"/>
      <c r="AB11" s="4"/>
      <c r="AC11" s="4"/>
      <c r="AD11" s="4"/>
    </row>
    <row r="12">
      <c r="A12" s="5" t="s">
        <v>22</v>
      </c>
      <c r="B12" s="90" t="s">
        <v>1071</v>
      </c>
      <c r="C12" s="90" t="s">
        <v>1072</v>
      </c>
      <c r="D12" s="53" t="s">
        <v>365</v>
      </c>
      <c r="E12" s="90" t="s">
        <v>1073</v>
      </c>
      <c r="F12" s="90" t="s">
        <v>1074</v>
      </c>
      <c r="G12" s="5" t="s">
        <v>354</v>
      </c>
      <c r="H12" s="90" t="s">
        <v>374</v>
      </c>
      <c r="I12" s="90" t="s">
        <v>356</v>
      </c>
      <c r="J12" s="10" t="b">
        <v>1</v>
      </c>
      <c r="K12" s="10" t="b">
        <v>0</v>
      </c>
      <c r="L12" s="10" t="b">
        <v>0</v>
      </c>
      <c r="M12" s="10" t="b">
        <v>0</v>
      </c>
      <c r="N12" s="12" t="b">
        <v>0</v>
      </c>
      <c r="O12" s="12" t="b">
        <v>0</v>
      </c>
      <c r="P12" s="12" t="b">
        <v>0</v>
      </c>
      <c r="Q12" s="10" t="b">
        <v>0</v>
      </c>
      <c r="R12" s="10" t="b">
        <v>0</v>
      </c>
      <c r="S12" s="10" t="b">
        <v>0</v>
      </c>
      <c r="T12" s="91">
        <v>46040.0</v>
      </c>
      <c r="U12" s="9" t="s">
        <v>543</v>
      </c>
      <c r="V12" s="56" t="s">
        <v>358</v>
      </c>
      <c r="W12" s="57" t="b">
        <v>0</v>
      </c>
      <c r="X12" s="56" t="s">
        <v>1075</v>
      </c>
      <c r="Y12" s="53"/>
      <c r="Z12" s="58"/>
      <c r="AA12" s="4"/>
      <c r="AB12" s="4"/>
      <c r="AC12" s="4"/>
      <c r="AD12" s="4"/>
    </row>
    <row r="13">
      <c r="A13" s="5" t="s">
        <v>22</v>
      </c>
      <c r="B13" s="90" t="s">
        <v>1076</v>
      </c>
      <c r="C13" s="90" t="s">
        <v>1077</v>
      </c>
      <c r="D13" s="53" t="s">
        <v>351</v>
      </c>
      <c r="E13" s="90" t="s">
        <v>1078</v>
      </c>
      <c r="F13" s="90" t="s">
        <v>1079</v>
      </c>
      <c r="G13" s="5" t="s">
        <v>354</v>
      </c>
      <c r="H13" s="90" t="s">
        <v>400</v>
      </c>
      <c r="I13" s="90" t="s">
        <v>380</v>
      </c>
      <c r="J13" s="54" t="b">
        <v>1</v>
      </c>
      <c r="K13" s="10" t="b">
        <v>0</v>
      </c>
      <c r="L13" s="10" t="b">
        <v>0</v>
      </c>
      <c r="M13" s="10" t="b">
        <v>0</v>
      </c>
      <c r="N13" s="12" t="b">
        <v>0</v>
      </c>
      <c r="O13" s="12" t="b">
        <v>0</v>
      </c>
      <c r="P13" s="12" t="b">
        <v>0</v>
      </c>
      <c r="Q13" s="10" t="b">
        <v>0</v>
      </c>
      <c r="R13" s="10" t="b">
        <v>0</v>
      </c>
      <c r="S13" s="10" t="b">
        <v>0</v>
      </c>
      <c r="T13" s="91">
        <v>46040.0</v>
      </c>
      <c r="U13" s="9" t="s">
        <v>357</v>
      </c>
      <c r="V13" s="56" t="s">
        <v>358</v>
      </c>
      <c r="W13" s="57" t="b">
        <v>0</v>
      </c>
      <c r="X13" s="56" t="s">
        <v>1080</v>
      </c>
      <c r="Y13" s="53"/>
      <c r="Z13" s="58"/>
      <c r="AA13" s="4"/>
      <c r="AB13" s="4"/>
      <c r="AC13" s="4"/>
      <c r="AD13" s="4"/>
    </row>
    <row r="14">
      <c r="A14" s="5" t="s">
        <v>22</v>
      </c>
      <c r="B14" s="90" t="s">
        <v>1081</v>
      </c>
      <c r="C14" s="90" t="s">
        <v>1082</v>
      </c>
      <c r="D14" s="53" t="s">
        <v>365</v>
      </c>
      <c r="E14" s="90" t="s">
        <v>1083</v>
      </c>
      <c r="F14" s="90" t="s">
        <v>1084</v>
      </c>
      <c r="G14" s="5" t="s">
        <v>716</v>
      </c>
      <c r="H14" s="90" t="s">
        <v>355</v>
      </c>
      <c r="I14" s="90" t="s">
        <v>356</v>
      </c>
      <c r="J14" s="57" t="b">
        <v>1</v>
      </c>
      <c r="K14" s="57" t="b">
        <v>1</v>
      </c>
      <c r="L14" s="57" t="b">
        <v>1</v>
      </c>
      <c r="M14" s="67" t="b">
        <v>1</v>
      </c>
      <c r="N14" s="67" t="b">
        <v>1</v>
      </c>
      <c r="O14" s="67" t="b">
        <v>1</v>
      </c>
      <c r="P14" s="54" t="b">
        <v>1</v>
      </c>
      <c r="Q14" s="10" t="b">
        <v>0</v>
      </c>
      <c r="R14" s="10" t="b">
        <v>0</v>
      </c>
      <c r="S14" s="10" t="b">
        <v>0</v>
      </c>
      <c r="T14" s="92">
        <v>46092.0</v>
      </c>
      <c r="U14" s="9" t="s">
        <v>357</v>
      </c>
      <c r="V14" s="56" t="s">
        <v>358</v>
      </c>
      <c r="W14" s="57" t="b">
        <v>1</v>
      </c>
      <c r="X14" s="56" t="s">
        <v>1085</v>
      </c>
      <c r="Y14" s="6" t="s">
        <v>357</v>
      </c>
      <c r="Z14" s="56" t="s">
        <v>358</v>
      </c>
      <c r="AA14" s="9" t="s">
        <v>1086</v>
      </c>
      <c r="AB14" s="4"/>
      <c r="AC14" s="4"/>
      <c r="AD14" s="4"/>
    </row>
    <row r="15">
      <c r="A15" s="5" t="s">
        <v>22</v>
      </c>
      <c r="B15" s="90" t="s">
        <v>1087</v>
      </c>
      <c r="C15" s="90" t="s">
        <v>1088</v>
      </c>
      <c r="D15" s="53" t="s">
        <v>351</v>
      </c>
      <c r="E15" s="90" t="s">
        <v>1089</v>
      </c>
      <c r="F15" s="90" t="s">
        <v>1064</v>
      </c>
      <c r="G15" s="5" t="s">
        <v>354</v>
      </c>
      <c r="H15" s="90" t="s">
        <v>374</v>
      </c>
      <c r="I15" s="90" t="s">
        <v>380</v>
      </c>
      <c r="J15" s="54" t="b">
        <v>1</v>
      </c>
      <c r="K15" s="10" t="b">
        <v>0</v>
      </c>
      <c r="L15" s="10" t="b">
        <v>0</v>
      </c>
      <c r="M15" s="10" t="b">
        <v>0</v>
      </c>
      <c r="N15" s="12" t="b">
        <v>0</v>
      </c>
      <c r="O15" s="12" t="b">
        <v>0</v>
      </c>
      <c r="P15" s="12" t="b">
        <v>0</v>
      </c>
      <c r="Q15" s="10" t="b">
        <v>0</v>
      </c>
      <c r="R15" s="10" t="b">
        <v>0</v>
      </c>
      <c r="S15" s="10" t="b">
        <v>0</v>
      </c>
      <c r="T15" s="91">
        <v>46040.0</v>
      </c>
      <c r="U15" s="9" t="s">
        <v>357</v>
      </c>
      <c r="V15" s="56" t="s">
        <v>358</v>
      </c>
      <c r="W15" s="57" t="b">
        <v>0</v>
      </c>
      <c r="X15" s="56" t="s">
        <v>1090</v>
      </c>
      <c r="Y15" s="53"/>
      <c r="Z15" s="58"/>
      <c r="AA15" s="4"/>
      <c r="AB15" s="4"/>
      <c r="AC15" s="4"/>
      <c r="AD15" s="4"/>
    </row>
    <row r="16">
      <c r="A16" s="5" t="s">
        <v>22</v>
      </c>
      <c r="B16" s="90" t="s">
        <v>1091</v>
      </c>
      <c r="C16" s="90" t="s">
        <v>1092</v>
      </c>
      <c r="D16" s="53" t="s">
        <v>365</v>
      </c>
      <c r="E16" s="90" t="s">
        <v>1093</v>
      </c>
      <c r="F16" s="90" t="s">
        <v>465</v>
      </c>
      <c r="G16" s="5" t="s">
        <v>354</v>
      </c>
      <c r="H16" s="90" t="s">
        <v>368</v>
      </c>
      <c r="I16" s="90" t="s">
        <v>380</v>
      </c>
      <c r="J16" s="10" t="b">
        <v>1</v>
      </c>
      <c r="K16" s="10" t="b">
        <v>1</v>
      </c>
      <c r="L16" s="10" t="b">
        <v>1</v>
      </c>
      <c r="M16" s="10" t="b">
        <v>1</v>
      </c>
      <c r="N16" s="12" t="b">
        <v>0</v>
      </c>
      <c r="O16" s="12" t="b">
        <v>0</v>
      </c>
      <c r="P16" s="12" t="b">
        <v>0</v>
      </c>
      <c r="Q16" s="10" t="b">
        <v>0</v>
      </c>
      <c r="R16" s="10" t="b">
        <v>0</v>
      </c>
      <c r="S16" s="10" t="b">
        <v>0</v>
      </c>
      <c r="T16" s="91">
        <v>46079.0</v>
      </c>
      <c r="U16" s="9" t="s">
        <v>361</v>
      </c>
      <c r="V16" s="56" t="s">
        <v>362</v>
      </c>
      <c r="W16" s="57" t="b">
        <v>0</v>
      </c>
      <c r="X16" s="56" t="s">
        <v>1094</v>
      </c>
      <c r="Y16" s="53"/>
      <c r="Z16" s="58"/>
      <c r="AA16" s="4"/>
      <c r="AB16" s="4"/>
      <c r="AC16" s="4"/>
      <c r="AD16" s="4"/>
    </row>
    <row r="17">
      <c r="A17" s="5" t="s">
        <v>22</v>
      </c>
      <c r="B17" s="90" t="s">
        <v>1095</v>
      </c>
      <c r="C17" s="90" t="s">
        <v>1096</v>
      </c>
      <c r="D17" s="53" t="s">
        <v>365</v>
      </c>
      <c r="E17" s="90" t="s">
        <v>1097</v>
      </c>
      <c r="F17" s="90" t="s">
        <v>1098</v>
      </c>
      <c r="G17" s="5" t="s">
        <v>354</v>
      </c>
      <c r="H17" s="90" t="s">
        <v>368</v>
      </c>
      <c r="I17" s="90" t="s">
        <v>380</v>
      </c>
      <c r="J17" s="10" t="b">
        <v>1</v>
      </c>
      <c r="K17" s="10" t="b">
        <v>1</v>
      </c>
      <c r="L17" s="10" t="b">
        <v>1</v>
      </c>
      <c r="M17" s="10" t="b">
        <v>1</v>
      </c>
      <c r="N17" s="10" t="b">
        <v>1</v>
      </c>
      <c r="O17" s="10" t="b">
        <v>1</v>
      </c>
      <c r="P17" s="12" t="b">
        <v>0</v>
      </c>
      <c r="Q17" s="10" t="b">
        <v>0</v>
      </c>
      <c r="R17" s="10" t="b">
        <v>0</v>
      </c>
      <c r="S17" s="10" t="b">
        <v>0</v>
      </c>
      <c r="T17" s="91">
        <v>46079.0</v>
      </c>
      <c r="U17" s="9" t="s">
        <v>361</v>
      </c>
      <c r="V17" s="56" t="s">
        <v>362</v>
      </c>
      <c r="W17" s="57" t="b">
        <v>0</v>
      </c>
      <c r="X17" s="56" t="s">
        <v>1099</v>
      </c>
      <c r="Y17" s="53"/>
      <c r="Z17" s="58"/>
      <c r="AA17" s="4"/>
      <c r="AB17" s="4"/>
      <c r="AC17" s="4"/>
      <c r="AD17" s="4"/>
    </row>
    <row r="18">
      <c r="A18" s="5" t="s">
        <v>22</v>
      </c>
      <c r="B18" s="90" t="s">
        <v>1100</v>
      </c>
      <c r="C18" s="90" t="s">
        <v>1101</v>
      </c>
      <c r="D18" s="53" t="s">
        <v>351</v>
      </c>
      <c r="E18" s="90" t="s">
        <v>1102</v>
      </c>
      <c r="F18" s="90" t="s">
        <v>465</v>
      </c>
      <c r="G18" s="5" t="s">
        <v>354</v>
      </c>
      <c r="H18" s="90" t="s">
        <v>374</v>
      </c>
      <c r="I18" s="90" t="s">
        <v>380</v>
      </c>
      <c r="J18" s="10" t="b">
        <v>1</v>
      </c>
      <c r="K18" s="10" t="b">
        <v>1</v>
      </c>
      <c r="L18" s="10" t="b">
        <v>1</v>
      </c>
      <c r="M18" s="54" t="b">
        <v>1</v>
      </c>
      <c r="N18" s="12" t="b">
        <v>0</v>
      </c>
      <c r="O18" s="12" t="b">
        <v>0</v>
      </c>
      <c r="P18" s="12" t="b">
        <v>0</v>
      </c>
      <c r="Q18" s="10" t="b">
        <v>0</v>
      </c>
      <c r="R18" s="10" t="b">
        <v>0</v>
      </c>
      <c r="S18" s="10" t="b">
        <v>0</v>
      </c>
      <c r="T18" s="91">
        <v>46049.0</v>
      </c>
      <c r="U18" s="9" t="s">
        <v>357</v>
      </c>
      <c r="V18" s="56" t="s">
        <v>358</v>
      </c>
      <c r="W18" s="57" t="b">
        <v>0</v>
      </c>
      <c r="X18" s="56" t="s">
        <v>1103</v>
      </c>
      <c r="Y18" s="53"/>
      <c r="Z18" s="58"/>
      <c r="AA18" s="4"/>
      <c r="AB18" s="4"/>
      <c r="AC18" s="4"/>
      <c r="AD18" s="4"/>
    </row>
    <row r="19">
      <c r="A19" s="5" t="s">
        <v>22</v>
      </c>
      <c r="B19" s="90" t="s">
        <v>1104</v>
      </c>
      <c r="C19" s="90" t="s">
        <v>1105</v>
      </c>
      <c r="D19" s="53" t="s">
        <v>351</v>
      </c>
      <c r="E19" s="90" t="s">
        <v>1106</v>
      </c>
      <c r="F19" s="90" t="s">
        <v>654</v>
      </c>
      <c r="G19" s="5" t="s">
        <v>354</v>
      </c>
      <c r="H19" s="90" t="s">
        <v>355</v>
      </c>
      <c r="I19" s="90" t="s">
        <v>356</v>
      </c>
      <c r="J19" s="57" t="b">
        <v>1</v>
      </c>
      <c r="K19" s="67" t="b">
        <v>1</v>
      </c>
      <c r="L19" s="67" t="b">
        <v>1</v>
      </c>
      <c r="M19" s="67" t="b">
        <v>1</v>
      </c>
      <c r="N19" s="54" t="b">
        <v>1</v>
      </c>
      <c r="O19" s="12" t="b">
        <v>0</v>
      </c>
      <c r="P19" s="12" t="b">
        <v>0</v>
      </c>
      <c r="Q19" s="10" t="b">
        <v>0</v>
      </c>
      <c r="R19" s="10" t="b">
        <v>0</v>
      </c>
      <c r="S19" s="10" t="b">
        <v>0</v>
      </c>
      <c r="T19" s="91">
        <v>46060.0</v>
      </c>
      <c r="U19" s="9" t="s">
        <v>357</v>
      </c>
      <c r="V19" s="56" t="s">
        <v>358</v>
      </c>
      <c r="W19" s="54" t="b">
        <v>1</v>
      </c>
      <c r="X19" s="56" t="s">
        <v>1107</v>
      </c>
      <c r="Y19" s="6" t="s">
        <v>684</v>
      </c>
      <c r="Z19" s="56" t="s">
        <v>358</v>
      </c>
      <c r="AA19" s="9" t="s">
        <v>1108</v>
      </c>
      <c r="AB19" s="4"/>
      <c r="AC19" s="4"/>
      <c r="AD19" s="4"/>
    </row>
    <row r="20">
      <c r="A20" s="5" t="s">
        <v>22</v>
      </c>
      <c r="B20" s="90" t="s">
        <v>1109</v>
      </c>
      <c r="C20" s="90" t="s">
        <v>1110</v>
      </c>
      <c r="D20" s="53" t="s">
        <v>365</v>
      </c>
      <c r="E20" s="90" t="s">
        <v>1111</v>
      </c>
      <c r="F20" s="90" t="s">
        <v>1112</v>
      </c>
      <c r="G20" s="5" t="s">
        <v>354</v>
      </c>
      <c r="H20" s="90" t="s">
        <v>355</v>
      </c>
      <c r="I20" s="90" t="s">
        <v>356</v>
      </c>
      <c r="J20" s="54" t="b">
        <v>1</v>
      </c>
      <c r="K20" s="10" t="b">
        <v>0</v>
      </c>
      <c r="L20" s="10" t="b">
        <v>0</v>
      </c>
      <c r="M20" s="10" t="b">
        <v>0</v>
      </c>
      <c r="N20" s="12" t="b">
        <v>0</v>
      </c>
      <c r="O20" s="12" t="b">
        <v>0</v>
      </c>
      <c r="P20" s="12" t="b">
        <v>0</v>
      </c>
      <c r="Q20" s="10" t="b">
        <v>0</v>
      </c>
      <c r="R20" s="10" t="b">
        <v>0</v>
      </c>
      <c r="S20" s="10" t="b">
        <v>0</v>
      </c>
      <c r="T20" s="91">
        <v>46040.0</v>
      </c>
      <c r="U20" s="9" t="s">
        <v>357</v>
      </c>
      <c r="V20" s="56" t="s">
        <v>358</v>
      </c>
      <c r="W20" s="57" t="b">
        <v>0</v>
      </c>
      <c r="X20" s="56" t="s">
        <v>1113</v>
      </c>
      <c r="Y20" s="53"/>
      <c r="Z20" s="58"/>
      <c r="AA20" s="4"/>
      <c r="AB20" s="4"/>
      <c r="AC20" s="4"/>
      <c r="AD20" s="4"/>
    </row>
    <row r="21">
      <c r="A21" s="5" t="s">
        <v>22</v>
      </c>
      <c r="B21" s="90" t="s">
        <v>1114</v>
      </c>
      <c r="C21" s="90" t="s">
        <v>1115</v>
      </c>
      <c r="D21" s="53" t="s">
        <v>351</v>
      </c>
      <c r="E21" s="90" t="s">
        <v>1116</v>
      </c>
      <c r="F21" s="90" t="s">
        <v>1117</v>
      </c>
      <c r="G21" s="5" t="s">
        <v>354</v>
      </c>
      <c r="H21" s="90" t="s">
        <v>400</v>
      </c>
      <c r="I21" s="90" t="s">
        <v>356</v>
      </c>
      <c r="J21" s="57" t="b">
        <v>1</v>
      </c>
      <c r="K21" s="57" t="b">
        <v>1</v>
      </c>
      <c r="L21" s="57" t="b">
        <v>1</v>
      </c>
      <c r="M21" s="54" t="b">
        <v>1</v>
      </c>
      <c r="N21" s="12" t="b">
        <v>0</v>
      </c>
      <c r="O21" s="12" t="b">
        <v>0</v>
      </c>
      <c r="P21" s="12" t="b">
        <v>0</v>
      </c>
      <c r="Q21" s="10" t="b">
        <v>0</v>
      </c>
      <c r="R21" s="10" t="b">
        <v>0</v>
      </c>
      <c r="S21" s="10" t="b">
        <v>0</v>
      </c>
      <c r="T21" s="91">
        <v>46046.0</v>
      </c>
      <c r="U21" s="9" t="s">
        <v>357</v>
      </c>
      <c r="V21" s="56" t="s">
        <v>358</v>
      </c>
      <c r="W21" s="54" t="b">
        <v>1</v>
      </c>
      <c r="X21" s="56" t="s">
        <v>1118</v>
      </c>
      <c r="Y21" s="6" t="s">
        <v>382</v>
      </c>
      <c r="Z21" s="56" t="s">
        <v>358</v>
      </c>
      <c r="AA21" s="9" t="s">
        <v>1119</v>
      </c>
      <c r="AB21" s="4"/>
      <c r="AC21" s="4"/>
      <c r="AD21" s="4"/>
    </row>
    <row r="22">
      <c r="A22" s="5" t="s">
        <v>22</v>
      </c>
      <c r="B22" s="7" t="s">
        <v>1120</v>
      </c>
      <c r="C22" s="90" t="s">
        <v>1121</v>
      </c>
      <c r="D22" s="53" t="s">
        <v>365</v>
      </c>
      <c r="E22" s="90" t="s">
        <v>1122</v>
      </c>
      <c r="F22" s="90" t="s">
        <v>1123</v>
      </c>
      <c r="G22" s="5" t="s">
        <v>354</v>
      </c>
      <c r="H22" s="90" t="s">
        <v>368</v>
      </c>
      <c r="I22" s="90" t="s">
        <v>356</v>
      </c>
      <c r="J22" s="57" t="b">
        <v>1</v>
      </c>
      <c r="K22" s="67" t="b">
        <v>1</v>
      </c>
      <c r="L22" s="67" t="b">
        <v>1</v>
      </c>
      <c r="M22" s="67" t="b">
        <v>1</v>
      </c>
      <c r="N22" s="71" t="b">
        <v>1</v>
      </c>
      <c r="O22" s="67" t="b">
        <v>1</v>
      </c>
      <c r="P22" s="12" t="b">
        <v>0</v>
      </c>
      <c r="Q22" s="10" t="b">
        <v>0</v>
      </c>
      <c r="R22" s="10" t="b">
        <v>0</v>
      </c>
      <c r="S22" s="10" t="b">
        <v>0</v>
      </c>
      <c r="T22" s="92">
        <v>46112.0</v>
      </c>
      <c r="U22" s="9" t="s">
        <v>1124</v>
      </c>
      <c r="V22" s="56" t="s">
        <v>429</v>
      </c>
      <c r="W22" s="57" t="b">
        <v>1</v>
      </c>
      <c r="X22" s="56" t="s">
        <v>1125</v>
      </c>
      <c r="Y22" s="6" t="s">
        <v>834</v>
      </c>
      <c r="Z22" s="56" t="s">
        <v>429</v>
      </c>
      <c r="AA22" s="9" t="s">
        <v>1126</v>
      </c>
      <c r="AB22" s="4"/>
      <c r="AC22" s="4"/>
      <c r="AD22" s="4"/>
    </row>
    <row r="23">
      <c r="A23" s="5" t="s">
        <v>22</v>
      </c>
      <c r="B23" s="90" t="s">
        <v>1127</v>
      </c>
      <c r="C23" s="90" t="s">
        <v>1128</v>
      </c>
      <c r="D23" s="53" t="s">
        <v>365</v>
      </c>
      <c r="E23" s="90" t="s">
        <v>1129</v>
      </c>
      <c r="F23" s="90" t="s">
        <v>409</v>
      </c>
      <c r="G23" s="5" t="s">
        <v>354</v>
      </c>
      <c r="H23" s="90" t="s">
        <v>475</v>
      </c>
      <c r="I23" s="90" t="s">
        <v>356</v>
      </c>
      <c r="J23" s="10" t="b">
        <v>1</v>
      </c>
      <c r="K23" s="10" t="b">
        <v>1</v>
      </c>
      <c r="L23" s="54" t="b">
        <v>1</v>
      </c>
      <c r="M23" s="10" t="b">
        <v>0</v>
      </c>
      <c r="N23" s="12" t="b">
        <v>0</v>
      </c>
      <c r="O23" s="12" t="b">
        <v>0</v>
      </c>
      <c r="P23" s="12" t="b">
        <v>0</v>
      </c>
      <c r="Q23" s="10" t="b">
        <v>0</v>
      </c>
      <c r="R23" s="10" t="b">
        <v>0</v>
      </c>
      <c r="S23" s="10" t="b">
        <v>0</v>
      </c>
      <c r="T23" s="91">
        <v>46042.0</v>
      </c>
      <c r="U23" s="9" t="s">
        <v>357</v>
      </c>
      <c r="V23" s="56" t="s">
        <v>358</v>
      </c>
      <c r="W23" s="57" t="b">
        <v>0</v>
      </c>
      <c r="X23" s="56" t="s">
        <v>1130</v>
      </c>
      <c r="Y23" s="53"/>
      <c r="Z23" s="58"/>
      <c r="AA23" s="4"/>
      <c r="AB23" s="4"/>
      <c r="AC23" s="4"/>
      <c r="AD23" s="4"/>
    </row>
    <row r="24">
      <c r="A24" s="5" t="s">
        <v>22</v>
      </c>
      <c r="B24" s="90" t="s">
        <v>1131</v>
      </c>
      <c r="C24" s="90" t="s">
        <v>1132</v>
      </c>
      <c r="D24" s="53" t="s">
        <v>351</v>
      </c>
      <c r="E24" s="90" t="s">
        <v>1133</v>
      </c>
      <c r="F24" s="90" t="s">
        <v>1134</v>
      </c>
      <c r="G24" s="5" t="s">
        <v>354</v>
      </c>
      <c r="H24" s="90" t="s">
        <v>475</v>
      </c>
      <c r="I24" s="90" t="s">
        <v>356</v>
      </c>
      <c r="J24" s="54" t="b">
        <v>1</v>
      </c>
      <c r="K24" s="10" t="b">
        <v>0</v>
      </c>
      <c r="L24" s="10" t="b">
        <v>0</v>
      </c>
      <c r="M24" s="10" t="b">
        <v>0</v>
      </c>
      <c r="N24" s="12" t="b">
        <v>0</v>
      </c>
      <c r="O24" s="12" t="b">
        <v>0</v>
      </c>
      <c r="P24" s="12" t="b">
        <v>0</v>
      </c>
      <c r="Q24" s="10" t="b">
        <v>0</v>
      </c>
      <c r="R24" s="10" t="b">
        <v>0</v>
      </c>
      <c r="S24" s="10" t="b">
        <v>0</v>
      </c>
      <c r="T24" s="91">
        <v>46040.0</v>
      </c>
      <c r="U24" s="9" t="s">
        <v>357</v>
      </c>
      <c r="V24" s="56" t="s">
        <v>358</v>
      </c>
      <c r="W24" s="57" t="b">
        <v>0</v>
      </c>
      <c r="X24" s="56" t="s">
        <v>1135</v>
      </c>
      <c r="Y24" s="53"/>
      <c r="Z24" s="58"/>
      <c r="AA24" s="4"/>
      <c r="AB24" s="4"/>
      <c r="AC24" s="4"/>
      <c r="AD24" s="4"/>
    </row>
    <row r="25">
      <c r="A25" s="5" t="s">
        <v>22</v>
      </c>
      <c r="B25" s="90" t="s">
        <v>1136</v>
      </c>
      <c r="C25" s="90" t="s">
        <v>1137</v>
      </c>
      <c r="D25" s="53" t="s">
        <v>351</v>
      </c>
      <c r="E25" s="90" t="s">
        <v>1138</v>
      </c>
      <c r="F25" s="90" t="s">
        <v>409</v>
      </c>
      <c r="G25" s="5" t="s">
        <v>354</v>
      </c>
      <c r="H25" s="90" t="s">
        <v>355</v>
      </c>
      <c r="I25" s="90" t="s">
        <v>446</v>
      </c>
      <c r="J25" s="10" t="b">
        <v>1</v>
      </c>
      <c r="K25" s="10" t="b">
        <v>1</v>
      </c>
      <c r="L25" s="10" t="b">
        <v>1</v>
      </c>
      <c r="M25" s="54" t="b">
        <v>1</v>
      </c>
      <c r="N25" s="12" t="b">
        <v>0</v>
      </c>
      <c r="O25" s="12" t="b">
        <v>0</v>
      </c>
      <c r="P25" s="12" t="b">
        <v>0</v>
      </c>
      <c r="Q25" s="10" t="b">
        <v>0</v>
      </c>
      <c r="R25" s="10" t="b">
        <v>0</v>
      </c>
      <c r="S25" s="10" t="b">
        <v>0</v>
      </c>
      <c r="T25" s="91">
        <v>46049.0</v>
      </c>
      <c r="U25" s="9" t="s">
        <v>357</v>
      </c>
      <c r="V25" s="56" t="s">
        <v>358</v>
      </c>
      <c r="W25" s="57" t="b">
        <v>0</v>
      </c>
      <c r="X25" s="56" t="s">
        <v>1139</v>
      </c>
      <c r="Y25" s="53"/>
      <c r="Z25" s="58"/>
      <c r="AA25" s="4"/>
      <c r="AB25" s="4"/>
      <c r="AC25" s="4"/>
      <c r="AD25" s="4"/>
    </row>
    <row r="26">
      <c r="A26" s="5" t="s">
        <v>22</v>
      </c>
      <c r="B26" s="90" t="s">
        <v>1140</v>
      </c>
      <c r="C26" s="90" t="s">
        <v>1141</v>
      </c>
      <c r="D26" s="53" t="s">
        <v>365</v>
      </c>
      <c r="E26" s="90" t="s">
        <v>1142</v>
      </c>
      <c r="F26" s="90" t="s">
        <v>1143</v>
      </c>
      <c r="G26" s="5" t="s">
        <v>716</v>
      </c>
      <c r="H26" s="90" t="s">
        <v>355</v>
      </c>
      <c r="I26" s="90" t="s">
        <v>356</v>
      </c>
      <c r="J26" s="10" t="b">
        <v>1</v>
      </c>
      <c r="K26" s="70" t="b">
        <v>1</v>
      </c>
      <c r="L26" s="54" t="b">
        <v>1</v>
      </c>
      <c r="M26" s="10" t="b">
        <v>0</v>
      </c>
      <c r="N26" s="12" t="b">
        <v>0</v>
      </c>
      <c r="O26" s="12" t="b">
        <v>0</v>
      </c>
      <c r="P26" s="12" t="b">
        <v>0</v>
      </c>
      <c r="Q26" s="10" t="b">
        <v>0</v>
      </c>
      <c r="R26" s="10" t="b">
        <v>0</v>
      </c>
      <c r="S26" s="10" t="b">
        <v>0</v>
      </c>
      <c r="T26" s="91">
        <v>46043.0</v>
      </c>
      <c r="U26" s="9" t="s">
        <v>357</v>
      </c>
      <c r="V26" s="56" t="s">
        <v>358</v>
      </c>
      <c r="W26" s="57" t="b">
        <v>0</v>
      </c>
      <c r="X26" s="56" t="s">
        <v>1144</v>
      </c>
      <c r="Y26" s="6" t="s">
        <v>661</v>
      </c>
      <c r="Z26" s="56" t="s">
        <v>358</v>
      </c>
      <c r="AA26" s="9" t="s">
        <v>1145</v>
      </c>
      <c r="AB26" s="4"/>
      <c r="AC26" s="4"/>
      <c r="AD26" s="4"/>
    </row>
    <row r="27">
      <c r="A27" s="5" t="s">
        <v>22</v>
      </c>
      <c r="B27" s="90" t="s">
        <v>1146</v>
      </c>
      <c r="C27" s="90" t="s">
        <v>1147</v>
      </c>
      <c r="D27" s="4"/>
      <c r="E27" s="90" t="s">
        <v>1148</v>
      </c>
      <c r="F27" s="90" t="s">
        <v>1149</v>
      </c>
      <c r="G27" s="5" t="s">
        <v>354</v>
      </c>
      <c r="H27" s="90" t="s">
        <v>1054</v>
      </c>
      <c r="I27" s="90" t="s">
        <v>1028</v>
      </c>
      <c r="J27" s="10" t="b">
        <v>1</v>
      </c>
      <c r="K27" s="10" t="b">
        <v>1</v>
      </c>
      <c r="L27" s="10" t="b">
        <v>1</v>
      </c>
      <c r="M27" s="10" t="b">
        <v>1</v>
      </c>
      <c r="N27" s="54" t="b">
        <v>1</v>
      </c>
      <c r="O27" s="12" t="b">
        <v>0</v>
      </c>
      <c r="P27" s="12" t="b">
        <v>0</v>
      </c>
      <c r="Q27" s="10" t="b">
        <v>0</v>
      </c>
      <c r="R27" s="10" t="b">
        <v>0</v>
      </c>
      <c r="S27" s="10" t="b">
        <v>0</v>
      </c>
      <c r="T27" s="91">
        <v>46049.0</v>
      </c>
      <c r="U27" s="9" t="s">
        <v>357</v>
      </c>
      <c r="V27" s="56" t="s">
        <v>358</v>
      </c>
      <c r="W27" s="57" t="b">
        <v>0</v>
      </c>
      <c r="X27" s="56" t="s">
        <v>1150</v>
      </c>
      <c r="Y27" s="53"/>
      <c r="Z27" s="58"/>
      <c r="AA27" s="4"/>
      <c r="AB27" s="4"/>
      <c r="AC27" s="4"/>
      <c r="AD27" s="4"/>
    </row>
    <row r="28">
      <c r="A28" s="5" t="s">
        <v>22</v>
      </c>
      <c r="B28" s="90" t="s">
        <v>1151</v>
      </c>
      <c r="C28" s="90" t="s">
        <v>1152</v>
      </c>
      <c r="D28" s="4"/>
      <c r="E28" s="90" t="s">
        <v>1153</v>
      </c>
      <c r="F28" s="90" t="s">
        <v>1149</v>
      </c>
      <c r="G28" s="5" t="s">
        <v>354</v>
      </c>
      <c r="H28" s="90" t="s">
        <v>1154</v>
      </c>
      <c r="I28" s="90" t="s">
        <v>1043</v>
      </c>
      <c r="J28" s="57" t="b">
        <v>1</v>
      </c>
      <c r="K28" s="54" t="b">
        <v>1</v>
      </c>
      <c r="L28" s="10" t="b">
        <v>0</v>
      </c>
      <c r="M28" s="10" t="b">
        <v>0</v>
      </c>
      <c r="N28" s="12" t="b">
        <v>0</v>
      </c>
      <c r="O28" s="12" t="b">
        <v>0</v>
      </c>
      <c r="P28" s="12" t="b">
        <v>0</v>
      </c>
      <c r="Q28" s="10" t="b">
        <v>0</v>
      </c>
      <c r="R28" s="10" t="b">
        <v>0</v>
      </c>
      <c r="S28" s="10" t="b">
        <v>0</v>
      </c>
      <c r="T28" s="91">
        <v>46043.0</v>
      </c>
      <c r="U28" s="9" t="s">
        <v>357</v>
      </c>
      <c r="V28" s="56" t="s">
        <v>358</v>
      </c>
      <c r="W28" s="57" t="b">
        <v>0</v>
      </c>
      <c r="X28" s="56" t="s">
        <v>1155</v>
      </c>
      <c r="Y28" s="6" t="s">
        <v>357</v>
      </c>
      <c r="Z28" s="56" t="s">
        <v>358</v>
      </c>
      <c r="AA28" s="9" t="s">
        <v>359</v>
      </c>
      <c r="AB28" s="4"/>
      <c r="AC28" s="4"/>
      <c r="AD28" s="4"/>
    </row>
    <row r="29">
      <c r="A29" s="5" t="s">
        <v>22</v>
      </c>
      <c r="B29" s="90" t="s">
        <v>1156</v>
      </c>
      <c r="C29" s="90" t="s">
        <v>1157</v>
      </c>
      <c r="D29" s="4"/>
      <c r="E29" s="90" t="s">
        <v>1158</v>
      </c>
      <c r="F29" s="90" t="s">
        <v>1149</v>
      </c>
      <c r="G29" s="5" t="s">
        <v>354</v>
      </c>
      <c r="H29" s="90" t="s">
        <v>1021</v>
      </c>
      <c r="I29" s="90" t="s">
        <v>1043</v>
      </c>
      <c r="J29" s="10" t="b">
        <v>1</v>
      </c>
      <c r="K29" s="10" t="b">
        <v>1</v>
      </c>
      <c r="L29" s="10" t="b">
        <v>1</v>
      </c>
      <c r="M29" s="10" t="b">
        <v>1</v>
      </c>
      <c r="N29" s="10" t="b">
        <v>1</v>
      </c>
      <c r="O29" s="10" t="b">
        <v>1</v>
      </c>
      <c r="P29" s="12" t="b">
        <v>0</v>
      </c>
      <c r="Q29" s="10" t="b">
        <v>0</v>
      </c>
      <c r="R29" s="10" t="b">
        <v>0</v>
      </c>
      <c r="S29" s="10" t="b">
        <v>0</v>
      </c>
      <c r="T29" s="91">
        <v>46079.0</v>
      </c>
      <c r="U29" s="9" t="s">
        <v>361</v>
      </c>
      <c r="V29" s="56" t="s">
        <v>362</v>
      </c>
      <c r="W29" s="57" t="b">
        <v>0</v>
      </c>
      <c r="X29" s="56" t="s">
        <v>1159</v>
      </c>
      <c r="Y29" s="53"/>
      <c r="Z29" s="58"/>
      <c r="AA29" s="4"/>
      <c r="AB29" s="4"/>
      <c r="AC29" s="4"/>
      <c r="AD29" s="4"/>
    </row>
    <row r="30">
      <c r="A30" s="5" t="s">
        <v>22</v>
      </c>
      <c r="B30" s="90" t="s">
        <v>1160</v>
      </c>
      <c r="C30" s="90" t="s">
        <v>1161</v>
      </c>
      <c r="D30" s="4"/>
      <c r="E30" s="90" t="s">
        <v>1162</v>
      </c>
      <c r="F30" s="90" t="s">
        <v>1163</v>
      </c>
      <c r="G30" s="5" t="s">
        <v>354</v>
      </c>
      <c r="H30" s="90" t="s">
        <v>1021</v>
      </c>
      <c r="I30" s="90" t="s">
        <v>1043</v>
      </c>
      <c r="J30" s="57" t="b">
        <v>1</v>
      </c>
      <c r="K30" s="57" t="b">
        <v>1</v>
      </c>
      <c r="L30" s="57" t="b">
        <v>1</v>
      </c>
      <c r="M30" s="57" t="b">
        <v>1</v>
      </c>
      <c r="N30" s="67" t="b">
        <v>1</v>
      </c>
      <c r="O30" s="67" t="b">
        <v>1</v>
      </c>
      <c r="P30" s="67" t="b">
        <v>1</v>
      </c>
      <c r="Q30" s="67" t="b">
        <v>1</v>
      </c>
      <c r="R30" s="10" t="b">
        <v>0</v>
      </c>
      <c r="S30" s="10" t="b">
        <v>0</v>
      </c>
      <c r="T30" s="92">
        <v>46112.0</v>
      </c>
      <c r="U30" s="9" t="s">
        <v>1124</v>
      </c>
      <c r="V30" s="56" t="s">
        <v>429</v>
      </c>
      <c r="W30" s="57" t="b">
        <v>1</v>
      </c>
      <c r="X30" s="56" t="s">
        <v>1164</v>
      </c>
      <c r="Y30" s="6" t="s">
        <v>834</v>
      </c>
      <c r="Z30" s="56" t="s">
        <v>429</v>
      </c>
      <c r="AA30" s="9" t="s">
        <v>1165</v>
      </c>
      <c r="AB30" s="4"/>
      <c r="AC30" s="4"/>
      <c r="AD30" s="4"/>
    </row>
    <row r="31">
      <c r="A31" s="5" t="s">
        <v>22</v>
      </c>
      <c r="B31" s="90" t="s">
        <v>1166</v>
      </c>
      <c r="C31" s="90" t="s">
        <v>1167</v>
      </c>
      <c r="D31" s="4"/>
      <c r="E31" s="90" t="s">
        <v>1168</v>
      </c>
      <c r="F31" s="90" t="s">
        <v>1149</v>
      </c>
      <c r="G31" s="5" t="s">
        <v>354</v>
      </c>
      <c r="H31" s="90" t="s">
        <v>1054</v>
      </c>
      <c r="I31" s="90" t="s">
        <v>1022</v>
      </c>
      <c r="J31" s="57" t="b">
        <v>1</v>
      </c>
      <c r="K31" s="67" t="b">
        <v>1</v>
      </c>
      <c r="L31" s="54" t="b">
        <v>1</v>
      </c>
      <c r="M31" s="10" t="b">
        <v>0</v>
      </c>
      <c r="N31" s="12" t="b">
        <v>0</v>
      </c>
      <c r="O31" s="12" t="b">
        <v>0</v>
      </c>
      <c r="P31" s="12" t="b">
        <v>0</v>
      </c>
      <c r="Q31" s="10" t="b">
        <v>0</v>
      </c>
      <c r="R31" s="10" t="b">
        <v>0</v>
      </c>
      <c r="S31" s="10" t="b">
        <v>0</v>
      </c>
      <c r="T31" s="91">
        <v>46046.0</v>
      </c>
      <c r="U31" s="9" t="s">
        <v>357</v>
      </c>
      <c r="V31" s="56" t="s">
        <v>358</v>
      </c>
      <c r="W31" s="54" t="b">
        <v>1</v>
      </c>
      <c r="X31" s="56" t="s">
        <v>1169</v>
      </c>
      <c r="Y31" s="6" t="s">
        <v>661</v>
      </c>
      <c r="Z31" s="56" t="s">
        <v>358</v>
      </c>
      <c r="AA31" s="9" t="s">
        <v>1170</v>
      </c>
      <c r="AB31" s="4"/>
      <c r="AC31" s="4"/>
      <c r="AD31" s="4"/>
    </row>
    <row r="32">
      <c r="A32" s="5" t="s">
        <v>22</v>
      </c>
      <c r="B32" s="7" t="s">
        <v>1171</v>
      </c>
      <c r="C32" s="90" t="s">
        <v>1172</v>
      </c>
      <c r="D32" s="4"/>
      <c r="E32" s="90" t="s">
        <v>1173</v>
      </c>
      <c r="F32" s="90" t="s">
        <v>465</v>
      </c>
      <c r="G32" s="5" t="s">
        <v>354</v>
      </c>
      <c r="H32" s="90" t="s">
        <v>1054</v>
      </c>
      <c r="I32" s="90" t="s">
        <v>1028</v>
      </c>
      <c r="J32" s="10" t="b">
        <v>1</v>
      </c>
      <c r="K32" s="10" t="b">
        <v>1</v>
      </c>
      <c r="L32" s="57" t="b">
        <v>1</v>
      </c>
      <c r="M32" s="54" t="b">
        <v>1</v>
      </c>
      <c r="N32" s="12" t="b">
        <v>0</v>
      </c>
      <c r="O32" s="12" t="b">
        <v>0</v>
      </c>
      <c r="P32" s="12" t="b">
        <v>0</v>
      </c>
      <c r="Q32" s="10" t="b">
        <v>0</v>
      </c>
      <c r="R32" s="10" t="b">
        <v>0</v>
      </c>
      <c r="S32" s="10" t="b">
        <v>0</v>
      </c>
      <c r="T32" s="91">
        <v>46043.0</v>
      </c>
      <c r="U32" s="9" t="s">
        <v>357</v>
      </c>
      <c r="V32" s="56" t="s">
        <v>358</v>
      </c>
      <c r="W32" s="57" t="b">
        <v>0</v>
      </c>
      <c r="X32" s="56" t="s">
        <v>1174</v>
      </c>
      <c r="Y32" s="6" t="s">
        <v>661</v>
      </c>
      <c r="Z32" s="56" t="s">
        <v>358</v>
      </c>
      <c r="AA32" s="9" t="s">
        <v>1175</v>
      </c>
      <c r="AB32" s="4"/>
      <c r="AC32" s="4"/>
      <c r="AD32" s="4"/>
    </row>
    <row r="33">
      <c r="A33" s="5" t="s">
        <v>22</v>
      </c>
      <c r="B33" s="90" t="s">
        <v>1176</v>
      </c>
      <c r="C33" s="90" t="s">
        <v>1177</v>
      </c>
      <c r="D33" s="4"/>
      <c r="E33" s="90" t="s">
        <v>1178</v>
      </c>
      <c r="F33" s="90" t="s">
        <v>1179</v>
      </c>
      <c r="G33" s="5" t="s">
        <v>354</v>
      </c>
      <c r="H33" s="90" t="s">
        <v>1021</v>
      </c>
      <c r="I33" s="90" t="s">
        <v>1028</v>
      </c>
      <c r="J33" s="10" t="b">
        <v>1</v>
      </c>
      <c r="K33" s="10" t="b">
        <v>1</v>
      </c>
      <c r="L33" s="10" t="b">
        <v>1</v>
      </c>
      <c r="M33" s="54" t="b">
        <v>1</v>
      </c>
      <c r="N33" s="12" t="b">
        <v>0</v>
      </c>
      <c r="O33" s="12" t="b">
        <v>0</v>
      </c>
      <c r="P33" s="12" t="b">
        <v>0</v>
      </c>
      <c r="Q33" s="10" t="b">
        <v>0</v>
      </c>
      <c r="R33" s="10" t="b">
        <v>0</v>
      </c>
      <c r="S33" s="10" t="b">
        <v>0</v>
      </c>
      <c r="T33" s="91">
        <v>46049.0</v>
      </c>
      <c r="U33" s="9" t="s">
        <v>357</v>
      </c>
      <c r="V33" s="56" t="s">
        <v>358</v>
      </c>
      <c r="W33" s="57" t="b">
        <v>0</v>
      </c>
      <c r="X33" s="56" t="s">
        <v>1180</v>
      </c>
      <c r="Y33" s="53"/>
      <c r="Z33" s="58"/>
      <c r="AA33" s="4"/>
      <c r="AB33" s="4"/>
      <c r="AC33" s="4"/>
      <c r="AD33" s="4"/>
    </row>
    <row r="34">
      <c r="A34" s="5" t="s">
        <v>22</v>
      </c>
      <c r="B34" s="90" t="s">
        <v>1181</v>
      </c>
      <c r="C34" s="90" t="s">
        <v>1182</v>
      </c>
      <c r="D34" s="4"/>
      <c r="E34" s="90" t="s">
        <v>1183</v>
      </c>
      <c r="F34" s="90" t="s">
        <v>455</v>
      </c>
      <c r="G34" s="5" t="s">
        <v>354</v>
      </c>
      <c r="H34" s="90" t="s">
        <v>1027</v>
      </c>
      <c r="I34" s="90" t="s">
        <v>1043</v>
      </c>
      <c r="J34" s="10" t="b">
        <v>1</v>
      </c>
      <c r="K34" s="10" t="b">
        <v>1</v>
      </c>
      <c r="L34" s="10" t="b">
        <v>1</v>
      </c>
      <c r="M34" s="10" t="b">
        <v>1</v>
      </c>
      <c r="N34" s="10" t="b">
        <v>1</v>
      </c>
      <c r="O34" s="54" t="b">
        <v>1</v>
      </c>
      <c r="P34" s="12" t="b">
        <v>0</v>
      </c>
      <c r="Q34" s="10" t="b">
        <v>0</v>
      </c>
      <c r="R34" s="10" t="b">
        <v>0</v>
      </c>
      <c r="S34" s="10" t="b">
        <v>0</v>
      </c>
      <c r="T34" s="91">
        <v>46079.0</v>
      </c>
      <c r="U34" s="9" t="s">
        <v>424</v>
      </c>
      <c r="V34" s="56" t="s">
        <v>358</v>
      </c>
      <c r="W34" s="57" t="b">
        <v>0</v>
      </c>
      <c r="X34" s="56" t="s">
        <v>1184</v>
      </c>
      <c r="Y34" s="53"/>
      <c r="Z34" s="58"/>
      <c r="AA34" s="4"/>
      <c r="AB34" s="4"/>
      <c r="AC34" s="4"/>
      <c r="AD34" s="4"/>
    </row>
    <row r="35">
      <c r="A35" s="5" t="s">
        <v>22</v>
      </c>
      <c r="B35" s="90" t="s">
        <v>1185</v>
      </c>
      <c r="C35" s="90" t="s">
        <v>1186</v>
      </c>
      <c r="D35" s="4"/>
      <c r="E35" s="90" t="s">
        <v>1187</v>
      </c>
      <c r="F35" s="90" t="s">
        <v>465</v>
      </c>
      <c r="G35" s="5" t="s">
        <v>354</v>
      </c>
      <c r="H35" s="90" t="s">
        <v>1054</v>
      </c>
      <c r="I35" s="90" t="s">
        <v>1028</v>
      </c>
      <c r="J35" s="10" t="b">
        <v>1</v>
      </c>
      <c r="K35" s="10" t="b">
        <v>1</v>
      </c>
      <c r="L35" s="10" t="b">
        <v>1</v>
      </c>
      <c r="M35" s="10" t="b">
        <v>1</v>
      </c>
      <c r="N35" s="54" t="b">
        <v>1</v>
      </c>
      <c r="O35" s="12" t="b">
        <v>0</v>
      </c>
      <c r="P35" s="12" t="b">
        <v>0</v>
      </c>
      <c r="Q35" s="10" t="b">
        <v>0</v>
      </c>
      <c r="R35" s="10" t="b">
        <v>0</v>
      </c>
      <c r="S35" s="10" t="b">
        <v>0</v>
      </c>
      <c r="T35" s="91">
        <v>46058.0</v>
      </c>
      <c r="U35" s="9" t="s">
        <v>357</v>
      </c>
      <c r="V35" s="56" t="s">
        <v>358</v>
      </c>
      <c r="W35" s="57" t="b">
        <v>0</v>
      </c>
      <c r="X35" s="56" t="s">
        <v>1188</v>
      </c>
      <c r="Y35" s="53"/>
      <c r="Z35" s="58"/>
      <c r="AA35" s="4"/>
      <c r="AB35" s="4"/>
      <c r="AC35" s="4"/>
      <c r="AD35" s="4"/>
    </row>
    <row r="36">
      <c r="A36" s="5" t="s">
        <v>22</v>
      </c>
      <c r="B36" s="90" t="s">
        <v>1189</v>
      </c>
      <c r="C36" s="90" t="s">
        <v>1190</v>
      </c>
      <c r="D36" s="9">
        <v>9.188318081E9</v>
      </c>
      <c r="E36" s="90" t="s">
        <v>1191</v>
      </c>
      <c r="F36" s="90" t="s">
        <v>465</v>
      </c>
      <c r="G36" s="5" t="s">
        <v>354</v>
      </c>
      <c r="H36" s="90" t="s">
        <v>1154</v>
      </c>
      <c r="I36" s="90" t="s">
        <v>1028</v>
      </c>
      <c r="J36" s="10" t="b">
        <v>1</v>
      </c>
      <c r="K36" s="10" t="b">
        <v>1</v>
      </c>
      <c r="L36" s="10" t="b">
        <v>1</v>
      </c>
      <c r="M36" s="10" t="b">
        <v>1</v>
      </c>
      <c r="N36" s="57" t="b">
        <v>1</v>
      </c>
      <c r="O36" s="57" t="b">
        <v>1</v>
      </c>
      <c r="P36" s="67" t="b">
        <v>1</v>
      </c>
      <c r="Q36" s="71" t="b">
        <v>1</v>
      </c>
      <c r="R36" s="71" t="b">
        <v>1</v>
      </c>
      <c r="S36" s="95" t="b">
        <v>1</v>
      </c>
      <c r="T36" s="91">
        <v>46075.0</v>
      </c>
      <c r="U36" s="9" t="s">
        <v>890</v>
      </c>
      <c r="V36" s="56" t="s">
        <v>891</v>
      </c>
      <c r="W36" s="57" t="b">
        <v>1</v>
      </c>
      <c r="X36" s="56" t="s">
        <v>1192</v>
      </c>
      <c r="Y36" s="6" t="s">
        <v>890</v>
      </c>
      <c r="Z36" s="56" t="s">
        <v>891</v>
      </c>
      <c r="AA36" s="9" t="s">
        <v>1193</v>
      </c>
      <c r="AB36" s="4"/>
      <c r="AC36" s="4"/>
      <c r="AD36" s="4"/>
    </row>
    <row r="37">
      <c r="A37" s="5" t="s">
        <v>22</v>
      </c>
      <c r="B37" s="90" t="s">
        <v>1194</v>
      </c>
      <c r="C37" s="90" t="s">
        <v>1195</v>
      </c>
      <c r="D37" s="4"/>
      <c r="E37" s="90" t="s">
        <v>1196</v>
      </c>
      <c r="F37" s="90" t="s">
        <v>1197</v>
      </c>
      <c r="G37" s="5" t="s">
        <v>354</v>
      </c>
      <c r="H37" s="90" t="s">
        <v>1054</v>
      </c>
      <c r="I37" s="90" t="s">
        <v>1043</v>
      </c>
      <c r="J37" s="10" t="b">
        <v>1</v>
      </c>
      <c r="K37" s="10" t="b">
        <v>1</v>
      </c>
      <c r="L37" s="10" t="b">
        <v>1</v>
      </c>
      <c r="M37" s="10" t="b">
        <v>1</v>
      </c>
      <c r="N37" s="57" t="b">
        <v>1</v>
      </c>
      <c r="O37" s="54" t="b">
        <v>1</v>
      </c>
      <c r="P37" s="12" t="b">
        <v>0</v>
      </c>
      <c r="Q37" s="10" t="b">
        <v>0</v>
      </c>
      <c r="R37" s="10" t="b">
        <v>0</v>
      </c>
      <c r="S37" s="10" t="b">
        <v>0</v>
      </c>
      <c r="T37" s="91">
        <v>46058.0</v>
      </c>
      <c r="U37" s="9" t="s">
        <v>357</v>
      </c>
      <c r="V37" s="56" t="s">
        <v>358</v>
      </c>
      <c r="W37" s="54" t="b">
        <v>1</v>
      </c>
      <c r="X37" s="56" t="s">
        <v>1198</v>
      </c>
      <c r="Y37" s="6" t="s">
        <v>382</v>
      </c>
      <c r="Z37" s="56" t="s">
        <v>358</v>
      </c>
      <c r="AA37" s="9" t="s">
        <v>1199</v>
      </c>
      <c r="AB37" s="4"/>
      <c r="AC37" s="4"/>
      <c r="AD37" s="4"/>
    </row>
    <row r="38">
      <c r="A38" s="5" t="s">
        <v>22</v>
      </c>
      <c r="B38" s="90" t="s">
        <v>1200</v>
      </c>
      <c r="C38" s="90" t="s">
        <v>1201</v>
      </c>
      <c r="D38" s="4"/>
      <c r="E38" s="90" t="s">
        <v>1202</v>
      </c>
      <c r="F38" s="90" t="s">
        <v>1203</v>
      </c>
      <c r="G38" s="5" t="s">
        <v>354</v>
      </c>
      <c r="H38" s="90" t="s">
        <v>1021</v>
      </c>
      <c r="I38" s="90" t="s">
        <v>1022</v>
      </c>
      <c r="J38" s="10" t="b">
        <v>1</v>
      </c>
      <c r="K38" s="10" t="b">
        <v>1</v>
      </c>
      <c r="L38" s="54" t="b">
        <v>1</v>
      </c>
      <c r="M38" s="10" t="b">
        <v>0</v>
      </c>
      <c r="N38" s="12" t="b">
        <v>0</v>
      </c>
      <c r="O38" s="12" t="b">
        <v>0</v>
      </c>
      <c r="P38" s="12" t="b">
        <v>0</v>
      </c>
      <c r="Q38" s="10" t="b">
        <v>0</v>
      </c>
      <c r="R38" s="10" t="b">
        <v>0</v>
      </c>
      <c r="S38" s="10" t="b">
        <v>0</v>
      </c>
      <c r="T38" s="91">
        <v>46042.0</v>
      </c>
      <c r="U38" s="9" t="s">
        <v>357</v>
      </c>
      <c r="V38" s="56" t="s">
        <v>358</v>
      </c>
      <c r="W38" s="57" t="b">
        <v>0</v>
      </c>
      <c r="X38" s="56" t="s">
        <v>1204</v>
      </c>
      <c r="Y38" s="53"/>
      <c r="Z38" s="58"/>
      <c r="AA38" s="4"/>
      <c r="AB38" s="4"/>
      <c r="AC38" s="4"/>
      <c r="AD38" s="4"/>
    </row>
    <row r="39">
      <c r="A39" s="5" t="s">
        <v>22</v>
      </c>
      <c r="B39" s="90" t="s">
        <v>472</v>
      </c>
      <c r="C39" s="90" t="s">
        <v>1205</v>
      </c>
      <c r="D39" s="4"/>
      <c r="E39" s="90" t="s">
        <v>1206</v>
      </c>
      <c r="F39" s="90" t="s">
        <v>1207</v>
      </c>
      <c r="G39" s="5" t="s">
        <v>354</v>
      </c>
      <c r="H39" s="90" t="s">
        <v>1208</v>
      </c>
      <c r="I39" s="90" t="s">
        <v>1028</v>
      </c>
      <c r="J39" s="10" t="b">
        <v>1</v>
      </c>
      <c r="K39" s="10" t="b">
        <v>1</v>
      </c>
      <c r="L39" s="10" t="b">
        <v>1</v>
      </c>
      <c r="M39" s="57" t="b">
        <v>1</v>
      </c>
      <c r="N39" s="57" t="b">
        <v>1</v>
      </c>
      <c r="O39" s="57" t="b">
        <v>1</v>
      </c>
      <c r="P39" s="54" t="b">
        <v>1</v>
      </c>
      <c r="Q39" s="10" t="b">
        <v>0</v>
      </c>
      <c r="R39" s="10" t="b">
        <v>0</v>
      </c>
      <c r="S39" s="10" t="b">
        <v>0</v>
      </c>
      <c r="T39" s="91">
        <v>46046.0</v>
      </c>
      <c r="U39" s="9" t="s">
        <v>357</v>
      </c>
      <c r="V39" s="56" t="s">
        <v>358</v>
      </c>
      <c r="W39" s="54" t="b">
        <v>1</v>
      </c>
      <c r="X39" s="56" t="s">
        <v>1209</v>
      </c>
      <c r="Y39" s="6" t="s">
        <v>382</v>
      </c>
      <c r="Z39" s="56" t="s">
        <v>358</v>
      </c>
      <c r="AA39" s="9" t="s">
        <v>1210</v>
      </c>
      <c r="AB39" s="4"/>
      <c r="AC39" s="4"/>
      <c r="AD39" s="4"/>
    </row>
    <row r="40">
      <c r="A40" s="5" t="s">
        <v>22</v>
      </c>
      <c r="B40" s="90" t="s">
        <v>1211</v>
      </c>
      <c r="C40" s="90" t="s">
        <v>1212</v>
      </c>
      <c r="D40" s="9">
        <v>9.626405847E9</v>
      </c>
      <c r="E40" s="90" t="s">
        <v>1213</v>
      </c>
      <c r="F40" s="90" t="s">
        <v>1123</v>
      </c>
      <c r="G40" s="5" t="s">
        <v>716</v>
      </c>
      <c r="H40" s="90" t="s">
        <v>1021</v>
      </c>
      <c r="I40" s="90" t="s">
        <v>1028</v>
      </c>
      <c r="J40" s="57" t="b">
        <v>1</v>
      </c>
      <c r="K40" s="57" t="b">
        <v>1</v>
      </c>
      <c r="L40" s="57" t="b">
        <v>1</v>
      </c>
      <c r="M40" s="57" t="b">
        <v>1</v>
      </c>
      <c r="N40" s="67" t="b">
        <v>1</v>
      </c>
      <c r="O40" s="67" t="b">
        <v>1</v>
      </c>
      <c r="P40" s="67" t="b">
        <v>1</v>
      </c>
      <c r="Q40" s="67" t="b">
        <v>1</v>
      </c>
      <c r="R40" s="67" t="b">
        <v>1</v>
      </c>
      <c r="S40" s="54" t="b">
        <v>1</v>
      </c>
      <c r="T40" s="92">
        <v>46136.0</v>
      </c>
      <c r="U40" s="9" t="s">
        <v>357</v>
      </c>
      <c r="V40" s="56" t="s">
        <v>358</v>
      </c>
      <c r="W40" s="54" t="b">
        <v>1</v>
      </c>
      <c r="X40" s="56" t="s">
        <v>1214</v>
      </c>
      <c r="Y40" s="6" t="s">
        <v>382</v>
      </c>
      <c r="Z40" s="56" t="s">
        <v>358</v>
      </c>
      <c r="AA40" s="9" t="s">
        <v>1215</v>
      </c>
      <c r="AB40" s="4"/>
      <c r="AC40" s="4"/>
      <c r="AD40" s="4"/>
    </row>
    <row r="41">
      <c r="A41" s="5" t="s">
        <v>22</v>
      </c>
      <c r="B41" s="90" t="s">
        <v>1216</v>
      </c>
      <c r="C41" s="90" t="s">
        <v>1217</v>
      </c>
      <c r="D41" s="4"/>
      <c r="E41" s="90" t="s">
        <v>1218</v>
      </c>
      <c r="F41" s="90" t="s">
        <v>1219</v>
      </c>
      <c r="G41" s="5" t="s">
        <v>716</v>
      </c>
      <c r="H41" s="90" t="s">
        <v>1021</v>
      </c>
      <c r="I41" s="90" t="s">
        <v>1028</v>
      </c>
      <c r="J41" s="57" t="b">
        <v>1</v>
      </c>
      <c r="K41" s="54" t="b">
        <v>1</v>
      </c>
      <c r="L41" s="10" t="b">
        <v>0</v>
      </c>
      <c r="M41" s="10" t="b">
        <v>0</v>
      </c>
      <c r="N41" s="12" t="b">
        <v>0</v>
      </c>
      <c r="O41" s="12" t="b">
        <v>0</v>
      </c>
      <c r="P41" s="12" t="b">
        <v>0</v>
      </c>
      <c r="Q41" s="10" t="b">
        <v>0</v>
      </c>
      <c r="R41" s="10" t="b">
        <v>0</v>
      </c>
      <c r="S41" s="10" t="b">
        <v>0</v>
      </c>
      <c r="T41" s="91">
        <v>46044.0</v>
      </c>
      <c r="U41" s="9" t="s">
        <v>357</v>
      </c>
      <c r="V41" s="56" t="s">
        <v>358</v>
      </c>
      <c r="W41" s="57" t="b">
        <v>0</v>
      </c>
      <c r="X41" s="56" t="s">
        <v>1220</v>
      </c>
      <c r="Y41" s="6" t="s">
        <v>357</v>
      </c>
      <c r="Z41" s="56" t="s">
        <v>358</v>
      </c>
      <c r="AA41" s="9" t="s">
        <v>1221</v>
      </c>
      <c r="AB41" s="4"/>
      <c r="AC41" s="4"/>
      <c r="AD41" s="4"/>
    </row>
    <row r="42">
      <c r="A42" s="5" t="s">
        <v>22</v>
      </c>
      <c r="B42" s="90" t="s">
        <v>1222</v>
      </c>
      <c r="C42" s="90" t="s">
        <v>1223</v>
      </c>
      <c r="D42" s="4"/>
      <c r="E42" s="90" t="s">
        <v>1224</v>
      </c>
      <c r="F42" s="90" t="s">
        <v>801</v>
      </c>
      <c r="G42" s="5" t="s">
        <v>716</v>
      </c>
      <c r="H42" s="90" t="s">
        <v>1054</v>
      </c>
      <c r="I42" s="90" t="s">
        <v>1028</v>
      </c>
      <c r="J42" s="10" t="b">
        <v>1</v>
      </c>
      <c r="K42" s="10" t="b">
        <v>1</v>
      </c>
      <c r="L42" s="10" t="b">
        <v>1</v>
      </c>
      <c r="M42" s="54" t="b">
        <v>1</v>
      </c>
      <c r="N42" s="12" t="b">
        <v>0</v>
      </c>
      <c r="O42" s="12" t="b">
        <v>0</v>
      </c>
      <c r="P42" s="12" t="b">
        <v>0</v>
      </c>
      <c r="Q42" s="10" t="b">
        <v>0</v>
      </c>
      <c r="R42" s="10" t="b">
        <v>0</v>
      </c>
      <c r="S42" s="10" t="b">
        <v>0</v>
      </c>
      <c r="T42" s="91">
        <v>46049.0</v>
      </c>
      <c r="U42" s="9" t="s">
        <v>357</v>
      </c>
      <c r="V42" s="56" t="s">
        <v>358</v>
      </c>
      <c r="W42" s="57" t="b">
        <v>0</v>
      </c>
      <c r="X42" s="56" t="s">
        <v>1225</v>
      </c>
      <c r="Y42" s="53"/>
      <c r="Z42" s="58"/>
      <c r="AA42" s="4"/>
      <c r="AB42" s="4"/>
      <c r="AC42" s="4"/>
      <c r="AD42" s="4"/>
    </row>
    <row r="43">
      <c r="A43" s="5" t="s">
        <v>22</v>
      </c>
      <c r="B43" s="93" t="s">
        <v>1226</v>
      </c>
      <c r="C43" s="93" t="s">
        <v>1227</v>
      </c>
      <c r="E43" s="93" t="s">
        <v>1228</v>
      </c>
      <c r="F43" s="96" t="s">
        <v>1229</v>
      </c>
      <c r="G43" s="97" t="s">
        <v>716</v>
      </c>
      <c r="H43" s="93" t="s">
        <v>1154</v>
      </c>
      <c r="I43" s="93" t="s">
        <v>1022</v>
      </c>
      <c r="J43" s="10" t="b">
        <v>1</v>
      </c>
      <c r="K43" s="10" t="b">
        <v>1</v>
      </c>
      <c r="L43" s="10" t="b">
        <v>1</v>
      </c>
      <c r="M43" s="10" t="b">
        <v>1</v>
      </c>
      <c r="N43" s="10" t="b">
        <v>1</v>
      </c>
      <c r="O43" s="54" t="b">
        <v>1</v>
      </c>
      <c r="P43" s="12" t="b">
        <v>0</v>
      </c>
      <c r="Q43" s="10" t="b">
        <v>0</v>
      </c>
      <c r="R43" s="10" t="b">
        <v>0</v>
      </c>
      <c r="S43" s="10" t="b">
        <v>0</v>
      </c>
      <c r="T43" s="91">
        <v>46058.0</v>
      </c>
      <c r="U43" s="9" t="s">
        <v>357</v>
      </c>
      <c r="V43" s="56" t="s">
        <v>358</v>
      </c>
      <c r="W43" s="57" t="b">
        <v>0</v>
      </c>
      <c r="X43" s="56" t="s">
        <v>1230</v>
      </c>
      <c r="Y43" s="53"/>
      <c r="Z43" s="58"/>
      <c r="AA43" s="9" t="s">
        <v>1231</v>
      </c>
      <c r="AB43" s="4"/>
      <c r="AC43" s="4"/>
      <c r="AD43" s="4"/>
    </row>
    <row r="44">
      <c r="A44" s="5" t="s">
        <v>22</v>
      </c>
      <c r="B44" s="93" t="s">
        <v>1232</v>
      </c>
      <c r="C44" s="93" t="s">
        <v>1233</v>
      </c>
      <c r="E44" s="93" t="s">
        <v>1234</v>
      </c>
      <c r="F44" s="96" t="s">
        <v>465</v>
      </c>
      <c r="G44" s="97" t="s">
        <v>716</v>
      </c>
      <c r="H44" s="93" t="s">
        <v>1021</v>
      </c>
      <c r="I44" s="93" t="s">
        <v>1028</v>
      </c>
      <c r="J44" s="10" t="b">
        <v>1</v>
      </c>
      <c r="K44" s="10" t="b">
        <v>1</v>
      </c>
      <c r="L44" s="10" t="b">
        <v>1</v>
      </c>
      <c r="M44" s="54" t="b">
        <v>1</v>
      </c>
      <c r="N44" s="12" t="b">
        <v>0</v>
      </c>
      <c r="O44" s="12" t="b">
        <v>0</v>
      </c>
      <c r="P44" s="12" t="b">
        <v>0</v>
      </c>
      <c r="Q44" s="10" t="b">
        <v>0</v>
      </c>
      <c r="R44" s="10" t="b">
        <v>0</v>
      </c>
      <c r="S44" s="10" t="b">
        <v>0</v>
      </c>
      <c r="T44" s="91">
        <v>46058.0</v>
      </c>
      <c r="U44" s="9" t="s">
        <v>357</v>
      </c>
      <c r="V44" s="56" t="s">
        <v>358</v>
      </c>
      <c r="W44" s="57" t="b">
        <v>0</v>
      </c>
      <c r="X44" s="56" t="s">
        <v>1235</v>
      </c>
      <c r="Y44" s="53"/>
      <c r="Z44" s="58"/>
      <c r="AA44" s="4"/>
      <c r="AB44" s="4"/>
      <c r="AC44" s="4"/>
      <c r="AD44" s="4"/>
    </row>
    <row r="45">
      <c r="A45" s="5" t="s">
        <v>22</v>
      </c>
      <c r="B45" s="93" t="s">
        <v>1236</v>
      </c>
      <c r="C45" s="93" t="s">
        <v>1237</v>
      </c>
      <c r="E45" s="93" t="s">
        <v>1238</v>
      </c>
      <c r="F45" s="90" t="s">
        <v>698</v>
      </c>
      <c r="G45" s="97" t="s">
        <v>716</v>
      </c>
      <c r="H45" s="93" t="s">
        <v>1021</v>
      </c>
      <c r="I45" s="93" t="s">
        <v>1043</v>
      </c>
      <c r="J45" s="10" t="b">
        <v>1</v>
      </c>
      <c r="K45" s="10" t="b">
        <v>1</v>
      </c>
      <c r="L45" s="57" t="b">
        <v>1</v>
      </c>
      <c r="M45" s="57" t="b">
        <v>1</v>
      </c>
      <c r="N45" s="54" t="b">
        <v>1</v>
      </c>
      <c r="O45" s="12" t="b">
        <v>0</v>
      </c>
      <c r="P45" s="12" t="b">
        <v>0</v>
      </c>
      <c r="Q45" s="10" t="b">
        <v>0</v>
      </c>
      <c r="R45" s="10" t="b">
        <v>0</v>
      </c>
      <c r="S45" s="10" t="b">
        <v>0</v>
      </c>
      <c r="T45" s="91">
        <v>46046.0</v>
      </c>
      <c r="U45" s="9" t="s">
        <v>357</v>
      </c>
      <c r="V45" s="56" t="s">
        <v>358</v>
      </c>
      <c r="W45" s="54" t="b">
        <v>1</v>
      </c>
      <c r="X45" s="56" t="s">
        <v>1239</v>
      </c>
      <c r="Y45" s="6" t="s">
        <v>382</v>
      </c>
      <c r="Z45" s="56" t="s">
        <v>358</v>
      </c>
      <c r="AA45" s="9" t="s">
        <v>1240</v>
      </c>
      <c r="AB45" s="4"/>
      <c r="AC45" s="4"/>
      <c r="AD45" s="4"/>
    </row>
    <row r="46">
      <c r="A46" s="5" t="s">
        <v>22</v>
      </c>
      <c r="B46" s="93" t="s">
        <v>1241</v>
      </c>
      <c r="C46" s="93" t="s">
        <v>1242</v>
      </c>
      <c r="E46" s="93" t="s">
        <v>1243</v>
      </c>
      <c r="F46" s="96" t="s">
        <v>465</v>
      </c>
      <c r="G46" s="97" t="s">
        <v>354</v>
      </c>
      <c r="H46" s="93" t="s">
        <v>1021</v>
      </c>
      <c r="I46" s="93" t="s">
        <v>1043</v>
      </c>
      <c r="J46" s="10" t="b">
        <v>1</v>
      </c>
      <c r="K46" s="10" t="b">
        <v>1</v>
      </c>
      <c r="L46" s="54" t="b">
        <v>1</v>
      </c>
      <c r="M46" s="10" t="b">
        <v>0</v>
      </c>
      <c r="N46" s="12" t="b">
        <v>0</v>
      </c>
      <c r="O46" s="12" t="b">
        <v>0</v>
      </c>
      <c r="P46" s="12" t="b">
        <v>0</v>
      </c>
      <c r="Q46" s="10" t="b">
        <v>0</v>
      </c>
      <c r="R46" s="10" t="b">
        <v>0</v>
      </c>
      <c r="S46" s="10" t="b">
        <v>0</v>
      </c>
      <c r="T46" s="91">
        <v>46042.0</v>
      </c>
      <c r="U46" s="9" t="s">
        <v>357</v>
      </c>
      <c r="V46" s="56" t="s">
        <v>358</v>
      </c>
      <c r="W46" s="57" t="b">
        <v>0</v>
      </c>
      <c r="X46" s="56" t="s">
        <v>1244</v>
      </c>
      <c r="Y46" s="53"/>
      <c r="Z46" s="58"/>
      <c r="AA46" s="4"/>
      <c r="AB46" s="4"/>
      <c r="AC46" s="4"/>
      <c r="AD46" s="4"/>
    </row>
    <row r="47">
      <c r="A47" s="5" t="s">
        <v>22</v>
      </c>
      <c r="B47" s="93" t="s">
        <v>1245</v>
      </c>
      <c r="C47" s="93" t="s">
        <v>1246</v>
      </c>
      <c r="E47" s="93" t="s">
        <v>1247</v>
      </c>
      <c r="F47" s="96" t="s">
        <v>704</v>
      </c>
      <c r="G47" s="97" t="s">
        <v>354</v>
      </c>
      <c r="H47" s="93" t="s">
        <v>1154</v>
      </c>
      <c r="I47" s="93" t="s">
        <v>1028</v>
      </c>
      <c r="J47" s="54" t="b">
        <v>1</v>
      </c>
      <c r="K47" s="10" t="b">
        <v>0</v>
      </c>
      <c r="L47" s="10" t="b">
        <v>0</v>
      </c>
      <c r="M47" s="10" t="b">
        <v>0</v>
      </c>
      <c r="N47" s="12" t="b">
        <v>0</v>
      </c>
      <c r="O47" s="12" t="b">
        <v>0</v>
      </c>
      <c r="P47" s="12" t="b">
        <v>0</v>
      </c>
      <c r="Q47" s="10" t="b">
        <v>0</v>
      </c>
      <c r="R47" s="10" t="b">
        <v>0</v>
      </c>
      <c r="S47" s="10" t="b">
        <v>0</v>
      </c>
      <c r="T47" s="91">
        <v>46041.0</v>
      </c>
      <c r="U47" s="9" t="s">
        <v>357</v>
      </c>
      <c r="V47" s="56" t="s">
        <v>358</v>
      </c>
      <c r="W47" s="57" t="b">
        <v>0</v>
      </c>
      <c r="X47" s="56" t="s">
        <v>1248</v>
      </c>
      <c r="Y47" s="53"/>
      <c r="Z47" s="58"/>
      <c r="AA47" s="4"/>
      <c r="AB47" s="4"/>
      <c r="AC47" s="4"/>
      <c r="AD47" s="4"/>
    </row>
    <row r="48">
      <c r="A48" s="5" t="s">
        <v>22</v>
      </c>
      <c r="B48" s="93" t="s">
        <v>1249</v>
      </c>
      <c r="C48" s="93" t="s">
        <v>1250</v>
      </c>
      <c r="E48" s="93" t="s">
        <v>1251</v>
      </c>
      <c r="F48" s="96" t="s">
        <v>465</v>
      </c>
      <c r="G48" s="97" t="s">
        <v>354</v>
      </c>
      <c r="H48" s="93" t="s">
        <v>1054</v>
      </c>
      <c r="I48" s="93" t="s">
        <v>1022</v>
      </c>
      <c r="J48" s="10" t="b">
        <v>1</v>
      </c>
      <c r="K48" s="10" t="b">
        <v>1</v>
      </c>
      <c r="L48" s="10" t="b">
        <v>1</v>
      </c>
      <c r="M48" s="10" t="b">
        <v>1</v>
      </c>
      <c r="N48" s="10" t="b">
        <v>1</v>
      </c>
      <c r="O48" s="12" t="b">
        <v>0</v>
      </c>
      <c r="P48" s="12" t="b">
        <v>0</v>
      </c>
      <c r="Q48" s="10" t="b">
        <v>0</v>
      </c>
      <c r="R48" s="10" t="b">
        <v>0</v>
      </c>
      <c r="S48" s="10" t="b">
        <v>0</v>
      </c>
      <c r="T48" s="91">
        <v>46058.0</v>
      </c>
      <c r="U48" s="9" t="s">
        <v>1252</v>
      </c>
      <c r="V48" s="56" t="s">
        <v>362</v>
      </c>
      <c r="W48" s="57" t="b">
        <v>0</v>
      </c>
      <c r="X48" s="56" t="s">
        <v>1253</v>
      </c>
      <c r="Y48" s="53"/>
      <c r="Z48" s="58"/>
      <c r="AA48" s="4"/>
      <c r="AB48" s="4"/>
      <c r="AC48" s="4"/>
      <c r="AD48" s="4"/>
    </row>
    <row r="49">
      <c r="A49" s="5" t="s">
        <v>22</v>
      </c>
      <c r="B49" s="93" t="s">
        <v>1254</v>
      </c>
      <c r="C49" s="93" t="s">
        <v>1255</v>
      </c>
      <c r="E49" s="93" t="s">
        <v>1256</v>
      </c>
      <c r="F49" s="96" t="s">
        <v>465</v>
      </c>
      <c r="G49" s="97" t="s">
        <v>354</v>
      </c>
      <c r="H49" s="93" t="s">
        <v>1027</v>
      </c>
      <c r="I49" s="93" t="s">
        <v>1028</v>
      </c>
      <c r="J49" s="10" t="b">
        <v>1</v>
      </c>
      <c r="K49" s="10" t="b">
        <v>1</v>
      </c>
      <c r="L49" s="57" t="b">
        <v>1</v>
      </c>
      <c r="M49" s="57" t="b">
        <v>1</v>
      </c>
      <c r="N49" s="67" t="b">
        <v>1</v>
      </c>
      <c r="O49" s="12" t="b">
        <v>0</v>
      </c>
      <c r="P49" s="12" t="b">
        <v>0</v>
      </c>
      <c r="Q49" s="10" t="b">
        <v>0</v>
      </c>
      <c r="R49" s="10" t="b">
        <v>0</v>
      </c>
      <c r="S49" s="10" t="b">
        <v>0</v>
      </c>
      <c r="T49" s="91">
        <v>46043.0</v>
      </c>
      <c r="U49" s="9" t="s">
        <v>890</v>
      </c>
      <c r="V49" s="56" t="s">
        <v>891</v>
      </c>
      <c r="W49" s="57" t="b">
        <v>1</v>
      </c>
      <c r="X49" s="56" t="s">
        <v>1257</v>
      </c>
      <c r="Y49" s="6" t="s">
        <v>890</v>
      </c>
      <c r="Z49" s="56" t="s">
        <v>891</v>
      </c>
      <c r="AA49" s="9" t="s">
        <v>1258</v>
      </c>
      <c r="AB49" s="4"/>
      <c r="AC49" s="4"/>
      <c r="AD49" s="4"/>
    </row>
    <row r="50">
      <c r="A50" s="5" t="s">
        <v>22</v>
      </c>
      <c r="B50" s="93" t="s">
        <v>1259</v>
      </c>
      <c r="C50" s="93" t="s">
        <v>1260</v>
      </c>
      <c r="E50" s="93" t="s">
        <v>1261</v>
      </c>
      <c r="F50" s="96" t="s">
        <v>465</v>
      </c>
      <c r="G50" s="97" t="s">
        <v>354</v>
      </c>
      <c r="H50" s="93" t="s">
        <v>1054</v>
      </c>
      <c r="I50" s="93" t="s">
        <v>1028</v>
      </c>
      <c r="J50" s="10" t="b">
        <v>1</v>
      </c>
      <c r="K50" s="10" t="b">
        <v>1</v>
      </c>
      <c r="L50" s="10" t="b">
        <v>1</v>
      </c>
      <c r="M50" s="54" t="b">
        <v>1</v>
      </c>
      <c r="N50" s="12" t="b">
        <v>0</v>
      </c>
      <c r="O50" s="12" t="b">
        <v>0</v>
      </c>
      <c r="P50" s="12" t="b">
        <v>0</v>
      </c>
      <c r="Q50" s="10" t="b">
        <v>0</v>
      </c>
      <c r="R50" s="10" t="b">
        <v>0</v>
      </c>
      <c r="S50" s="10" t="b">
        <v>0</v>
      </c>
      <c r="T50" s="91">
        <v>46049.0</v>
      </c>
      <c r="U50" s="9" t="s">
        <v>357</v>
      </c>
      <c r="V50" s="56" t="s">
        <v>358</v>
      </c>
      <c r="W50" s="57" t="b">
        <v>0</v>
      </c>
      <c r="X50" s="56" t="s">
        <v>1262</v>
      </c>
      <c r="Y50" s="53"/>
      <c r="Z50" s="58"/>
      <c r="AA50" s="4"/>
      <c r="AB50" s="4"/>
      <c r="AC50" s="4"/>
      <c r="AD50" s="4"/>
    </row>
    <row r="51">
      <c r="A51" s="5" t="s">
        <v>22</v>
      </c>
      <c r="B51" s="93" t="s">
        <v>1263</v>
      </c>
      <c r="C51" s="93" t="s">
        <v>1264</v>
      </c>
      <c r="E51" s="93" t="s">
        <v>1265</v>
      </c>
      <c r="F51" s="90" t="s">
        <v>465</v>
      </c>
      <c r="G51" s="97" t="s">
        <v>354</v>
      </c>
      <c r="H51" s="93" t="s">
        <v>1027</v>
      </c>
      <c r="I51" s="93" t="s">
        <v>1022</v>
      </c>
      <c r="J51" s="57" t="b">
        <v>1</v>
      </c>
      <c r="K51" s="57" t="b">
        <v>1</v>
      </c>
      <c r="L51" s="54" t="b">
        <v>1</v>
      </c>
      <c r="M51" s="10" t="b">
        <v>0</v>
      </c>
      <c r="N51" s="12" t="b">
        <v>0</v>
      </c>
      <c r="O51" s="12" t="b">
        <v>0</v>
      </c>
      <c r="P51" s="12" t="b">
        <v>0</v>
      </c>
      <c r="Q51" s="10" t="b">
        <v>0</v>
      </c>
      <c r="R51" s="10" t="b">
        <v>0</v>
      </c>
      <c r="S51" s="10" t="b">
        <v>0</v>
      </c>
      <c r="T51" s="91">
        <v>46044.0</v>
      </c>
      <c r="U51" s="9" t="s">
        <v>357</v>
      </c>
      <c r="V51" s="56" t="s">
        <v>358</v>
      </c>
      <c r="W51" s="54" t="b">
        <v>1</v>
      </c>
      <c r="X51" s="56" t="s">
        <v>1266</v>
      </c>
      <c r="Y51" s="6" t="s">
        <v>357</v>
      </c>
      <c r="Z51" s="56" t="s">
        <v>358</v>
      </c>
      <c r="AA51" s="9" t="s">
        <v>1267</v>
      </c>
      <c r="AB51" s="4"/>
      <c r="AC51" s="4"/>
      <c r="AD51" s="4"/>
    </row>
    <row r="52">
      <c r="A52" s="5" t="s">
        <v>22</v>
      </c>
      <c r="B52" s="93" t="s">
        <v>1268</v>
      </c>
      <c r="C52" s="93" t="s">
        <v>1269</v>
      </c>
      <c r="E52" s="93" t="s">
        <v>1270</v>
      </c>
      <c r="F52" s="96" t="s">
        <v>768</v>
      </c>
      <c r="G52" s="97" t="s">
        <v>354</v>
      </c>
      <c r="H52" s="93" t="s">
        <v>1208</v>
      </c>
      <c r="I52" s="93" t="s">
        <v>1022</v>
      </c>
      <c r="J52" s="10" t="b">
        <v>1</v>
      </c>
      <c r="K52" s="10" t="b">
        <v>1</v>
      </c>
      <c r="L52" s="54" t="b">
        <v>1</v>
      </c>
      <c r="M52" s="10" t="b">
        <v>0</v>
      </c>
      <c r="N52" s="12" t="b">
        <v>0</v>
      </c>
      <c r="O52" s="12" t="b">
        <v>0</v>
      </c>
      <c r="P52" s="12" t="b">
        <v>0</v>
      </c>
      <c r="Q52" s="10" t="b">
        <v>0</v>
      </c>
      <c r="R52" s="10" t="b">
        <v>0</v>
      </c>
      <c r="S52" s="10" t="b">
        <v>0</v>
      </c>
      <c r="T52" s="91">
        <v>46041.0</v>
      </c>
      <c r="U52" s="9" t="s">
        <v>357</v>
      </c>
      <c r="V52" s="56" t="s">
        <v>358</v>
      </c>
      <c r="W52" s="57" t="b">
        <v>0</v>
      </c>
      <c r="X52" s="56" t="s">
        <v>1271</v>
      </c>
      <c r="Y52" s="53"/>
      <c r="Z52" s="58"/>
      <c r="AA52" s="4"/>
      <c r="AB52" s="4"/>
      <c r="AC52" s="4"/>
      <c r="AD52" s="4"/>
    </row>
    <row r="53">
      <c r="A53" s="5" t="s">
        <v>22</v>
      </c>
      <c r="B53" s="93" t="s">
        <v>1272</v>
      </c>
      <c r="C53" s="93" t="s">
        <v>1273</v>
      </c>
      <c r="E53" s="93" t="s">
        <v>1274</v>
      </c>
      <c r="F53" s="96" t="s">
        <v>465</v>
      </c>
      <c r="G53" s="97" t="s">
        <v>354</v>
      </c>
      <c r="H53" s="93" t="s">
        <v>1054</v>
      </c>
      <c r="I53" s="93" t="s">
        <v>1043</v>
      </c>
      <c r="J53" s="10" t="b">
        <v>1</v>
      </c>
      <c r="K53" s="54" t="b">
        <v>1</v>
      </c>
      <c r="L53" s="10" t="b">
        <v>0</v>
      </c>
      <c r="M53" s="10" t="b">
        <v>0</v>
      </c>
      <c r="N53" s="12" t="b">
        <v>0</v>
      </c>
      <c r="O53" s="12" t="b">
        <v>0</v>
      </c>
      <c r="P53" s="12" t="b">
        <v>0</v>
      </c>
      <c r="Q53" s="10" t="b">
        <v>0</v>
      </c>
      <c r="R53" s="10" t="b">
        <v>0</v>
      </c>
      <c r="S53" s="10" t="b">
        <v>0</v>
      </c>
      <c r="T53" s="91">
        <v>46041.0</v>
      </c>
      <c r="U53" s="9" t="s">
        <v>357</v>
      </c>
      <c r="V53" s="56" t="s">
        <v>358</v>
      </c>
      <c r="W53" s="57" t="b">
        <v>0</v>
      </c>
      <c r="X53" s="56" t="s">
        <v>1275</v>
      </c>
      <c r="Y53" s="53"/>
      <c r="Z53" s="58"/>
      <c r="AA53" s="4"/>
      <c r="AB53" s="4"/>
      <c r="AC53" s="4"/>
      <c r="AD53" s="4"/>
    </row>
    <row r="54">
      <c r="A54" s="5" t="s">
        <v>22</v>
      </c>
      <c r="B54" s="93" t="s">
        <v>1276</v>
      </c>
      <c r="C54" s="93" t="s">
        <v>1277</v>
      </c>
      <c r="E54" s="93" t="s">
        <v>1278</v>
      </c>
      <c r="F54" s="90" t="s">
        <v>1279</v>
      </c>
      <c r="G54" s="97" t="s">
        <v>354</v>
      </c>
      <c r="H54" s="93" t="s">
        <v>1021</v>
      </c>
      <c r="I54" s="93" t="s">
        <v>1022</v>
      </c>
      <c r="J54" s="10" t="b">
        <v>1</v>
      </c>
      <c r="K54" s="10" t="b">
        <v>1</v>
      </c>
      <c r="L54" s="57" t="b">
        <v>1</v>
      </c>
      <c r="M54" s="67" t="b">
        <v>1</v>
      </c>
      <c r="N54" s="54" t="b">
        <v>1</v>
      </c>
      <c r="O54" s="12" t="b">
        <v>0</v>
      </c>
      <c r="P54" s="12" t="b">
        <v>0</v>
      </c>
      <c r="Q54" s="10" t="b">
        <v>0</v>
      </c>
      <c r="R54" s="10" t="b">
        <v>0</v>
      </c>
      <c r="S54" s="10" t="b">
        <v>0</v>
      </c>
      <c r="T54" s="91">
        <v>46046.0</v>
      </c>
      <c r="U54" s="9" t="s">
        <v>357</v>
      </c>
      <c r="V54" s="56" t="s">
        <v>358</v>
      </c>
      <c r="W54" s="54" t="b">
        <v>1</v>
      </c>
      <c r="X54" s="56" t="s">
        <v>1280</v>
      </c>
      <c r="Y54" s="6" t="s">
        <v>382</v>
      </c>
      <c r="Z54" s="56" t="s">
        <v>358</v>
      </c>
      <c r="AA54" s="9" t="s">
        <v>1281</v>
      </c>
      <c r="AB54" s="4"/>
      <c r="AC54" s="4"/>
      <c r="AD54" s="4"/>
    </row>
    <row r="55">
      <c r="A55" s="5" t="s">
        <v>22</v>
      </c>
      <c r="B55" s="93" t="s">
        <v>1282</v>
      </c>
      <c r="C55" s="93" t="s">
        <v>1283</v>
      </c>
      <c r="E55" s="93" t="s">
        <v>1284</v>
      </c>
      <c r="F55" s="96" t="s">
        <v>465</v>
      </c>
      <c r="G55" s="97" t="s">
        <v>354</v>
      </c>
      <c r="H55" s="93" t="s">
        <v>1021</v>
      </c>
      <c r="I55" s="93" t="s">
        <v>1022</v>
      </c>
      <c r="J55" s="10" t="b">
        <v>1</v>
      </c>
      <c r="K55" s="10" t="b">
        <v>1</v>
      </c>
      <c r="L55" s="10" t="b">
        <v>1</v>
      </c>
      <c r="M55" s="54" t="b">
        <v>1</v>
      </c>
      <c r="N55" s="12" t="b">
        <v>0</v>
      </c>
      <c r="O55" s="12" t="b">
        <v>0</v>
      </c>
      <c r="P55" s="12" t="b">
        <v>0</v>
      </c>
      <c r="Q55" s="10" t="b">
        <v>0</v>
      </c>
      <c r="R55" s="10" t="b">
        <v>0</v>
      </c>
      <c r="S55" s="10" t="b">
        <v>0</v>
      </c>
      <c r="T55" s="91">
        <v>46049.0</v>
      </c>
      <c r="U55" s="9" t="s">
        <v>543</v>
      </c>
      <c r="V55" s="56" t="s">
        <v>358</v>
      </c>
      <c r="W55" s="57" t="b">
        <v>0</v>
      </c>
      <c r="X55" s="56" t="s">
        <v>1285</v>
      </c>
      <c r="Y55" s="53"/>
      <c r="Z55" s="58"/>
      <c r="AA55" s="4"/>
      <c r="AB55" s="4"/>
      <c r="AC55" s="4"/>
      <c r="AD55" s="4"/>
    </row>
    <row r="56">
      <c r="A56" s="5" t="s">
        <v>22</v>
      </c>
      <c r="B56" s="93" t="s">
        <v>1286</v>
      </c>
      <c r="C56" s="93" t="s">
        <v>1287</v>
      </c>
      <c r="D56" s="98" t="s">
        <v>365</v>
      </c>
      <c r="E56" s="98" t="s">
        <v>1288</v>
      </c>
      <c r="F56" s="96" t="s">
        <v>1289</v>
      </c>
      <c r="G56" s="97" t="s">
        <v>354</v>
      </c>
      <c r="H56" s="98" t="s">
        <v>355</v>
      </c>
      <c r="I56" s="96" t="s">
        <v>446</v>
      </c>
      <c r="J56" s="10" t="b">
        <v>1</v>
      </c>
      <c r="K56" s="10" t="b">
        <v>1</v>
      </c>
      <c r="L56" s="54" t="b">
        <v>1</v>
      </c>
      <c r="M56" s="10" t="b">
        <v>0</v>
      </c>
      <c r="N56" s="12" t="b">
        <v>0</v>
      </c>
      <c r="O56" s="12" t="b">
        <v>0</v>
      </c>
      <c r="P56" s="12" t="b">
        <v>0</v>
      </c>
      <c r="Q56" s="10" t="b">
        <v>0</v>
      </c>
      <c r="R56" s="10" t="b">
        <v>0</v>
      </c>
      <c r="S56" s="10" t="b">
        <v>0</v>
      </c>
      <c r="T56" s="91">
        <v>46042.0</v>
      </c>
      <c r="U56" s="9" t="s">
        <v>357</v>
      </c>
      <c r="V56" s="56" t="s">
        <v>358</v>
      </c>
      <c r="W56" s="57" t="b">
        <v>0</v>
      </c>
      <c r="X56" s="56" t="s">
        <v>1290</v>
      </c>
      <c r="Y56" s="53"/>
      <c r="Z56" s="58"/>
      <c r="AA56" s="4"/>
      <c r="AB56" s="4"/>
      <c r="AC56" s="4"/>
      <c r="AD56" s="4"/>
    </row>
    <row r="57">
      <c r="A57" s="5" t="s">
        <v>22</v>
      </c>
      <c r="B57" s="93" t="s">
        <v>1291</v>
      </c>
      <c r="C57" s="93" t="s">
        <v>1292</v>
      </c>
      <c r="D57" s="98" t="s">
        <v>351</v>
      </c>
      <c r="E57" s="98" t="s">
        <v>1293</v>
      </c>
      <c r="F57" s="96" t="s">
        <v>1203</v>
      </c>
      <c r="G57" s="97" t="s">
        <v>354</v>
      </c>
      <c r="H57" s="98" t="s">
        <v>368</v>
      </c>
      <c r="I57" s="96" t="s">
        <v>356</v>
      </c>
      <c r="J57" s="10" t="b">
        <v>1</v>
      </c>
      <c r="K57" s="10" t="b">
        <v>1</v>
      </c>
      <c r="L57" s="10" t="b">
        <v>1</v>
      </c>
      <c r="M57" s="10" t="b">
        <v>1</v>
      </c>
      <c r="N57" s="10" t="b">
        <v>1</v>
      </c>
      <c r="O57" s="10" t="b">
        <v>1</v>
      </c>
      <c r="P57" s="12" t="b">
        <v>0</v>
      </c>
      <c r="Q57" s="10" t="b">
        <v>0</v>
      </c>
      <c r="R57" s="10" t="b">
        <v>0</v>
      </c>
      <c r="S57" s="10" t="b">
        <v>0</v>
      </c>
      <c r="T57" s="91">
        <v>46079.0</v>
      </c>
      <c r="U57" s="9" t="s">
        <v>441</v>
      </c>
      <c r="V57" s="56" t="s">
        <v>362</v>
      </c>
      <c r="W57" s="57" t="b">
        <v>0</v>
      </c>
      <c r="X57" s="56" t="s">
        <v>1294</v>
      </c>
      <c r="Y57" s="53"/>
      <c r="Z57" s="58"/>
      <c r="AA57" s="4"/>
      <c r="AB57" s="4"/>
      <c r="AC57" s="4"/>
      <c r="AD57" s="4"/>
    </row>
    <row r="58">
      <c r="A58" s="5" t="s">
        <v>22</v>
      </c>
      <c r="B58" s="93" t="s">
        <v>1295</v>
      </c>
      <c r="C58" s="93" t="s">
        <v>1296</v>
      </c>
      <c r="D58" s="98" t="s">
        <v>351</v>
      </c>
      <c r="E58" s="98" t="s">
        <v>1297</v>
      </c>
      <c r="F58" s="96" t="s">
        <v>465</v>
      </c>
      <c r="G58" s="97" t="s">
        <v>354</v>
      </c>
      <c r="H58" s="98" t="s">
        <v>355</v>
      </c>
      <c r="I58" s="96" t="s">
        <v>356</v>
      </c>
      <c r="J58" s="10" t="b">
        <v>1</v>
      </c>
      <c r="K58" s="10" t="b">
        <v>1</v>
      </c>
      <c r="L58" s="10" t="b">
        <v>1</v>
      </c>
      <c r="M58" s="10" t="b">
        <v>1</v>
      </c>
      <c r="N58" s="10" t="b">
        <v>1</v>
      </c>
      <c r="O58" s="10" t="b">
        <v>1</v>
      </c>
      <c r="P58" s="12" t="b">
        <v>0</v>
      </c>
      <c r="Q58" s="10" t="b">
        <v>0</v>
      </c>
      <c r="R58" s="10" t="b">
        <v>0</v>
      </c>
      <c r="S58" s="10" t="b">
        <v>0</v>
      </c>
      <c r="T58" s="91">
        <v>46079.0</v>
      </c>
      <c r="U58" s="9" t="s">
        <v>361</v>
      </c>
      <c r="V58" s="56" t="s">
        <v>362</v>
      </c>
      <c r="W58" s="57" t="b">
        <v>0</v>
      </c>
      <c r="X58" s="56" t="s">
        <v>1298</v>
      </c>
      <c r="Y58" s="53"/>
      <c r="Z58" s="58"/>
      <c r="AA58" s="4"/>
      <c r="AB58" s="4"/>
      <c r="AC58" s="4"/>
      <c r="AD58" s="4"/>
    </row>
    <row r="59">
      <c r="A59" s="5" t="s">
        <v>22</v>
      </c>
      <c r="B59" s="93" t="s">
        <v>1299</v>
      </c>
      <c r="C59" s="93" t="s">
        <v>1300</v>
      </c>
      <c r="D59" s="98" t="s">
        <v>365</v>
      </c>
      <c r="E59" s="98" t="s">
        <v>1301</v>
      </c>
      <c r="F59" s="96" t="s">
        <v>1302</v>
      </c>
      <c r="G59" s="97" t="s">
        <v>354</v>
      </c>
      <c r="H59" s="98" t="s">
        <v>368</v>
      </c>
      <c r="I59" s="96" t="s">
        <v>356</v>
      </c>
      <c r="J59" s="54" t="b">
        <v>1</v>
      </c>
      <c r="K59" s="10" t="b">
        <v>0</v>
      </c>
      <c r="L59" s="10" t="b">
        <v>0</v>
      </c>
      <c r="M59" s="10" t="b">
        <v>0</v>
      </c>
      <c r="N59" s="12" t="b">
        <v>0</v>
      </c>
      <c r="O59" s="12" t="b">
        <v>0</v>
      </c>
      <c r="P59" s="12" t="b">
        <v>0</v>
      </c>
      <c r="Q59" s="10" t="b">
        <v>0</v>
      </c>
      <c r="R59" s="10" t="b">
        <v>0</v>
      </c>
      <c r="S59" s="10" t="b">
        <v>0</v>
      </c>
      <c r="T59" s="91">
        <v>46040.0</v>
      </c>
      <c r="U59" s="9" t="s">
        <v>357</v>
      </c>
      <c r="V59" s="56" t="s">
        <v>358</v>
      </c>
      <c r="W59" s="57" t="b">
        <v>0</v>
      </c>
      <c r="X59" s="56" t="s">
        <v>1303</v>
      </c>
      <c r="Y59" s="53"/>
      <c r="Z59" s="58"/>
      <c r="AA59" s="4"/>
      <c r="AB59" s="4"/>
      <c r="AC59" s="4"/>
      <c r="AD59" s="4"/>
    </row>
    <row r="60">
      <c r="A60" s="5" t="s">
        <v>22</v>
      </c>
      <c r="B60" s="93" t="s">
        <v>1304</v>
      </c>
      <c r="C60" s="93" t="s">
        <v>1305</v>
      </c>
      <c r="D60" s="98" t="s">
        <v>351</v>
      </c>
      <c r="E60" s="98" t="s">
        <v>1306</v>
      </c>
      <c r="F60" s="90" t="s">
        <v>409</v>
      </c>
      <c r="G60" s="97" t="s">
        <v>354</v>
      </c>
      <c r="H60" s="98" t="s">
        <v>475</v>
      </c>
      <c r="I60" s="96" t="s">
        <v>356</v>
      </c>
      <c r="J60" s="57" t="b">
        <v>1</v>
      </c>
      <c r="K60" s="67" t="b">
        <v>1</v>
      </c>
      <c r="L60" s="71" t="b">
        <v>1</v>
      </c>
      <c r="M60" s="71" t="b">
        <v>1</v>
      </c>
      <c r="N60" s="54" t="b">
        <v>1</v>
      </c>
      <c r="O60" s="12" t="b">
        <v>0</v>
      </c>
      <c r="P60" s="12" t="b">
        <v>0</v>
      </c>
      <c r="Q60" s="10" t="b">
        <v>0</v>
      </c>
      <c r="R60" s="10" t="b">
        <v>0</v>
      </c>
      <c r="S60" s="10" t="b">
        <v>0</v>
      </c>
      <c r="T60" s="91">
        <v>46060.0</v>
      </c>
      <c r="U60" s="9" t="s">
        <v>357</v>
      </c>
      <c r="V60" s="56" t="s">
        <v>358</v>
      </c>
      <c r="W60" s="54" t="b">
        <v>1</v>
      </c>
      <c r="X60" s="56" t="s">
        <v>1307</v>
      </c>
      <c r="Y60" s="6" t="s">
        <v>684</v>
      </c>
      <c r="Z60" s="56" t="s">
        <v>358</v>
      </c>
      <c r="AA60" s="9" t="s">
        <v>1308</v>
      </c>
      <c r="AB60" s="4"/>
      <c r="AC60" s="4"/>
      <c r="AD60" s="4"/>
    </row>
    <row r="61">
      <c r="A61" s="5" t="s">
        <v>22</v>
      </c>
      <c r="B61" s="93" t="s">
        <v>1309</v>
      </c>
      <c r="C61" s="93" t="s">
        <v>1310</v>
      </c>
      <c r="D61" s="98" t="s">
        <v>351</v>
      </c>
      <c r="E61" s="98" t="s">
        <v>1311</v>
      </c>
      <c r="F61" s="96" t="s">
        <v>409</v>
      </c>
      <c r="G61" s="97" t="s">
        <v>354</v>
      </c>
      <c r="H61" s="98" t="s">
        <v>368</v>
      </c>
      <c r="I61" s="96" t="s">
        <v>356</v>
      </c>
      <c r="J61" s="57" t="b">
        <v>1</v>
      </c>
      <c r="K61" s="57" t="b">
        <v>1</v>
      </c>
      <c r="L61" s="54" t="b">
        <v>1</v>
      </c>
      <c r="M61" s="10" t="b">
        <v>0</v>
      </c>
      <c r="N61" s="12" t="b">
        <v>0</v>
      </c>
      <c r="O61" s="12" t="b">
        <v>0</v>
      </c>
      <c r="P61" s="12" t="b">
        <v>0</v>
      </c>
      <c r="Q61" s="10" t="b">
        <v>0</v>
      </c>
      <c r="R61" s="10" t="b">
        <v>0</v>
      </c>
      <c r="S61" s="10" t="b">
        <v>0</v>
      </c>
      <c r="T61" s="91">
        <v>46046.0</v>
      </c>
      <c r="U61" s="9" t="s">
        <v>357</v>
      </c>
      <c r="V61" s="56" t="s">
        <v>358</v>
      </c>
      <c r="W61" s="54" t="b">
        <v>1</v>
      </c>
      <c r="X61" s="56" t="s">
        <v>1312</v>
      </c>
      <c r="Y61" s="6" t="s">
        <v>382</v>
      </c>
      <c r="Z61" s="56" t="s">
        <v>358</v>
      </c>
      <c r="AA61" s="9" t="s">
        <v>1313</v>
      </c>
      <c r="AB61" s="4"/>
      <c r="AC61" s="4"/>
      <c r="AD61" s="4"/>
    </row>
    <row r="62">
      <c r="A62" s="5" t="s">
        <v>22</v>
      </c>
      <c r="B62" s="93" t="s">
        <v>1314</v>
      </c>
      <c r="C62" s="93" t="s">
        <v>1315</v>
      </c>
      <c r="D62" s="98" t="s">
        <v>365</v>
      </c>
      <c r="E62" s="98" t="s">
        <v>1316</v>
      </c>
      <c r="F62" s="90" t="s">
        <v>465</v>
      </c>
      <c r="G62" s="97" t="s">
        <v>354</v>
      </c>
      <c r="H62" s="98" t="s">
        <v>400</v>
      </c>
      <c r="I62" s="96" t="s">
        <v>380</v>
      </c>
      <c r="J62" s="10" t="b">
        <v>1</v>
      </c>
      <c r="K62" s="57" t="b">
        <v>1</v>
      </c>
      <c r="L62" s="67" t="b">
        <v>1</v>
      </c>
      <c r="M62" s="71" t="b">
        <v>1</v>
      </c>
      <c r="N62" s="95" t="b">
        <v>1</v>
      </c>
      <c r="O62" s="12" t="b">
        <v>0</v>
      </c>
      <c r="P62" s="12" t="b">
        <v>0</v>
      </c>
      <c r="Q62" s="10" t="b">
        <v>0</v>
      </c>
      <c r="R62" s="10" t="b">
        <v>0</v>
      </c>
      <c r="S62" s="10" t="b">
        <v>0</v>
      </c>
      <c r="T62" s="91">
        <v>46051.0</v>
      </c>
      <c r="U62" s="9" t="s">
        <v>890</v>
      </c>
      <c r="V62" s="56" t="s">
        <v>891</v>
      </c>
      <c r="W62" s="57" t="b">
        <v>1</v>
      </c>
      <c r="X62" s="56" t="s">
        <v>1317</v>
      </c>
      <c r="Y62" s="6" t="s">
        <v>890</v>
      </c>
      <c r="Z62" s="56" t="s">
        <v>891</v>
      </c>
      <c r="AA62" s="9" t="s">
        <v>1318</v>
      </c>
      <c r="AB62" s="4"/>
      <c r="AC62" s="4"/>
      <c r="AD62" s="4"/>
    </row>
    <row r="63">
      <c r="A63" s="5" t="s">
        <v>22</v>
      </c>
      <c r="B63" s="93" t="s">
        <v>1319</v>
      </c>
      <c r="C63" s="93" t="s">
        <v>1320</v>
      </c>
      <c r="D63" s="98" t="s">
        <v>351</v>
      </c>
      <c r="E63" s="98" t="s">
        <v>1321</v>
      </c>
      <c r="F63" s="96" t="s">
        <v>393</v>
      </c>
      <c r="G63" s="97" t="s">
        <v>354</v>
      </c>
      <c r="H63" s="98" t="s">
        <v>355</v>
      </c>
      <c r="I63" s="96" t="s">
        <v>446</v>
      </c>
      <c r="J63" s="10" t="b">
        <v>1</v>
      </c>
      <c r="K63" s="10" t="b">
        <v>1</v>
      </c>
      <c r="L63" s="57" t="b">
        <v>1</v>
      </c>
      <c r="M63" s="57" t="b">
        <v>1</v>
      </c>
      <c r="N63" s="67" t="b">
        <v>1</v>
      </c>
      <c r="O63" s="54" t="b">
        <v>1</v>
      </c>
      <c r="P63" s="12" t="b">
        <v>0</v>
      </c>
      <c r="Q63" s="10" t="b">
        <v>0</v>
      </c>
      <c r="R63" s="10" t="b">
        <v>0</v>
      </c>
      <c r="S63" s="10" t="b">
        <v>0</v>
      </c>
      <c r="T63" s="91">
        <v>46060.0</v>
      </c>
      <c r="U63" s="9" t="s">
        <v>357</v>
      </c>
      <c r="V63" s="56" t="s">
        <v>358</v>
      </c>
      <c r="W63" s="54" t="b">
        <v>1</v>
      </c>
      <c r="X63" s="56" t="s">
        <v>1322</v>
      </c>
      <c r="Y63" s="6" t="s">
        <v>661</v>
      </c>
      <c r="Z63" s="56" t="s">
        <v>358</v>
      </c>
      <c r="AA63" s="9" t="s">
        <v>1323</v>
      </c>
      <c r="AB63" s="4"/>
      <c r="AC63" s="4"/>
      <c r="AD63" s="4"/>
    </row>
    <row r="64">
      <c r="A64" s="5" t="s">
        <v>22</v>
      </c>
      <c r="B64" s="93" t="s">
        <v>1324</v>
      </c>
      <c r="C64" s="93" t="s">
        <v>1325</v>
      </c>
      <c r="D64" s="98" t="s">
        <v>351</v>
      </c>
      <c r="E64" s="98" t="s">
        <v>1326</v>
      </c>
      <c r="F64" s="96" t="s">
        <v>1327</v>
      </c>
      <c r="G64" s="97" t="s">
        <v>354</v>
      </c>
      <c r="H64" s="98" t="s">
        <v>355</v>
      </c>
      <c r="I64" s="96" t="s">
        <v>356</v>
      </c>
      <c r="J64" s="54" t="b">
        <v>1</v>
      </c>
      <c r="K64" s="10" t="b">
        <v>0</v>
      </c>
      <c r="L64" s="10" t="b">
        <v>0</v>
      </c>
      <c r="M64" s="10" t="b">
        <v>0</v>
      </c>
      <c r="N64" s="12" t="b">
        <v>0</v>
      </c>
      <c r="O64" s="12" t="b">
        <v>0</v>
      </c>
      <c r="P64" s="12" t="b">
        <v>0</v>
      </c>
      <c r="Q64" s="10" t="b">
        <v>0</v>
      </c>
      <c r="R64" s="10" t="b">
        <v>0</v>
      </c>
      <c r="S64" s="10" t="b">
        <v>0</v>
      </c>
      <c r="T64" s="91">
        <v>46040.0</v>
      </c>
      <c r="U64" s="9" t="s">
        <v>357</v>
      </c>
      <c r="V64" s="56" t="s">
        <v>358</v>
      </c>
      <c r="W64" s="57" t="b">
        <v>0</v>
      </c>
      <c r="X64" s="9" t="s">
        <v>1328</v>
      </c>
      <c r="Y64" s="53"/>
      <c r="Z64" s="58"/>
      <c r="AA64" s="4"/>
      <c r="AB64" s="4"/>
      <c r="AC64" s="4"/>
      <c r="AD64" s="4"/>
    </row>
    <row r="65">
      <c r="A65" s="4"/>
      <c r="B65" s="93"/>
      <c r="C65" s="93"/>
      <c r="D65" s="4"/>
      <c r="E65" s="93"/>
      <c r="F65" s="93"/>
      <c r="G65" s="12"/>
      <c r="H65" s="93"/>
      <c r="I65" s="9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93"/>
      <c r="C66" s="93"/>
      <c r="D66" s="4"/>
      <c r="E66" s="93"/>
      <c r="F66" s="93"/>
      <c r="G66" s="12"/>
      <c r="H66" s="93"/>
      <c r="I66" s="9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93"/>
      <c r="C67" s="13" t="s">
        <v>4</v>
      </c>
      <c r="D67" s="4"/>
      <c r="E67" s="93"/>
      <c r="F67" s="93"/>
      <c r="G67" s="12"/>
      <c r="H67" s="93"/>
      <c r="I67" s="9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93"/>
      <c r="C68" s="93"/>
      <c r="D68" s="4"/>
      <c r="E68" s="93"/>
      <c r="F68" s="93"/>
      <c r="G68" s="12"/>
      <c r="H68" s="93"/>
      <c r="I68" s="9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93"/>
      <c r="C69" s="93"/>
      <c r="D69" s="4"/>
      <c r="E69" s="93"/>
      <c r="F69" s="93"/>
      <c r="G69" s="12"/>
      <c r="H69" s="93"/>
      <c r="I69" s="13" t="s">
        <v>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93"/>
      <c r="C70" s="93"/>
      <c r="D70" s="4"/>
      <c r="E70" s="93"/>
      <c r="F70" s="93"/>
      <c r="G70" s="12"/>
      <c r="H70" s="93"/>
      <c r="I70" s="9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93"/>
      <c r="C71" s="93"/>
      <c r="D71" s="4"/>
      <c r="E71" s="93"/>
      <c r="F71" s="93"/>
      <c r="G71" s="12"/>
      <c r="H71" s="93"/>
      <c r="I71" s="9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93"/>
      <c r="C72" s="93"/>
      <c r="D72" s="4"/>
      <c r="E72" s="93"/>
      <c r="F72" s="93"/>
      <c r="G72" s="12"/>
      <c r="H72" s="93"/>
      <c r="I72" s="9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93"/>
      <c r="C73" s="93"/>
      <c r="D73" s="4"/>
      <c r="E73" s="93"/>
      <c r="F73" s="93"/>
      <c r="G73" s="12"/>
      <c r="H73" s="93"/>
      <c r="I73" s="93"/>
      <c r="J73" s="4"/>
      <c r="K73" s="4"/>
      <c r="L73" s="4"/>
      <c r="M73" s="9" t="s">
        <v>4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93"/>
      <c r="C74" s="93"/>
      <c r="D74" s="4"/>
      <c r="E74" s="93"/>
      <c r="F74" s="93"/>
      <c r="G74" s="12"/>
      <c r="H74" s="93"/>
      <c r="I74" s="9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93"/>
      <c r="C75" s="93"/>
      <c r="D75" s="4"/>
      <c r="E75" s="93"/>
      <c r="F75" s="93"/>
      <c r="G75" s="12"/>
      <c r="H75" s="93"/>
      <c r="I75" s="9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93"/>
      <c r="C76" s="93"/>
      <c r="D76" s="4"/>
      <c r="E76" s="93"/>
      <c r="F76" s="93"/>
      <c r="G76" s="12"/>
      <c r="H76" s="93"/>
      <c r="I76" s="9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93"/>
      <c r="C77" s="93"/>
      <c r="D77" s="4"/>
      <c r="E77" s="93"/>
      <c r="F77" s="93"/>
      <c r="G77" s="12"/>
      <c r="H77" s="93"/>
      <c r="I77" s="9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93"/>
      <c r="C78" s="93"/>
      <c r="D78" s="4"/>
      <c r="E78" s="93"/>
      <c r="F78" s="93"/>
      <c r="G78" s="12"/>
      <c r="H78" s="93"/>
      <c r="I78" s="9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93"/>
      <c r="C79" s="93"/>
      <c r="D79" s="4"/>
      <c r="E79" s="93"/>
      <c r="F79" s="93"/>
      <c r="G79" s="12"/>
      <c r="H79" s="93"/>
      <c r="I79" s="9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93"/>
      <c r="C80" s="93"/>
      <c r="D80" s="4"/>
      <c r="E80" s="93"/>
      <c r="F80" s="93"/>
      <c r="G80" s="12"/>
      <c r="H80" s="93"/>
      <c r="I80" s="9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93"/>
      <c r="C81" s="93"/>
      <c r="D81" s="4"/>
      <c r="E81" s="93"/>
      <c r="F81" s="93"/>
      <c r="G81" s="12"/>
      <c r="H81" s="93"/>
      <c r="I81" s="9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93"/>
      <c r="C82" s="93"/>
      <c r="D82" s="4"/>
      <c r="E82" s="93"/>
      <c r="F82" s="93"/>
      <c r="G82" s="12"/>
      <c r="H82" s="93"/>
      <c r="I82" s="9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93"/>
      <c r="C83" s="93"/>
      <c r="D83" s="4"/>
      <c r="E83" s="93"/>
      <c r="F83" s="93"/>
      <c r="G83" s="12"/>
      <c r="H83" s="93"/>
      <c r="I83" s="9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93"/>
      <c r="C84" s="93"/>
      <c r="D84" s="4"/>
      <c r="E84" s="93"/>
      <c r="F84" s="93"/>
      <c r="G84" s="12"/>
      <c r="H84" s="93"/>
      <c r="I84" s="9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93"/>
      <c r="C85" s="93"/>
      <c r="D85" s="4"/>
      <c r="E85" s="93"/>
      <c r="F85" s="93"/>
      <c r="G85" s="12"/>
      <c r="H85" s="93"/>
      <c r="I85" s="9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93"/>
      <c r="C86" s="93"/>
      <c r="D86" s="4"/>
      <c r="E86" s="93"/>
      <c r="F86" s="93"/>
      <c r="G86" s="12"/>
      <c r="H86" s="93"/>
      <c r="I86" s="9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93"/>
      <c r="C87" s="93"/>
      <c r="D87" s="4"/>
      <c r="E87" s="93"/>
      <c r="F87" s="93"/>
      <c r="G87" s="12"/>
      <c r="H87" s="93"/>
      <c r="I87" s="9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93"/>
      <c r="C88" s="93"/>
      <c r="D88" s="4"/>
      <c r="E88" s="93"/>
      <c r="F88" s="93"/>
      <c r="G88" s="12"/>
      <c r="H88" s="93"/>
      <c r="I88" s="9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93"/>
      <c r="C89" s="93"/>
      <c r="D89" s="4"/>
      <c r="E89" s="93"/>
      <c r="F89" s="93"/>
      <c r="G89" s="12"/>
      <c r="H89" s="93"/>
      <c r="I89" s="9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93"/>
      <c r="C90" s="93"/>
      <c r="D90" s="4"/>
      <c r="E90" s="93"/>
      <c r="F90" s="93"/>
      <c r="G90" s="12"/>
      <c r="H90" s="93"/>
      <c r="I90" s="9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93"/>
      <c r="C91" s="93"/>
      <c r="D91" s="4"/>
      <c r="E91" s="93"/>
      <c r="F91" s="93"/>
      <c r="G91" s="12"/>
      <c r="H91" s="93"/>
      <c r="I91" s="9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93"/>
      <c r="C92" s="93"/>
      <c r="D92" s="4"/>
      <c r="E92" s="93"/>
      <c r="F92" s="93"/>
      <c r="G92" s="12"/>
      <c r="H92" s="93"/>
      <c r="I92" s="9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93"/>
      <c r="C93" s="93"/>
      <c r="D93" s="4"/>
      <c r="E93" s="93"/>
      <c r="F93" s="93"/>
      <c r="G93" s="12"/>
      <c r="H93" s="93"/>
      <c r="I93" s="9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93"/>
      <c r="C94" s="93"/>
      <c r="D94" s="4"/>
      <c r="E94" s="93"/>
      <c r="F94" s="93"/>
      <c r="G94" s="12"/>
      <c r="H94" s="93"/>
      <c r="I94" s="9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93"/>
      <c r="C95" s="93"/>
      <c r="D95" s="4"/>
      <c r="E95" s="93"/>
      <c r="F95" s="93"/>
      <c r="G95" s="12"/>
      <c r="H95" s="93"/>
      <c r="I95" s="9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93"/>
      <c r="C96" s="93"/>
      <c r="D96" s="4"/>
      <c r="E96" s="93"/>
      <c r="F96" s="93"/>
      <c r="G96" s="12"/>
      <c r="H96" s="93"/>
      <c r="I96" s="9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93"/>
      <c r="C97" s="93"/>
      <c r="D97" s="4"/>
      <c r="E97" s="93"/>
      <c r="F97" s="93"/>
      <c r="G97" s="12"/>
      <c r="H97" s="93"/>
      <c r="I97" s="9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93"/>
      <c r="C98" s="93"/>
      <c r="D98" s="4"/>
      <c r="E98" s="93"/>
      <c r="F98" s="93"/>
      <c r="G98" s="12"/>
      <c r="H98" s="93"/>
      <c r="I98" s="9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93"/>
      <c r="C99" s="93"/>
      <c r="D99" s="4"/>
      <c r="E99" s="93"/>
      <c r="F99" s="93"/>
      <c r="G99" s="12"/>
      <c r="H99" s="93"/>
      <c r="I99" s="9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93"/>
      <c r="C100" s="93"/>
      <c r="D100" s="4"/>
      <c r="E100" s="93"/>
      <c r="F100" s="93"/>
      <c r="G100" s="12"/>
      <c r="H100" s="93"/>
      <c r="I100" s="9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93"/>
      <c r="C101" s="93"/>
      <c r="D101" s="4"/>
      <c r="E101" s="93"/>
      <c r="F101" s="93"/>
      <c r="G101" s="12"/>
      <c r="H101" s="93"/>
      <c r="I101" s="9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93"/>
      <c r="C102" s="93"/>
      <c r="D102" s="4"/>
      <c r="E102" s="93"/>
      <c r="F102" s="93"/>
      <c r="G102" s="12"/>
      <c r="H102" s="93"/>
      <c r="I102" s="9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93"/>
      <c r="C103" s="93"/>
      <c r="D103" s="4"/>
      <c r="E103" s="93"/>
      <c r="F103" s="93"/>
      <c r="G103" s="12"/>
      <c r="H103" s="93"/>
      <c r="I103" s="9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93"/>
      <c r="C104" s="93"/>
      <c r="D104" s="4"/>
      <c r="E104" s="93"/>
      <c r="F104" s="93"/>
      <c r="G104" s="12"/>
      <c r="H104" s="93"/>
      <c r="I104" s="9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93"/>
      <c r="C105" s="93"/>
      <c r="D105" s="4"/>
      <c r="E105" s="93"/>
      <c r="F105" s="93"/>
      <c r="G105" s="12"/>
      <c r="H105" s="93"/>
      <c r="I105" s="9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93"/>
      <c r="C106" s="93"/>
      <c r="D106" s="4"/>
      <c r="E106" s="93"/>
      <c r="F106" s="93"/>
      <c r="G106" s="12"/>
      <c r="H106" s="93"/>
      <c r="I106" s="9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93"/>
      <c r="C107" s="93"/>
      <c r="D107" s="4"/>
      <c r="E107" s="93"/>
      <c r="F107" s="93"/>
      <c r="G107" s="12"/>
      <c r="H107" s="93"/>
      <c r="I107" s="9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93"/>
      <c r="C108" s="93"/>
      <c r="D108" s="4"/>
      <c r="E108" s="93"/>
      <c r="F108" s="93"/>
      <c r="G108" s="12"/>
      <c r="H108" s="93"/>
      <c r="I108" s="9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93"/>
      <c r="C109" s="93"/>
      <c r="D109" s="4"/>
      <c r="E109" s="93"/>
      <c r="F109" s="93"/>
      <c r="G109" s="12"/>
      <c r="H109" s="93"/>
      <c r="I109" s="9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93"/>
      <c r="C110" s="93"/>
      <c r="D110" s="4"/>
      <c r="E110" s="93"/>
      <c r="F110" s="93"/>
      <c r="G110" s="12"/>
      <c r="H110" s="93"/>
      <c r="I110" s="9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93"/>
      <c r="C111" s="93"/>
      <c r="D111" s="4"/>
      <c r="E111" s="93"/>
      <c r="F111" s="93"/>
      <c r="G111" s="12"/>
      <c r="H111" s="93"/>
      <c r="I111" s="9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93"/>
      <c r="C112" s="93"/>
      <c r="D112" s="4"/>
      <c r="E112" s="93"/>
      <c r="F112" s="93"/>
      <c r="G112" s="12"/>
      <c r="H112" s="93"/>
      <c r="I112" s="9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93"/>
      <c r="C113" s="93"/>
      <c r="D113" s="4"/>
      <c r="E113" s="93"/>
      <c r="F113" s="93"/>
      <c r="G113" s="12"/>
      <c r="H113" s="93"/>
      <c r="I113" s="9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93"/>
      <c r="C114" s="93"/>
      <c r="D114" s="4"/>
      <c r="E114" s="93"/>
      <c r="F114" s="93"/>
      <c r="G114" s="12"/>
      <c r="H114" s="93"/>
      <c r="I114" s="9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93"/>
      <c r="C115" s="93"/>
      <c r="D115" s="4"/>
      <c r="E115" s="93"/>
      <c r="F115" s="93"/>
      <c r="G115" s="12"/>
      <c r="H115" s="93"/>
      <c r="I115" s="9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93"/>
      <c r="C116" s="93"/>
      <c r="D116" s="4"/>
      <c r="E116" s="93"/>
      <c r="F116" s="93"/>
      <c r="G116" s="12"/>
      <c r="H116" s="93"/>
      <c r="I116" s="9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93"/>
      <c r="C117" s="93"/>
      <c r="D117" s="4"/>
      <c r="E117" s="93"/>
      <c r="F117" s="93"/>
      <c r="G117" s="12"/>
      <c r="H117" s="93"/>
      <c r="I117" s="9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93"/>
      <c r="C118" s="93"/>
      <c r="D118" s="4"/>
      <c r="E118" s="93"/>
      <c r="F118" s="93"/>
      <c r="G118" s="12"/>
      <c r="H118" s="93"/>
      <c r="I118" s="9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93"/>
      <c r="C119" s="93"/>
      <c r="D119" s="4"/>
      <c r="E119" s="93"/>
      <c r="F119" s="93"/>
      <c r="G119" s="12"/>
      <c r="H119" s="93"/>
      <c r="I119" s="9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93"/>
      <c r="C120" s="93"/>
      <c r="D120" s="4"/>
      <c r="E120" s="93"/>
      <c r="F120" s="93"/>
      <c r="G120" s="12"/>
      <c r="H120" s="93"/>
      <c r="I120" s="9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93"/>
      <c r="C121" s="93"/>
      <c r="D121" s="4"/>
      <c r="E121" s="93"/>
      <c r="F121" s="93"/>
      <c r="G121" s="12"/>
      <c r="H121" s="93"/>
      <c r="I121" s="9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93"/>
      <c r="C122" s="93"/>
      <c r="D122" s="4"/>
      <c r="E122" s="93"/>
      <c r="F122" s="93"/>
      <c r="G122" s="12"/>
      <c r="H122" s="93"/>
      <c r="I122" s="9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93"/>
      <c r="C123" s="93"/>
      <c r="D123" s="4"/>
      <c r="E123" s="93"/>
      <c r="F123" s="93"/>
      <c r="G123" s="12"/>
      <c r="H123" s="93"/>
      <c r="I123" s="9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93"/>
      <c r="C124" s="93"/>
      <c r="D124" s="4"/>
      <c r="E124" s="93"/>
      <c r="F124" s="93"/>
      <c r="G124" s="12"/>
      <c r="H124" s="93"/>
      <c r="I124" s="9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93"/>
      <c r="C125" s="93"/>
      <c r="D125" s="4"/>
      <c r="E125" s="93"/>
      <c r="F125" s="93"/>
      <c r="G125" s="12"/>
      <c r="H125" s="93"/>
      <c r="I125" s="9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93"/>
      <c r="C126" s="93"/>
      <c r="D126" s="4"/>
      <c r="E126" s="93"/>
      <c r="F126" s="93"/>
      <c r="G126" s="12"/>
      <c r="H126" s="93"/>
      <c r="I126" s="9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93"/>
      <c r="C127" s="93"/>
      <c r="D127" s="4"/>
      <c r="E127" s="93"/>
      <c r="F127" s="93"/>
      <c r="G127" s="12"/>
      <c r="H127" s="93"/>
      <c r="I127" s="9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93"/>
      <c r="C128" s="93"/>
      <c r="D128" s="4"/>
      <c r="E128" s="93"/>
      <c r="F128" s="93"/>
      <c r="G128" s="12"/>
      <c r="H128" s="93"/>
      <c r="I128" s="9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93"/>
      <c r="C129" s="93"/>
      <c r="D129" s="4"/>
      <c r="E129" s="93"/>
      <c r="F129" s="93"/>
      <c r="G129" s="12"/>
      <c r="H129" s="93"/>
      <c r="I129" s="9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93"/>
      <c r="C130" s="93"/>
      <c r="D130" s="4"/>
      <c r="E130" s="93"/>
      <c r="F130" s="93"/>
      <c r="G130" s="12"/>
      <c r="H130" s="93"/>
      <c r="I130" s="9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93"/>
      <c r="C131" s="93"/>
      <c r="D131" s="4"/>
      <c r="E131" s="93"/>
      <c r="F131" s="93"/>
      <c r="G131" s="12"/>
      <c r="H131" s="93"/>
      <c r="I131" s="9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93"/>
      <c r="C132" s="93"/>
      <c r="D132" s="4"/>
      <c r="E132" s="93"/>
      <c r="F132" s="93"/>
      <c r="G132" s="12"/>
      <c r="H132" s="93"/>
      <c r="I132" s="9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93"/>
      <c r="C133" s="93"/>
      <c r="D133" s="4"/>
      <c r="E133" s="93"/>
      <c r="F133" s="93"/>
      <c r="G133" s="12"/>
      <c r="H133" s="93"/>
      <c r="I133" s="9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93"/>
      <c r="C134" s="93"/>
      <c r="D134" s="4"/>
      <c r="E134" s="93"/>
      <c r="F134" s="93"/>
      <c r="G134" s="12"/>
      <c r="H134" s="93"/>
      <c r="I134" s="9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93"/>
      <c r="C135" s="93"/>
      <c r="D135" s="4"/>
      <c r="E135" s="93"/>
      <c r="F135" s="93"/>
      <c r="G135" s="12"/>
      <c r="H135" s="93"/>
      <c r="I135" s="9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93"/>
      <c r="C136" s="93"/>
      <c r="D136" s="4"/>
      <c r="E136" s="93"/>
      <c r="F136" s="93"/>
      <c r="G136" s="12"/>
      <c r="H136" s="93"/>
      <c r="I136" s="9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93"/>
      <c r="C137" s="93"/>
      <c r="D137" s="4"/>
      <c r="E137" s="93"/>
      <c r="F137" s="93"/>
      <c r="G137" s="12"/>
      <c r="H137" s="93"/>
      <c r="I137" s="9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93"/>
      <c r="C138" s="93"/>
      <c r="D138" s="4"/>
      <c r="E138" s="93"/>
      <c r="F138" s="93"/>
      <c r="G138" s="12"/>
      <c r="H138" s="93"/>
      <c r="I138" s="9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93"/>
      <c r="C139" s="93"/>
      <c r="D139" s="4"/>
      <c r="E139" s="93"/>
      <c r="F139" s="93"/>
      <c r="G139" s="12"/>
      <c r="H139" s="93"/>
      <c r="I139" s="9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93"/>
      <c r="C140" s="93"/>
      <c r="D140" s="4"/>
      <c r="E140" s="93"/>
      <c r="F140" s="93"/>
      <c r="G140" s="12"/>
      <c r="H140" s="93"/>
      <c r="I140" s="9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93"/>
      <c r="C141" s="93"/>
      <c r="D141" s="4"/>
      <c r="E141" s="93"/>
      <c r="F141" s="93"/>
      <c r="G141" s="12"/>
      <c r="H141" s="93"/>
      <c r="I141" s="9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93"/>
      <c r="C142" s="93"/>
      <c r="D142" s="4"/>
      <c r="E142" s="93"/>
      <c r="F142" s="93"/>
      <c r="G142" s="12"/>
      <c r="H142" s="93"/>
      <c r="I142" s="9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93"/>
      <c r="C143" s="93"/>
      <c r="D143" s="4"/>
      <c r="E143" s="93"/>
      <c r="F143" s="93"/>
      <c r="G143" s="12"/>
      <c r="H143" s="93"/>
      <c r="I143" s="9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93"/>
      <c r="C144" s="93"/>
      <c r="D144" s="4"/>
      <c r="E144" s="93"/>
      <c r="F144" s="93"/>
      <c r="G144" s="12"/>
      <c r="H144" s="93"/>
      <c r="I144" s="9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93"/>
      <c r="C145" s="93"/>
      <c r="D145" s="4"/>
      <c r="E145" s="93"/>
      <c r="F145" s="93"/>
      <c r="G145" s="12"/>
      <c r="H145" s="93"/>
      <c r="I145" s="9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93"/>
      <c r="C146" s="93"/>
      <c r="D146" s="4"/>
      <c r="E146" s="93"/>
      <c r="F146" s="93"/>
      <c r="G146" s="12"/>
      <c r="H146" s="93"/>
      <c r="I146" s="9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93"/>
      <c r="C147" s="93"/>
      <c r="D147" s="4"/>
      <c r="E147" s="93"/>
      <c r="F147" s="93"/>
      <c r="G147" s="12"/>
      <c r="H147" s="93"/>
      <c r="I147" s="9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93"/>
      <c r="C148" s="93"/>
      <c r="D148" s="4"/>
      <c r="E148" s="93"/>
      <c r="F148" s="93"/>
      <c r="G148" s="12"/>
      <c r="H148" s="93"/>
      <c r="I148" s="9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93"/>
      <c r="C149" s="93"/>
      <c r="D149" s="4"/>
      <c r="E149" s="93"/>
      <c r="F149" s="93"/>
      <c r="G149" s="12"/>
      <c r="H149" s="93"/>
      <c r="I149" s="9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93"/>
      <c r="C150" s="93"/>
      <c r="D150" s="4"/>
      <c r="E150" s="93"/>
      <c r="F150" s="93"/>
      <c r="G150" s="12"/>
      <c r="H150" s="93"/>
      <c r="I150" s="9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93"/>
      <c r="C151" s="93"/>
      <c r="D151" s="4"/>
      <c r="E151" s="93"/>
      <c r="F151" s="93"/>
      <c r="G151" s="12"/>
      <c r="H151" s="93"/>
      <c r="I151" s="9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93"/>
      <c r="C152" s="93"/>
      <c r="D152" s="4"/>
      <c r="E152" s="93"/>
      <c r="F152" s="93"/>
      <c r="G152" s="12"/>
      <c r="H152" s="93"/>
      <c r="I152" s="9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93"/>
      <c r="C153" s="93"/>
      <c r="D153" s="4"/>
      <c r="E153" s="93"/>
      <c r="F153" s="93"/>
      <c r="G153" s="12"/>
      <c r="H153" s="93"/>
      <c r="I153" s="9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93"/>
      <c r="C154" s="93"/>
      <c r="D154" s="4"/>
      <c r="E154" s="93"/>
      <c r="F154" s="93"/>
      <c r="G154" s="12"/>
      <c r="H154" s="93"/>
      <c r="I154" s="9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93"/>
      <c r="C155" s="93"/>
      <c r="D155" s="4"/>
      <c r="E155" s="93"/>
      <c r="F155" s="93"/>
      <c r="G155" s="12"/>
      <c r="H155" s="93"/>
      <c r="I155" s="9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93"/>
      <c r="C156" s="93"/>
      <c r="D156" s="4"/>
      <c r="E156" s="93"/>
      <c r="F156" s="93"/>
      <c r="G156" s="12"/>
      <c r="H156" s="93"/>
      <c r="I156" s="9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93"/>
      <c r="C157" s="93"/>
      <c r="D157" s="4"/>
      <c r="E157" s="93"/>
      <c r="F157" s="93"/>
      <c r="G157" s="12"/>
      <c r="H157" s="93"/>
      <c r="I157" s="9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93"/>
      <c r="C158" s="93"/>
      <c r="D158" s="4"/>
      <c r="E158" s="93"/>
      <c r="F158" s="93"/>
      <c r="G158" s="12"/>
      <c r="H158" s="93"/>
      <c r="I158" s="9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93"/>
      <c r="C159" s="93"/>
      <c r="D159" s="4"/>
      <c r="E159" s="93"/>
      <c r="F159" s="93"/>
      <c r="G159" s="12"/>
      <c r="H159" s="93"/>
      <c r="I159" s="9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93"/>
      <c r="C160" s="93"/>
      <c r="D160" s="4"/>
      <c r="E160" s="93"/>
      <c r="F160" s="93"/>
      <c r="G160" s="12"/>
      <c r="H160" s="93"/>
      <c r="I160" s="9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93"/>
      <c r="C161" s="93"/>
      <c r="D161" s="4"/>
      <c r="E161" s="93"/>
      <c r="F161" s="93"/>
      <c r="G161" s="12"/>
      <c r="H161" s="93"/>
      <c r="I161" s="9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93"/>
      <c r="C162" s="93"/>
      <c r="D162" s="4"/>
      <c r="E162" s="93"/>
      <c r="F162" s="93"/>
      <c r="G162" s="12"/>
      <c r="H162" s="93"/>
      <c r="I162" s="9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93"/>
      <c r="C163" s="93"/>
      <c r="D163" s="4"/>
      <c r="E163" s="93"/>
      <c r="F163" s="93"/>
      <c r="G163" s="12"/>
      <c r="H163" s="93"/>
      <c r="I163" s="9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93"/>
      <c r="C164" s="93"/>
      <c r="D164" s="4"/>
      <c r="E164" s="93"/>
      <c r="F164" s="93"/>
      <c r="G164" s="12"/>
      <c r="H164" s="93"/>
      <c r="I164" s="9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93"/>
      <c r="C165" s="93"/>
      <c r="D165" s="4"/>
      <c r="E165" s="93"/>
      <c r="F165" s="93"/>
      <c r="G165" s="12"/>
      <c r="H165" s="93"/>
      <c r="I165" s="9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93"/>
      <c r="C166" s="93"/>
      <c r="D166" s="4"/>
      <c r="E166" s="93"/>
      <c r="F166" s="93"/>
      <c r="G166" s="12"/>
      <c r="H166" s="93"/>
      <c r="I166" s="9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93"/>
      <c r="C167" s="93"/>
      <c r="D167" s="4"/>
      <c r="E167" s="93"/>
      <c r="F167" s="93"/>
      <c r="G167" s="12"/>
      <c r="H167" s="93"/>
      <c r="I167" s="9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93"/>
      <c r="C168" s="93"/>
      <c r="D168" s="4"/>
      <c r="E168" s="93"/>
      <c r="F168" s="93"/>
      <c r="G168" s="12"/>
      <c r="H168" s="93"/>
      <c r="I168" s="9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93"/>
      <c r="C169" s="93"/>
      <c r="D169" s="4"/>
      <c r="E169" s="93"/>
      <c r="F169" s="93"/>
      <c r="G169" s="12"/>
      <c r="H169" s="93"/>
      <c r="I169" s="9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93"/>
      <c r="C170" s="93"/>
      <c r="D170" s="4"/>
      <c r="E170" s="93"/>
      <c r="F170" s="93"/>
      <c r="G170" s="12"/>
      <c r="H170" s="93"/>
      <c r="I170" s="9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93"/>
      <c r="C171" s="93"/>
      <c r="D171" s="4"/>
      <c r="E171" s="93"/>
      <c r="F171" s="93"/>
      <c r="G171" s="12"/>
      <c r="H171" s="93"/>
      <c r="I171" s="9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93"/>
      <c r="C172" s="93"/>
      <c r="D172" s="4"/>
      <c r="E172" s="93"/>
      <c r="F172" s="93"/>
      <c r="G172" s="12"/>
      <c r="H172" s="93"/>
      <c r="I172" s="9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93"/>
      <c r="C173" s="93"/>
      <c r="D173" s="4"/>
      <c r="E173" s="93"/>
      <c r="F173" s="93"/>
      <c r="G173" s="12"/>
      <c r="H173" s="93"/>
      <c r="I173" s="9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93"/>
      <c r="C174" s="93"/>
      <c r="D174" s="4"/>
      <c r="E174" s="93"/>
      <c r="F174" s="93"/>
      <c r="G174" s="12"/>
      <c r="H174" s="93"/>
      <c r="I174" s="9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93"/>
      <c r="C175" s="93"/>
      <c r="D175" s="4"/>
      <c r="E175" s="93"/>
      <c r="F175" s="93"/>
      <c r="G175" s="12"/>
      <c r="H175" s="93"/>
      <c r="I175" s="9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93"/>
      <c r="C176" s="93"/>
      <c r="D176" s="4"/>
      <c r="E176" s="93"/>
      <c r="F176" s="93"/>
      <c r="G176" s="12"/>
      <c r="H176" s="93"/>
      <c r="I176" s="9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93"/>
      <c r="C177" s="93"/>
      <c r="D177" s="4"/>
      <c r="E177" s="93"/>
      <c r="F177" s="93"/>
      <c r="G177" s="12"/>
      <c r="H177" s="93"/>
      <c r="I177" s="9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93"/>
      <c r="C178" s="93"/>
      <c r="D178" s="4"/>
      <c r="E178" s="93"/>
      <c r="F178" s="93"/>
      <c r="G178" s="12"/>
      <c r="H178" s="93"/>
      <c r="I178" s="9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93"/>
      <c r="C179" s="93"/>
      <c r="D179" s="4"/>
      <c r="E179" s="93"/>
      <c r="F179" s="93"/>
      <c r="G179" s="12"/>
      <c r="H179" s="93"/>
      <c r="I179" s="9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93"/>
      <c r="C180" s="93"/>
      <c r="D180" s="4"/>
      <c r="E180" s="93"/>
      <c r="F180" s="93"/>
      <c r="G180" s="12"/>
      <c r="H180" s="93"/>
      <c r="I180" s="9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93"/>
      <c r="C181" s="93"/>
      <c r="D181" s="4"/>
      <c r="E181" s="93"/>
      <c r="F181" s="93"/>
      <c r="G181" s="12"/>
      <c r="H181" s="93"/>
      <c r="I181" s="9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93"/>
      <c r="C182" s="93"/>
      <c r="D182" s="4"/>
      <c r="E182" s="93"/>
      <c r="F182" s="93"/>
      <c r="G182" s="12"/>
      <c r="H182" s="93"/>
      <c r="I182" s="9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93"/>
      <c r="C183" s="93"/>
      <c r="D183" s="4"/>
      <c r="E183" s="93"/>
      <c r="F183" s="93"/>
      <c r="G183" s="12"/>
      <c r="H183" s="93"/>
      <c r="I183" s="9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93"/>
      <c r="C184" s="93"/>
      <c r="D184" s="4"/>
      <c r="E184" s="93"/>
      <c r="F184" s="93"/>
      <c r="G184" s="12"/>
      <c r="H184" s="93"/>
      <c r="I184" s="9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93"/>
      <c r="C185" s="93"/>
      <c r="D185" s="4"/>
      <c r="E185" s="93"/>
      <c r="F185" s="93"/>
      <c r="G185" s="12"/>
      <c r="H185" s="93"/>
      <c r="I185" s="9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93"/>
      <c r="C186" s="93"/>
      <c r="D186" s="4"/>
      <c r="E186" s="93"/>
      <c r="F186" s="93"/>
      <c r="G186" s="12"/>
      <c r="H186" s="93"/>
      <c r="I186" s="9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93"/>
      <c r="C187" s="93"/>
      <c r="D187" s="4"/>
      <c r="E187" s="93"/>
      <c r="F187" s="93"/>
      <c r="G187" s="12"/>
      <c r="H187" s="93"/>
      <c r="I187" s="9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93"/>
      <c r="C188" s="93"/>
      <c r="D188" s="4"/>
      <c r="E188" s="93"/>
      <c r="F188" s="93"/>
      <c r="G188" s="12"/>
      <c r="H188" s="93"/>
      <c r="I188" s="9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93"/>
      <c r="C189" s="93"/>
      <c r="D189" s="4"/>
      <c r="E189" s="93"/>
      <c r="F189" s="93"/>
      <c r="G189" s="12"/>
      <c r="H189" s="93"/>
      <c r="I189" s="9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93"/>
      <c r="C190" s="93"/>
      <c r="D190" s="4"/>
      <c r="E190" s="93"/>
      <c r="F190" s="93"/>
      <c r="G190" s="12"/>
      <c r="H190" s="93"/>
      <c r="I190" s="9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93"/>
      <c r="C191" s="93"/>
      <c r="D191" s="4"/>
      <c r="E191" s="93"/>
      <c r="F191" s="93"/>
      <c r="G191" s="12"/>
      <c r="H191" s="93"/>
      <c r="I191" s="9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93"/>
      <c r="C192" s="93"/>
      <c r="D192" s="4"/>
      <c r="E192" s="93"/>
      <c r="F192" s="93"/>
      <c r="G192" s="12"/>
      <c r="H192" s="93"/>
      <c r="I192" s="9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93"/>
      <c r="C193" s="93"/>
      <c r="D193" s="4"/>
      <c r="E193" s="93"/>
      <c r="F193" s="93"/>
      <c r="G193" s="12"/>
      <c r="H193" s="93"/>
      <c r="I193" s="9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93"/>
      <c r="C194" s="93"/>
      <c r="D194" s="4"/>
      <c r="E194" s="93"/>
      <c r="F194" s="93"/>
      <c r="G194" s="12"/>
      <c r="H194" s="93"/>
      <c r="I194" s="9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93"/>
      <c r="C195" s="93"/>
      <c r="D195" s="4"/>
      <c r="E195" s="93"/>
      <c r="F195" s="93"/>
      <c r="G195" s="12"/>
      <c r="H195" s="93"/>
      <c r="I195" s="9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93"/>
      <c r="C196" s="93"/>
      <c r="D196" s="4"/>
      <c r="E196" s="93"/>
      <c r="F196" s="93"/>
      <c r="G196" s="12"/>
      <c r="H196" s="93"/>
      <c r="I196" s="9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93"/>
      <c r="C197" s="93"/>
      <c r="D197" s="4"/>
      <c r="E197" s="93"/>
      <c r="F197" s="93"/>
      <c r="G197" s="12"/>
      <c r="H197" s="93"/>
      <c r="I197" s="9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93"/>
      <c r="C198" s="93"/>
      <c r="D198" s="4"/>
      <c r="E198" s="93"/>
      <c r="F198" s="93"/>
      <c r="G198" s="12"/>
      <c r="H198" s="93"/>
      <c r="I198" s="9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93"/>
      <c r="C199" s="93"/>
      <c r="D199" s="4"/>
      <c r="E199" s="93"/>
      <c r="F199" s="93"/>
      <c r="G199" s="12"/>
      <c r="H199" s="93"/>
      <c r="I199" s="9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93"/>
      <c r="C200" s="93"/>
      <c r="D200" s="4"/>
      <c r="E200" s="93"/>
      <c r="F200" s="93"/>
      <c r="G200" s="12"/>
      <c r="H200" s="93"/>
      <c r="I200" s="9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93"/>
      <c r="C201" s="93"/>
      <c r="D201" s="4"/>
      <c r="E201" s="93"/>
      <c r="F201" s="93"/>
      <c r="G201" s="12"/>
      <c r="H201" s="93"/>
      <c r="I201" s="9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93"/>
      <c r="C202" s="93"/>
      <c r="D202" s="4"/>
      <c r="E202" s="93"/>
      <c r="F202" s="93"/>
      <c r="G202" s="12"/>
      <c r="H202" s="93"/>
      <c r="I202" s="9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93"/>
      <c r="C203" s="93"/>
      <c r="D203" s="4"/>
      <c r="E203" s="93"/>
      <c r="F203" s="93"/>
      <c r="G203" s="12"/>
      <c r="H203" s="93"/>
      <c r="I203" s="9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93"/>
      <c r="C204" s="93"/>
      <c r="D204" s="4"/>
      <c r="E204" s="93"/>
      <c r="F204" s="93"/>
      <c r="G204" s="12"/>
      <c r="H204" s="93"/>
      <c r="I204" s="9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93"/>
      <c r="C205" s="93"/>
      <c r="D205" s="4"/>
      <c r="E205" s="93"/>
      <c r="F205" s="93"/>
      <c r="G205" s="12"/>
      <c r="H205" s="93"/>
      <c r="I205" s="9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93"/>
      <c r="C206" s="93"/>
      <c r="D206" s="4"/>
      <c r="E206" s="93"/>
      <c r="F206" s="93"/>
      <c r="G206" s="12"/>
      <c r="H206" s="93"/>
      <c r="I206" s="9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93"/>
      <c r="C207" s="93"/>
      <c r="D207" s="4"/>
      <c r="E207" s="93"/>
      <c r="F207" s="93"/>
      <c r="G207" s="12"/>
      <c r="H207" s="93"/>
      <c r="I207" s="9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93"/>
      <c r="C208" s="93"/>
      <c r="D208" s="4"/>
      <c r="E208" s="93"/>
      <c r="F208" s="93"/>
      <c r="G208" s="12"/>
      <c r="H208" s="93"/>
      <c r="I208" s="9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93"/>
      <c r="C209" s="93"/>
      <c r="D209" s="4"/>
      <c r="E209" s="93"/>
      <c r="F209" s="93"/>
      <c r="G209" s="12"/>
      <c r="H209" s="93"/>
      <c r="I209" s="9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93"/>
      <c r="C210" s="93"/>
      <c r="D210" s="4"/>
      <c r="E210" s="93"/>
      <c r="F210" s="93"/>
      <c r="G210" s="12"/>
      <c r="H210" s="93"/>
      <c r="I210" s="9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93"/>
      <c r="C211" s="93"/>
      <c r="D211" s="4"/>
      <c r="E211" s="93"/>
      <c r="F211" s="93"/>
      <c r="G211" s="12"/>
      <c r="H211" s="93"/>
      <c r="I211" s="9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93"/>
      <c r="C212" s="93"/>
      <c r="D212" s="4"/>
      <c r="E212" s="93"/>
      <c r="F212" s="93"/>
      <c r="G212" s="12"/>
      <c r="H212" s="93"/>
      <c r="I212" s="9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93"/>
      <c r="C213" s="93"/>
      <c r="D213" s="4"/>
      <c r="E213" s="93"/>
      <c r="F213" s="93"/>
      <c r="G213" s="12"/>
      <c r="H213" s="93"/>
      <c r="I213" s="9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93"/>
      <c r="C214" s="93"/>
      <c r="D214" s="4"/>
      <c r="E214" s="93"/>
      <c r="F214" s="93"/>
      <c r="G214" s="12"/>
      <c r="H214" s="93"/>
      <c r="I214" s="9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93"/>
      <c r="C215" s="93"/>
      <c r="D215" s="4"/>
      <c r="E215" s="93"/>
      <c r="F215" s="93"/>
      <c r="G215" s="12"/>
      <c r="H215" s="93"/>
      <c r="I215" s="9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93"/>
      <c r="C216" s="93"/>
      <c r="D216" s="4"/>
      <c r="E216" s="93"/>
      <c r="F216" s="93"/>
      <c r="G216" s="12"/>
      <c r="H216" s="93"/>
      <c r="I216" s="9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93"/>
      <c r="C217" s="93"/>
      <c r="D217" s="4"/>
      <c r="E217" s="93"/>
      <c r="F217" s="93"/>
      <c r="G217" s="12"/>
      <c r="H217" s="93"/>
      <c r="I217" s="9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93"/>
      <c r="C218" s="93"/>
      <c r="D218" s="4"/>
      <c r="E218" s="93"/>
      <c r="F218" s="93"/>
      <c r="G218" s="12"/>
      <c r="H218" s="93"/>
      <c r="I218" s="9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93"/>
      <c r="C219" s="93"/>
      <c r="D219" s="4"/>
      <c r="E219" s="93"/>
      <c r="F219" s="93"/>
      <c r="G219" s="12"/>
      <c r="H219" s="93"/>
      <c r="I219" s="9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93"/>
      <c r="C220" s="93"/>
      <c r="D220" s="4"/>
      <c r="E220" s="93"/>
      <c r="F220" s="93"/>
      <c r="G220" s="12"/>
      <c r="H220" s="93"/>
      <c r="I220" s="9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93"/>
      <c r="C221" s="93"/>
      <c r="D221" s="4"/>
      <c r="E221" s="93"/>
      <c r="F221" s="93"/>
      <c r="G221" s="12"/>
      <c r="H221" s="93"/>
      <c r="I221" s="9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93"/>
      <c r="C222" s="93"/>
      <c r="D222" s="4"/>
      <c r="E222" s="93"/>
      <c r="F222" s="93"/>
      <c r="G222" s="12"/>
      <c r="H222" s="93"/>
      <c r="I222" s="9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93"/>
      <c r="C223" s="93"/>
      <c r="D223" s="4"/>
      <c r="E223" s="93"/>
      <c r="F223" s="93"/>
      <c r="G223" s="12"/>
      <c r="H223" s="93"/>
      <c r="I223" s="9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93"/>
      <c r="C224" s="93"/>
      <c r="D224" s="4"/>
      <c r="E224" s="93"/>
      <c r="F224" s="93"/>
      <c r="G224" s="12"/>
      <c r="H224" s="93"/>
      <c r="I224" s="9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93"/>
      <c r="C225" s="93"/>
      <c r="D225" s="4"/>
      <c r="E225" s="93"/>
      <c r="F225" s="93"/>
      <c r="G225" s="12"/>
      <c r="H225" s="93"/>
      <c r="I225" s="9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93"/>
      <c r="C226" s="93"/>
      <c r="D226" s="4"/>
      <c r="E226" s="93"/>
      <c r="F226" s="93"/>
      <c r="G226" s="12"/>
      <c r="H226" s="93"/>
      <c r="I226" s="9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93"/>
      <c r="C227" s="93"/>
      <c r="D227" s="4"/>
      <c r="E227" s="93"/>
      <c r="F227" s="93"/>
      <c r="G227" s="12"/>
      <c r="H227" s="93"/>
      <c r="I227" s="9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93"/>
      <c r="C228" s="93"/>
      <c r="D228" s="4"/>
      <c r="E228" s="93"/>
      <c r="F228" s="93"/>
      <c r="G228" s="12"/>
      <c r="H228" s="93"/>
      <c r="I228" s="9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93"/>
      <c r="C229" s="93"/>
      <c r="D229" s="4"/>
      <c r="E229" s="93"/>
      <c r="F229" s="93"/>
      <c r="G229" s="12"/>
      <c r="H229" s="93"/>
      <c r="I229" s="9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93"/>
      <c r="C230" s="93"/>
      <c r="D230" s="4"/>
      <c r="E230" s="93"/>
      <c r="F230" s="93"/>
      <c r="G230" s="12"/>
      <c r="H230" s="93"/>
      <c r="I230" s="9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93"/>
      <c r="C231" s="93"/>
      <c r="D231" s="4"/>
      <c r="E231" s="93"/>
      <c r="F231" s="93"/>
      <c r="G231" s="12"/>
      <c r="H231" s="93"/>
      <c r="I231" s="9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93"/>
      <c r="C232" s="93"/>
      <c r="D232" s="4"/>
      <c r="E232" s="93"/>
      <c r="F232" s="93"/>
      <c r="G232" s="12"/>
      <c r="H232" s="93"/>
      <c r="I232" s="9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93"/>
      <c r="C233" s="93"/>
      <c r="D233" s="4"/>
      <c r="E233" s="93"/>
      <c r="F233" s="93"/>
      <c r="G233" s="12"/>
      <c r="H233" s="93"/>
      <c r="I233" s="9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93"/>
      <c r="C234" s="93"/>
      <c r="D234" s="4"/>
      <c r="E234" s="93"/>
      <c r="F234" s="93"/>
      <c r="G234" s="12"/>
      <c r="H234" s="93"/>
      <c r="I234" s="9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93"/>
      <c r="C235" s="93"/>
      <c r="D235" s="4"/>
      <c r="E235" s="93"/>
      <c r="F235" s="93"/>
      <c r="G235" s="12"/>
      <c r="H235" s="93"/>
      <c r="I235" s="9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93"/>
      <c r="C236" s="93"/>
      <c r="D236" s="4"/>
      <c r="E236" s="93"/>
      <c r="F236" s="93"/>
      <c r="G236" s="12"/>
      <c r="H236" s="93"/>
      <c r="I236" s="9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93"/>
      <c r="C237" s="93"/>
      <c r="D237" s="4"/>
      <c r="E237" s="93"/>
      <c r="F237" s="93"/>
      <c r="G237" s="12"/>
      <c r="H237" s="93"/>
      <c r="I237" s="9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93"/>
      <c r="C238" s="93"/>
      <c r="D238" s="4"/>
      <c r="E238" s="93"/>
      <c r="F238" s="93"/>
      <c r="G238" s="12"/>
      <c r="H238" s="93"/>
      <c r="I238" s="9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93"/>
      <c r="C239" s="93"/>
      <c r="D239" s="4"/>
      <c r="E239" s="93"/>
      <c r="F239" s="93"/>
      <c r="G239" s="12"/>
      <c r="H239" s="93"/>
      <c r="I239" s="9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93"/>
      <c r="C240" s="93"/>
      <c r="D240" s="4"/>
      <c r="E240" s="93"/>
      <c r="F240" s="93"/>
      <c r="G240" s="12"/>
      <c r="H240" s="93"/>
      <c r="I240" s="9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93"/>
      <c r="C241" s="93"/>
      <c r="D241" s="4"/>
      <c r="E241" s="93"/>
      <c r="F241" s="93"/>
      <c r="G241" s="12"/>
      <c r="H241" s="93"/>
      <c r="I241" s="9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93"/>
      <c r="C242" s="93"/>
      <c r="D242" s="4"/>
      <c r="E242" s="93"/>
      <c r="F242" s="93"/>
      <c r="G242" s="12"/>
      <c r="H242" s="93"/>
      <c r="I242" s="9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93"/>
      <c r="C243" s="93"/>
      <c r="D243" s="4"/>
      <c r="E243" s="93"/>
      <c r="F243" s="93"/>
      <c r="G243" s="12"/>
      <c r="H243" s="93"/>
      <c r="I243" s="9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93"/>
      <c r="C244" s="93"/>
      <c r="D244" s="4"/>
      <c r="E244" s="93"/>
      <c r="F244" s="93"/>
      <c r="G244" s="12"/>
      <c r="H244" s="93"/>
      <c r="I244" s="9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93"/>
      <c r="C245" s="93"/>
      <c r="D245" s="4"/>
      <c r="E245" s="93"/>
      <c r="F245" s="93"/>
      <c r="G245" s="12"/>
      <c r="H245" s="93"/>
      <c r="I245" s="9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93"/>
      <c r="C246" s="93"/>
      <c r="D246" s="4"/>
      <c r="E246" s="93"/>
      <c r="F246" s="93"/>
      <c r="G246" s="12"/>
      <c r="H246" s="93"/>
      <c r="I246" s="9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93"/>
      <c r="C247" s="93"/>
      <c r="D247" s="4"/>
      <c r="E247" s="93"/>
      <c r="F247" s="93"/>
      <c r="G247" s="12"/>
      <c r="H247" s="93"/>
      <c r="I247" s="9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93"/>
      <c r="C248" s="93"/>
      <c r="D248" s="4"/>
      <c r="E248" s="93"/>
      <c r="F248" s="93"/>
      <c r="G248" s="12"/>
      <c r="H248" s="93"/>
      <c r="I248" s="9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93"/>
      <c r="C249" s="93"/>
      <c r="D249" s="4"/>
      <c r="E249" s="93"/>
      <c r="F249" s="93"/>
      <c r="G249" s="12"/>
      <c r="H249" s="93"/>
      <c r="I249" s="9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93"/>
      <c r="C250" s="93"/>
      <c r="D250" s="4"/>
      <c r="E250" s="93"/>
      <c r="F250" s="93"/>
      <c r="G250" s="12"/>
      <c r="H250" s="93"/>
      <c r="I250" s="9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93"/>
      <c r="C251" s="93"/>
      <c r="D251" s="4"/>
      <c r="E251" s="93"/>
      <c r="F251" s="93"/>
      <c r="G251" s="12"/>
      <c r="H251" s="93"/>
      <c r="I251" s="9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93"/>
      <c r="C252" s="93"/>
      <c r="D252" s="4"/>
      <c r="E252" s="93"/>
      <c r="F252" s="93"/>
      <c r="G252" s="12"/>
      <c r="H252" s="93"/>
      <c r="I252" s="9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93"/>
      <c r="C253" s="93"/>
      <c r="D253" s="4"/>
      <c r="E253" s="93"/>
      <c r="F253" s="93"/>
      <c r="G253" s="12"/>
      <c r="H253" s="93"/>
      <c r="I253" s="9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93"/>
      <c r="C254" s="93"/>
      <c r="D254" s="4"/>
      <c r="E254" s="93"/>
      <c r="F254" s="93"/>
      <c r="G254" s="12"/>
      <c r="H254" s="93"/>
      <c r="I254" s="9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93"/>
      <c r="C255" s="93"/>
      <c r="D255" s="4"/>
      <c r="E255" s="93"/>
      <c r="F255" s="93"/>
      <c r="G255" s="12"/>
      <c r="H255" s="93"/>
      <c r="I255" s="9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93"/>
      <c r="C256" s="93"/>
      <c r="D256" s="4"/>
      <c r="E256" s="93"/>
      <c r="F256" s="93"/>
      <c r="G256" s="12"/>
      <c r="H256" s="93"/>
      <c r="I256" s="9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93"/>
      <c r="C257" s="93"/>
      <c r="D257" s="4"/>
      <c r="E257" s="93"/>
      <c r="F257" s="93"/>
      <c r="G257" s="12"/>
      <c r="H257" s="93"/>
      <c r="I257" s="9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93"/>
      <c r="C258" s="93"/>
      <c r="D258" s="4"/>
      <c r="E258" s="93"/>
      <c r="F258" s="93"/>
      <c r="G258" s="12"/>
      <c r="H258" s="93"/>
      <c r="I258" s="9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93"/>
      <c r="C259" s="93"/>
      <c r="D259" s="4"/>
      <c r="E259" s="93"/>
      <c r="F259" s="93"/>
      <c r="G259" s="12"/>
      <c r="H259" s="93"/>
      <c r="I259" s="9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93"/>
      <c r="C260" s="93"/>
      <c r="D260" s="4"/>
      <c r="E260" s="93"/>
      <c r="F260" s="93"/>
      <c r="G260" s="12"/>
      <c r="H260" s="93"/>
      <c r="I260" s="9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93"/>
      <c r="C261" s="93"/>
      <c r="D261" s="4"/>
      <c r="E261" s="93"/>
      <c r="F261" s="93"/>
      <c r="G261" s="12"/>
      <c r="H261" s="93"/>
      <c r="I261" s="9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93"/>
      <c r="C262" s="93"/>
      <c r="D262" s="4"/>
      <c r="E262" s="93"/>
      <c r="F262" s="93"/>
      <c r="G262" s="12"/>
      <c r="H262" s="93"/>
      <c r="I262" s="9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93"/>
      <c r="C263" s="93"/>
      <c r="D263" s="4"/>
      <c r="E263" s="93"/>
      <c r="F263" s="93"/>
      <c r="G263" s="12"/>
      <c r="H263" s="93"/>
      <c r="I263" s="9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93"/>
      <c r="C264" s="93"/>
      <c r="D264" s="4"/>
      <c r="E264" s="93"/>
      <c r="F264" s="93"/>
      <c r="G264" s="12"/>
      <c r="H264" s="93"/>
      <c r="I264" s="9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93"/>
      <c r="C265" s="93"/>
      <c r="D265" s="4"/>
      <c r="E265" s="93"/>
      <c r="F265" s="93"/>
      <c r="G265" s="12"/>
      <c r="H265" s="93"/>
      <c r="I265" s="9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93"/>
      <c r="C266" s="93"/>
      <c r="D266" s="4"/>
      <c r="E266" s="93"/>
      <c r="F266" s="93"/>
      <c r="G266" s="12"/>
      <c r="H266" s="93"/>
      <c r="I266" s="9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93"/>
      <c r="C267" s="93"/>
      <c r="D267" s="4"/>
      <c r="E267" s="93"/>
      <c r="F267" s="93"/>
      <c r="G267" s="12"/>
      <c r="H267" s="93"/>
      <c r="I267" s="9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93"/>
      <c r="C268" s="93"/>
      <c r="D268" s="4"/>
      <c r="E268" s="93"/>
      <c r="F268" s="93"/>
      <c r="G268" s="12"/>
      <c r="H268" s="93"/>
      <c r="I268" s="9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93"/>
      <c r="C269" s="93"/>
      <c r="D269" s="4"/>
      <c r="E269" s="93"/>
      <c r="F269" s="93"/>
      <c r="G269" s="12"/>
      <c r="H269" s="93"/>
      <c r="I269" s="9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93"/>
      <c r="C270" s="93"/>
      <c r="D270" s="4"/>
      <c r="E270" s="93"/>
      <c r="F270" s="93"/>
      <c r="G270" s="12"/>
      <c r="H270" s="93"/>
      <c r="I270" s="9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93"/>
      <c r="C271" s="93"/>
      <c r="D271" s="4"/>
      <c r="E271" s="93"/>
      <c r="F271" s="93"/>
      <c r="G271" s="12"/>
      <c r="H271" s="93"/>
      <c r="I271" s="9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93"/>
      <c r="C272" s="93"/>
      <c r="D272" s="4"/>
      <c r="E272" s="93"/>
      <c r="F272" s="93"/>
      <c r="G272" s="12"/>
      <c r="H272" s="93"/>
      <c r="I272" s="9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93"/>
      <c r="C273" s="93"/>
      <c r="D273" s="4"/>
      <c r="E273" s="93"/>
      <c r="F273" s="93"/>
      <c r="G273" s="12"/>
      <c r="H273" s="93"/>
      <c r="I273" s="9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93"/>
      <c r="C274" s="93"/>
      <c r="D274" s="4"/>
      <c r="E274" s="93"/>
      <c r="F274" s="93"/>
      <c r="G274" s="12"/>
      <c r="H274" s="93"/>
      <c r="I274" s="9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93"/>
      <c r="C275" s="93"/>
      <c r="D275" s="4"/>
      <c r="E275" s="93"/>
      <c r="F275" s="93"/>
      <c r="G275" s="12"/>
      <c r="H275" s="93"/>
      <c r="I275" s="9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93"/>
      <c r="C276" s="93"/>
      <c r="D276" s="4"/>
      <c r="E276" s="93"/>
      <c r="F276" s="93"/>
      <c r="G276" s="12"/>
      <c r="H276" s="93"/>
      <c r="I276" s="9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93"/>
      <c r="C277" s="93"/>
      <c r="D277" s="4"/>
      <c r="E277" s="93"/>
      <c r="F277" s="93"/>
      <c r="G277" s="12"/>
      <c r="H277" s="93"/>
      <c r="I277" s="9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93"/>
      <c r="C278" s="93"/>
      <c r="D278" s="4"/>
      <c r="E278" s="93"/>
      <c r="F278" s="93"/>
      <c r="G278" s="12"/>
      <c r="H278" s="93"/>
      <c r="I278" s="9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93"/>
      <c r="C279" s="93"/>
      <c r="D279" s="4"/>
      <c r="E279" s="93"/>
      <c r="F279" s="93"/>
      <c r="G279" s="12"/>
      <c r="H279" s="93"/>
      <c r="I279" s="9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93"/>
      <c r="C280" s="93"/>
      <c r="D280" s="4"/>
      <c r="E280" s="93"/>
      <c r="F280" s="93"/>
      <c r="G280" s="12"/>
      <c r="H280" s="93"/>
      <c r="I280" s="9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93"/>
      <c r="C281" s="93"/>
      <c r="D281" s="4"/>
      <c r="E281" s="93"/>
      <c r="F281" s="93"/>
      <c r="G281" s="12"/>
      <c r="H281" s="93"/>
      <c r="I281" s="9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93"/>
      <c r="C282" s="93"/>
      <c r="D282" s="4"/>
      <c r="E282" s="93"/>
      <c r="F282" s="93"/>
      <c r="G282" s="12"/>
      <c r="H282" s="93"/>
      <c r="I282" s="9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93"/>
      <c r="C283" s="93"/>
      <c r="D283" s="4"/>
      <c r="E283" s="93"/>
      <c r="F283" s="93"/>
      <c r="G283" s="12"/>
      <c r="H283" s="93"/>
      <c r="I283" s="9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93"/>
      <c r="C284" s="93"/>
      <c r="D284" s="4"/>
      <c r="E284" s="93"/>
      <c r="F284" s="93"/>
      <c r="G284" s="12"/>
      <c r="H284" s="93"/>
      <c r="I284" s="9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93"/>
      <c r="C285" s="93"/>
      <c r="D285" s="4"/>
      <c r="E285" s="93"/>
      <c r="F285" s="93"/>
      <c r="G285" s="12"/>
      <c r="H285" s="93"/>
      <c r="I285" s="9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93"/>
      <c r="C286" s="93"/>
      <c r="D286" s="4"/>
      <c r="E286" s="93"/>
      <c r="F286" s="93"/>
      <c r="G286" s="12"/>
      <c r="H286" s="93"/>
      <c r="I286" s="9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93"/>
      <c r="C287" s="93"/>
      <c r="D287" s="4"/>
      <c r="E287" s="93"/>
      <c r="F287" s="93"/>
      <c r="G287" s="12"/>
      <c r="H287" s="93"/>
      <c r="I287" s="9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93"/>
      <c r="C288" s="93"/>
      <c r="D288" s="4"/>
      <c r="E288" s="93"/>
      <c r="F288" s="93"/>
      <c r="G288" s="12"/>
      <c r="H288" s="93"/>
      <c r="I288" s="9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93"/>
      <c r="C289" s="93"/>
      <c r="D289" s="4"/>
      <c r="E289" s="93"/>
      <c r="F289" s="93"/>
      <c r="G289" s="12"/>
      <c r="H289" s="93"/>
      <c r="I289" s="9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93"/>
      <c r="C290" s="93"/>
      <c r="D290" s="4"/>
      <c r="E290" s="93"/>
      <c r="F290" s="93"/>
      <c r="G290" s="12"/>
      <c r="H290" s="93"/>
      <c r="I290" s="9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93"/>
      <c r="C291" s="93"/>
      <c r="D291" s="4"/>
      <c r="E291" s="93"/>
      <c r="F291" s="93"/>
      <c r="G291" s="12"/>
      <c r="H291" s="93"/>
      <c r="I291" s="9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93"/>
      <c r="C292" s="93"/>
      <c r="D292" s="4"/>
      <c r="E292" s="93"/>
      <c r="F292" s="93"/>
      <c r="G292" s="12"/>
      <c r="H292" s="93"/>
      <c r="I292" s="9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93"/>
      <c r="C293" s="93"/>
      <c r="D293" s="4"/>
      <c r="E293" s="93"/>
      <c r="F293" s="93"/>
      <c r="G293" s="12"/>
      <c r="H293" s="93"/>
      <c r="I293" s="9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93"/>
      <c r="C294" s="93"/>
      <c r="D294" s="4"/>
      <c r="E294" s="93"/>
      <c r="F294" s="93"/>
      <c r="G294" s="12"/>
      <c r="H294" s="93"/>
      <c r="I294" s="9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93"/>
      <c r="C295" s="93"/>
      <c r="D295" s="4"/>
      <c r="E295" s="93"/>
      <c r="F295" s="93"/>
      <c r="G295" s="12"/>
      <c r="H295" s="93"/>
      <c r="I295" s="9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93"/>
      <c r="C296" s="93"/>
      <c r="D296" s="4"/>
      <c r="E296" s="93"/>
      <c r="F296" s="93"/>
      <c r="G296" s="12"/>
      <c r="H296" s="93"/>
      <c r="I296" s="9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93"/>
      <c r="C297" s="93"/>
      <c r="D297" s="4"/>
      <c r="E297" s="93"/>
      <c r="F297" s="93"/>
      <c r="G297" s="12"/>
      <c r="H297" s="93"/>
      <c r="I297" s="9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93"/>
      <c r="C298" s="93"/>
      <c r="D298" s="4"/>
      <c r="E298" s="93"/>
      <c r="F298" s="93"/>
      <c r="G298" s="12"/>
      <c r="H298" s="93"/>
      <c r="I298" s="9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93"/>
      <c r="C299" s="93"/>
      <c r="D299" s="4"/>
      <c r="E299" s="93"/>
      <c r="F299" s="93"/>
      <c r="G299" s="12"/>
      <c r="H299" s="93"/>
      <c r="I299" s="9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93"/>
      <c r="C300" s="93"/>
      <c r="D300" s="4"/>
      <c r="E300" s="93"/>
      <c r="F300" s="93"/>
      <c r="G300" s="12"/>
      <c r="H300" s="93"/>
      <c r="I300" s="9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93"/>
      <c r="C301" s="93"/>
      <c r="D301" s="4"/>
      <c r="E301" s="93"/>
      <c r="F301" s="93"/>
      <c r="G301" s="12"/>
      <c r="H301" s="93"/>
      <c r="I301" s="9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93"/>
      <c r="C302" s="93"/>
      <c r="D302" s="4"/>
      <c r="E302" s="93"/>
      <c r="F302" s="93"/>
      <c r="G302" s="12"/>
      <c r="H302" s="93"/>
      <c r="I302" s="9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93"/>
      <c r="C303" s="93"/>
      <c r="D303" s="4"/>
      <c r="E303" s="93"/>
      <c r="F303" s="93"/>
      <c r="G303" s="12"/>
      <c r="H303" s="93"/>
      <c r="I303" s="9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93"/>
      <c r="C304" s="93"/>
      <c r="D304" s="4"/>
      <c r="E304" s="93"/>
      <c r="F304" s="93"/>
      <c r="G304" s="12"/>
      <c r="H304" s="93"/>
      <c r="I304" s="9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93"/>
      <c r="C305" s="93"/>
      <c r="D305" s="4"/>
      <c r="E305" s="93"/>
      <c r="F305" s="93"/>
      <c r="G305" s="12"/>
      <c r="H305" s="93"/>
      <c r="I305" s="9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93"/>
      <c r="C306" s="93"/>
      <c r="D306" s="4"/>
      <c r="E306" s="93"/>
      <c r="F306" s="93"/>
      <c r="G306" s="12"/>
      <c r="H306" s="93"/>
      <c r="I306" s="9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93"/>
      <c r="C307" s="93"/>
      <c r="D307" s="4"/>
      <c r="E307" s="93"/>
      <c r="F307" s="93"/>
      <c r="G307" s="12"/>
      <c r="H307" s="93"/>
      <c r="I307" s="9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93"/>
      <c r="C308" s="93"/>
      <c r="D308" s="4"/>
      <c r="E308" s="93"/>
      <c r="F308" s="93"/>
      <c r="G308" s="12"/>
      <c r="H308" s="93"/>
      <c r="I308" s="9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93"/>
      <c r="C309" s="93"/>
      <c r="D309" s="4"/>
      <c r="E309" s="93"/>
      <c r="F309" s="93"/>
      <c r="G309" s="12"/>
      <c r="H309" s="93"/>
      <c r="I309" s="9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93"/>
      <c r="C310" s="93"/>
      <c r="D310" s="4"/>
      <c r="E310" s="93"/>
      <c r="F310" s="93"/>
      <c r="G310" s="12"/>
      <c r="H310" s="93"/>
      <c r="I310" s="9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93"/>
      <c r="C311" s="93"/>
      <c r="D311" s="4"/>
      <c r="E311" s="93"/>
      <c r="F311" s="93"/>
      <c r="G311" s="12"/>
      <c r="H311" s="93"/>
      <c r="I311" s="9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93"/>
      <c r="C312" s="93"/>
      <c r="D312" s="4"/>
      <c r="E312" s="93"/>
      <c r="F312" s="93"/>
      <c r="G312" s="12"/>
      <c r="H312" s="93"/>
      <c r="I312" s="9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93"/>
      <c r="C313" s="93"/>
      <c r="D313" s="4"/>
      <c r="E313" s="93"/>
      <c r="F313" s="93"/>
      <c r="G313" s="12"/>
      <c r="H313" s="93"/>
      <c r="I313" s="9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93"/>
      <c r="C314" s="93"/>
      <c r="D314" s="4"/>
      <c r="E314" s="93"/>
      <c r="F314" s="93"/>
      <c r="G314" s="12"/>
      <c r="H314" s="93"/>
      <c r="I314" s="9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93"/>
      <c r="C315" s="93"/>
      <c r="D315" s="4"/>
      <c r="E315" s="93"/>
      <c r="F315" s="93"/>
      <c r="G315" s="12"/>
      <c r="H315" s="93"/>
      <c r="I315" s="9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93"/>
      <c r="C316" s="93"/>
      <c r="D316" s="4"/>
      <c r="E316" s="93"/>
      <c r="F316" s="93"/>
      <c r="G316" s="12"/>
      <c r="H316" s="93"/>
      <c r="I316" s="9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93"/>
      <c r="C317" s="93"/>
      <c r="D317" s="4"/>
      <c r="E317" s="93"/>
      <c r="F317" s="93"/>
      <c r="G317" s="12"/>
      <c r="H317" s="93"/>
      <c r="I317" s="9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93"/>
      <c r="C318" s="93"/>
      <c r="D318" s="4"/>
      <c r="E318" s="93"/>
      <c r="F318" s="93"/>
      <c r="G318" s="12"/>
      <c r="H318" s="93"/>
      <c r="I318" s="9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93"/>
      <c r="C319" s="93"/>
      <c r="D319" s="4"/>
      <c r="E319" s="93"/>
      <c r="F319" s="93"/>
      <c r="G319" s="12"/>
      <c r="H319" s="93"/>
      <c r="I319" s="9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93"/>
      <c r="C320" s="93"/>
      <c r="D320" s="4"/>
      <c r="E320" s="93"/>
      <c r="F320" s="93"/>
      <c r="G320" s="12"/>
      <c r="H320" s="93"/>
      <c r="I320" s="9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93"/>
      <c r="C321" s="93"/>
      <c r="D321" s="4"/>
      <c r="E321" s="93"/>
      <c r="F321" s="93"/>
      <c r="G321" s="12"/>
      <c r="H321" s="93"/>
      <c r="I321" s="9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93"/>
      <c r="C322" s="93"/>
      <c r="D322" s="4"/>
      <c r="E322" s="93"/>
      <c r="F322" s="93"/>
      <c r="G322" s="12"/>
      <c r="H322" s="93"/>
      <c r="I322" s="9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93"/>
      <c r="C323" s="93"/>
      <c r="D323" s="4"/>
      <c r="E323" s="93"/>
      <c r="F323" s="93"/>
      <c r="G323" s="12"/>
      <c r="H323" s="93"/>
      <c r="I323" s="9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93"/>
      <c r="C324" s="93"/>
      <c r="D324" s="4"/>
      <c r="E324" s="93"/>
      <c r="F324" s="93"/>
      <c r="G324" s="12"/>
      <c r="H324" s="93"/>
      <c r="I324" s="9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93"/>
      <c r="C325" s="93"/>
      <c r="D325" s="4"/>
      <c r="E325" s="93"/>
      <c r="F325" s="93"/>
      <c r="G325" s="12"/>
      <c r="H325" s="93"/>
      <c r="I325" s="9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93"/>
      <c r="C326" s="93"/>
      <c r="D326" s="4"/>
      <c r="E326" s="93"/>
      <c r="F326" s="93"/>
      <c r="G326" s="12"/>
      <c r="H326" s="93"/>
      <c r="I326" s="9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93"/>
      <c r="C327" s="93"/>
      <c r="D327" s="4"/>
      <c r="E327" s="93"/>
      <c r="F327" s="93"/>
      <c r="G327" s="12"/>
      <c r="H327" s="93"/>
      <c r="I327" s="9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93"/>
      <c r="C328" s="93"/>
      <c r="D328" s="4"/>
      <c r="E328" s="93"/>
      <c r="F328" s="93"/>
      <c r="G328" s="12"/>
      <c r="H328" s="93"/>
      <c r="I328" s="9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93"/>
      <c r="C329" s="93"/>
      <c r="D329" s="4"/>
      <c r="E329" s="93"/>
      <c r="F329" s="93"/>
      <c r="G329" s="12"/>
      <c r="H329" s="93"/>
      <c r="I329" s="9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93"/>
      <c r="C330" s="93"/>
      <c r="D330" s="4"/>
      <c r="E330" s="93"/>
      <c r="F330" s="93"/>
      <c r="G330" s="12"/>
      <c r="H330" s="93"/>
      <c r="I330" s="9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93"/>
      <c r="C331" s="93"/>
      <c r="D331" s="4"/>
      <c r="E331" s="93"/>
      <c r="F331" s="93"/>
      <c r="G331" s="12"/>
      <c r="H331" s="93"/>
      <c r="I331" s="9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93"/>
      <c r="C332" s="93"/>
      <c r="D332" s="4"/>
      <c r="E332" s="93"/>
      <c r="F332" s="93"/>
      <c r="G332" s="12"/>
      <c r="H332" s="93"/>
      <c r="I332" s="9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93"/>
      <c r="C333" s="93"/>
      <c r="D333" s="4"/>
      <c r="E333" s="93"/>
      <c r="F333" s="93"/>
      <c r="G333" s="12"/>
      <c r="H333" s="93"/>
      <c r="I333" s="9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93"/>
      <c r="C334" s="93"/>
      <c r="D334" s="4"/>
      <c r="E334" s="93"/>
      <c r="F334" s="93"/>
      <c r="G334" s="12"/>
      <c r="H334" s="93"/>
      <c r="I334" s="9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93"/>
      <c r="C335" s="93"/>
      <c r="D335" s="4"/>
      <c r="E335" s="93"/>
      <c r="F335" s="93"/>
      <c r="G335" s="12"/>
      <c r="H335" s="93"/>
      <c r="I335" s="9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93"/>
      <c r="C336" s="93"/>
      <c r="D336" s="4"/>
      <c r="E336" s="93"/>
      <c r="F336" s="93"/>
      <c r="G336" s="12"/>
      <c r="H336" s="93"/>
      <c r="I336" s="9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93"/>
      <c r="C337" s="93"/>
      <c r="D337" s="4"/>
      <c r="E337" s="93"/>
      <c r="F337" s="93"/>
      <c r="G337" s="12"/>
      <c r="H337" s="93"/>
      <c r="I337" s="9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93"/>
      <c r="C338" s="93"/>
      <c r="D338" s="4"/>
      <c r="E338" s="93"/>
      <c r="F338" s="93"/>
      <c r="G338" s="12"/>
      <c r="H338" s="93"/>
      <c r="I338" s="9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93"/>
      <c r="C339" s="93"/>
      <c r="D339" s="4"/>
      <c r="E339" s="93"/>
      <c r="F339" s="93"/>
      <c r="G339" s="12"/>
      <c r="H339" s="93"/>
      <c r="I339" s="9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93"/>
      <c r="C340" s="93"/>
      <c r="D340" s="4"/>
      <c r="E340" s="93"/>
      <c r="F340" s="93"/>
      <c r="G340" s="12"/>
      <c r="H340" s="93"/>
      <c r="I340" s="9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93"/>
      <c r="C341" s="93"/>
      <c r="D341" s="4"/>
      <c r="E341" s="93"/>
      <c r="F341" s="93"/>
      <c r="G341" s="12"/>
      <c r="H341" s="93"/>
      <c r="I341" s="9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93"/>
      <c r="C342" s="93"/>
      <c r="D342" s="4"/>
      <c r="E342" s="93"/>
      <c r="F342" s="93"/>
      <c r="G342" s="12"/>
      <c r="H342" s="93"/>
      <c r="I342" s="9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93"/>
      <c r="C343" s="93"/>
      <c r="D343" s="4"/>
      <c r="E343" s="93"/>
      <c r="F343" s="93"/>
      <c r="G343" s="12"/>
      <c r="H343" s="93"/>
      <c r="I343" s="9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93"/>
      <c r="C344" s="93"/>
      <c r="D344" s="4"/>
      <c r="E344" s="93"/>
      <c r="F344" s="93"/>
      <c r="G344" s="12"/>
      <c r="H344" s="93"/>
      <c r="I344" s="9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93"/>
      <c r="C345" s="93"/>
      <c r="D345" s="4"/>
      <c r="E345" s="93"/>
      <c r="F345" s="93"/>
      <c r="G345" s="12"/>
      <c r="H345" s="93"/>
      <c r="I345" s="9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93"/>
      <c r="C346" s="93"/>
      <c r="D346" s="4"/>
      <c r="E346" s="93"/>
      <c r="F346" s="93"/>
      <c r="G346" s="12"/>
      <c r="H346" s="93"/>
      <c r="I346" s="9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93"/>
      <c r="C347" s="93"/>
      <c r="D347" s="4"/>
      <c r="E347" s="93"/>
      <c r="F347" s="93"/>
      <c r="G347" s="12"/>
      <c r="H347" s="93"/>
      <c r="I347" s="9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93"/>
      <c r="C348" s="93"/>
      <c r="D348" s="4"/>
      <c r="E348" s="93"/>
      <c r="F348" s="93"/>
      <c r="G348" s="12"/>
      <c r="H348" s="93"/>
      <c r="I348" s="9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93"/>
      <c r="C349" s="93"/>
      <c r="D349" s="4"/>
      <c r="E349" s="93"/>
      <c r="F349" s="93"/>
      <c r="G349" s="12"/>
      <c r="H349" s="93"/>
      <c r="I349" s="9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93"/>
      <c r="C350" s="93"/>
      <c r="D350" s="4"/>
      <c r="E350" s="93"/>
      <c r="F350" s="93"/>
      <c r="G350" s="12"/>
      <c r="H350" s="93"/>
      <c r="I350" s="9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93"/>
      <c r="C351" s="93"/>
      <c r="D351" s="4"/>
      <c r="E351" s="93"/>
      <c r="F351" s="93"/>
      <c r="G351" s="12"/>
      <c r="H351" s="93"/>
      <c r="I351" s="9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93"/>
      <c r="C352" s="93"/>
      <c r="D352" s="4"/>
      <c r="E352" s="93"/>
      <c r="F352" s="93"/>
      <c r="G352" s="12"/>
      <c r="H352" s="93"/>
      <c r="I352" s="9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93"/>
      <c r="C353" s="93"/>
      <c r="D353" s="4"/>
      <c r="E353" s="93"/>
      <c r="F353" s="93"/>
      <c r="G353" s="12"/>
      <c r="H353" s="93"/>
      <c r="I353" s="9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93"/>
      <c r="C354" s="93"/>
      <c r="D354" s="4"/>
      <c r="E354" s="93"/>
      <c r="F354" s="93"/>
      <c r="G354" s="12"/>
      <c r="H354" s="93"/>
      <c r="I354" s="9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93"/>
      <c r="C355" s="93"/>
      <c r="D355" s="4"/>
      <c r="E355" s="93"/>
      <c r="F355" s="93"/>
      <c r="G355" s="12"/>
      <c r="H355" s="93"/>
      <c r="I355" s="9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93"/>
      <c r="C356" s="93"/>
      <c r="D356" s="4"/>
      <c r="E356" s="93"/>
      <c r="F356" s="93"/>
      <c r="G356" s="12"/>
      <c r="H356" s="93"/>
      <c r="I356" s="9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93"/>
      <c r="C357" s="93"/>
      <c r="D357" s="4"/>
      <c r="E357" s="93"/>
      <c r="F357" s="93"/>
      <c r="G357" s="12"/>
      <c r="H357" s="93"/>
      <c r="I357" s="9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93"/>
      <c r="C358" s="93"/>
      <c r="D358" s="4"/>
      <c r="E358" s="93"/>
      <c r="F358" s="93"/>
      <c r="G358" s="12"/>
      <c r="H358" s="93"/>
      <c r="I358" s="9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93"/>
      <c r="C359" s="93"/>
      <c r="D359" s="4"/>
      <c r="E359" s="93"/>
      <c r="F359" s="93"/>
      <c r="G359" s="12"/>
      <c r="H359" s="93"/>
      <c r="I359" s="9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93"/>
      <c r="C360" s="93"/>
      <c r="D360" s="4"/>
      <c r="E360" s="93"/>
      <c r="F360" s="93"/>
      <c r="G360" s="12"/>
      <c r="H360" s="93"/>
      <c r="I360" s="9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93"/>
      <c r="C361" s="93"/>
      <c r="D361" s="4"/>
      <c r="E361" s="93"/>
      <c r="F361" s="93"/>
      <c r="G361" s="12"/>
      <c r="H361" s="93"/>
      <c r="I361" s="9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93"/>
      <c r="C362" s="93"/>
      <c r="D362" s="4"/>
      <c r="E362" s="93"/>
      <c r="F362" s="93"/>
      <c r="G362" s="12"/>
      <c r="H362" s="93"/>
      <c r="I362" s="9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93"/>
      <c r="C363" s="93"/>
      <c r="D363" s="4"/>
      <c r="E363" s="93"/>
      <c r="F363" s="93"/>
      <c r="G363" s="12"/>
      <c r="H363" s="93"/>
      <c r="I363" s="9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93"/>
      <c r="C364" s="93"/>
      <c r="D364" s="4"/>
      <c r="E364" s="93"/>
      <c r="F364" s="93"/>
      <c r="G364" s="12"/>
      <c r="H364" s="93"/>
      <c r="I364" s="9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93"/>
      <c r="C365" s="93"/>
      <c r="D365" s="4"/>
      <c r="E365" s="93"/>
      <c r="F365" s="93"/>
      <c r="G365" s="12"/>
      <c r="H365" s="93"/>
      <c r="I365" s="9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93"/>
      <c r="C366" s="93"/>
      <c r="D366" s="4"/>
      <c r="E366" s="93"/>
      <c r="F366" s="93"/>
      <c r="G366" s="12"/>
      <c r="H366" s="93"/>
      <c r="I366" s="9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93"/>
      <c r="C367" s="93"/>
      <c r="D367" s="4"/>
      <c r="E367" s="93"/>
      <c r="F367" s="93"/>
      <c r="G367" s="12"/>
      <c r="H367" s="93"/>
      <c r="I367" s="9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93"/>
      <c r="C368" s="93"/>
      <c r="D368" s="4"/>
      <c r="E368" s="93"/>
      <c r="F368" s="93"/>
      <c r="G368" s="12"/>
      <c r="H368" s="93"/>
      <c r="I368" s="9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93"/>
      <c r="C369" s="93"/>
      <c r="D369" s="4"/>
      <c r="E369" s="93"/>
      <c r="F369" s="93"/>
      <c r="G369" s="12"/>
      <c r="H369" s="93"/>
      <c r="I369" s="9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93"/>
      <c r="C370" s="93"/>
      <c r="D370" s="4"/>
      <c r="E370" s="93"/>
      <c r="F370" s="93"/>
      <c r="G370" s="12"/>
      <c r="H370" s="93"/>
      <c r="I370" s="9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93"/>
      <c r="C371" s="93"/>
      <c r="D371" s="4"/>
      <c r="E371" s="93"/>
      <c r="F371" s="93"/>
      <c r="G371" s="12"/>
      <c r="H371" s="93"/>
      <c r="I371" s="9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93"/>
      <c r="C372" s="93"/>
      <c r="D372" s="4"/>
      <c r="E372" s="93"/>
      <c r="F372" s="93"/>
      <c r="G372" s="12"/>
      <c r="H372" s="93"/>
      <c r="I372" s="9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93"/>
      <c r="C373" s="93"/>
      <c r="D373" s="4"/>
      <c r="E373" s="93"/>
      <c r="F373" s="93"/>
      <c r="G373" s="12"/>
      <c r="H373" s="93"/>
      <c r="I373" s="9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93"/>
      <c r="C374" s="93"/>
      <c r="D374" s="4"/>
      <c r="E374" s="93"/>
      <c r="F374" s="93"/>
      <c r="G374" s="12"/>
      <c r="H374" s="93"/>
      <c r="I374" s="9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93"/>
      <c r="C375" s="93"/>
      <c r="D375" s="4"/>
      <c r="E375" s="93"/>
      <c r="F375" s="93"/>
      <c r="G375" s="12"/>
      <c r="H375" s="93"/>
      <c r="I375" s="9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93"/>
      <c r="C376" s="93"/>
      <c r="D376" s="4"/>
      <c r="E376" s="93"/>
      <c r="F376" s="93"/>
      <c r="G376" s="12"/>
      <c r="H376" s="93"/>
      <c r="I376" s="9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93"/>
      <c r="C377" s="93"/>
      <c r="D377" s="4"/>
      <c r="E377" s="93"/>
      <c r="F377" s="93"/>
      <c r="G377" s="12"/>
      <c r="H377" s="93"/>
      <c r="I377" s="9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93"/>
      <c r="C378" s="93"/>
      <c r="D378" s="4"/>
      <c r="E378" s="93"/>
      <c r="F378" s="93"/>
      <c r="G378" s="12"/>
      <c r="H378" s="93"/>
      <c r="I378" s="9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93"/>
      <c r="C379" s="93"/>
      <c r="D379" s="4"/>
      <c r="E379" s="93"/>
      <c r="F379" s="93"/>
      <c r="G379" s="12"/>
      <c r="H379" s="93"/>
      <c r="I379" s="9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93"/>
      <c r="C380" s="93"/>
      <c r="D380" s="4"/>
      <c r="E380" s="93"/>
      <c r="F380" s="93"/>
      <c r="G380" s="12"/>
      <c r="H380" s="93"/>
      <c r="I380" s="9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93"/>
      <c r="C381" s="93"/>
      <c r="D381" s="4"/>
      <c r="E381" s="93"/>
      <c r="F381" s="93"/>
      <c r="G381" s="12"/>
      <c r="H381" s="93"/>
      <c r="I381" s="9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93"/>
      <c r="C382" s="93"/>
      <c r="D382" s="4"/>
      <c r="E382" s="93"/>
      <c r="F382" s="93"/>
      <c r="G382" s="12"/>
      <c r="H382" s="93"/>
      <c r="I382" s="9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93"/>
      <c r="C383" s="93"/>
      <c r="D383" s="4"/>
      <c r="E383" s="93"/>
      <c r="F383" s="93"/>
      <c r="G383" s="12"/>
      <c r="H383" s="93"/>
      <c r="I383" s="9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93"/>
      <c r="C384" s="93"/>
      <c r="D384" s="4"/>
      <c r="E384" s="93"/>
      <c r="F384" s="93"/>
      <c r="G384" s="12"/>
      <c r="H384" s="93"/>
      <c r="I384" s="9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93"/>
      <c r="C385" s="93"/>
      <c r="D385" s="4"/>
      <c r="E385" s="93"/>
      <c r="F385" s="93"/>
      <c r="G385" s="12"/>
      <c r="H385" s="93"/>
      <c r="I385" s="9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93"/>
      <c r="C386" s="93"/>
      <c r="D386" s="4"/>
      <c r="E386" s="93"/>
      <c r="F386" s="93"/>
      <c r="G386" s="12"/>
      <c r="H386" s="93"/>
      <c r="I386" s="9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93"/>
      <c r="C387" s="93"/>
      <c r="D387" s="4"/>
      <c r="E387" s="93"/>
      <c r="F387" s="93"/>
      <c r="G387" s="12"/>
      <c r="H387" s="93"/>
      <c r="I387" s="9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93"/>
      <c r="C388" s="93"/>
      <c r="D388" s="4"/>
      <c r="E388" s="93"/>
      <c r="F388" s="93"/>
      <c r="G388" s="12"/>
      <c r="H388" s="93"/>
      <c r="I388" s="9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93"/>
      <c r="C389" s="93"/>
      <c r="D389" s="4"/>
      <c r="E389" s="93"/>
      <c r="F389" s="93"/>
      <c r="G389" s="12"/>
      <c r="H389" s="93"/>
      <c r="I389" s="9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93"/>
      <c r="C390" s="93"/>
      <c r="D390" s="4"/>
      <c r="E390" s="93"/>
      <c r="F390" s="93"/>
      <c r="G390" s="12"/>
      <c r="H390" s="93"/>
      <c r="I390" s="9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93"/>
      <c r="C391" s="93"/>
      <c r="D391" s="4"/>
      <c r="E391" s="93"/>
      <c r="F391" s="93"/>
      <c r="G391" s="12"/>
      <c r="H391" s="93"/>
      <c r="I391" s="9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93"/>
      <c r="C392" s="93"/>
      <c r="D392" s="4"/>
      <c r="E392" s="93"/>
      <c r="F392" s="93"/>
      <c r="G392" s="12"/>
      <c r="H392" s="93"/>
      <c r="I392" s="9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93"/>
      <c r="C393" s="93"/>
      <c r="D393" s="4"/>
      <c r="E393" s="93"/>
      <c r="F393" s="93"/>
      <c r="G393" s="12"/>
      <c r="H393" s="93"/>
      <c r="I393" s="9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93"/>
      <c r="C394" s="93"/>
      <c r="D394" s="4"/>
      <c r="E394" s="93"/>
      <c r="F394" s="93"/>
      <c r="G394" s="12"/>
      <c r="H394" s="93"/>
      <c r="I394" s="9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93"/>
      <c r="C395" s="93"/>
      <c r="D395" s="4"/>
      <c r="E395" s="93"/>
      <c r="F395" s="93"/>
      <c r="G395" s="12"/>
      <c r="H395" s="93"/>
      <c r="I395" s="9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93"/>
      <c r="C396" s="93"/>
      <c r="D396" s="4"/>
      <c r="E396" s="93"/>
      <c r="F396" s="93"/>
      <c r="G396" s="12"/>
      <c r="H396" s="93"/>
      <c r="I396" s="9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93"/>
      <c r="C397" s="93"/>
      <c r="D397" s="4"/>
      <c r="E397" s="93"/>
      <c r="F397" s="93"/>
      <c r="G397" s="12"/>
      <c r="H397" s="93"/>
      <c r="I397" s="9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93"/>
      <c r="C398" s="93"/>
      <c r="D398" s="4"/>
      <c r="E398" s="93"/>
      <c r="F398" s="93"/>
      <c r="G398" s="12"/>
      <c r="H398" s="93"/>
      <c r="I398" s="9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93"/>
      <c r="C399" s="93"/>
      <c r="D399" s="4"/>
      <c r="E399" s="93"/>
      <c r="F399" s="93"/>
      <c r="G399" s="12"/>
      <c r="H399" s="93"/>
      <c r="I399" s="9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93"/>
      <c r="C400" s="93"/>
      <c r="D400" s="4"/>
      <c r="E400" s="93"/>
      <c r="F400" s="93"/>
      <c r="G400" s="12"/>
      <c r="H400" s="93"/>
      <c r="I400" s="9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93"/>
      <c r="C401" s="93"/>
      <c r="D401" s="4"/>
      <c r="E401" s="93"/>
      <c r="F401" s="93"/>
      <c r="G401" s="12"/>
      <c r="H401" s="93"/>
      <c r="I401" s="9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93"/>
      <c r="C402" s="93"/>
      <c r="D402" s="4"/>
      <c r="E402" s="93"/>
      <c r="F402" s="93"/>
      <c r="G402" s="12"/>
      <c r="H402" s="93"/>
      <c r="I402" s="9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93"/>
      <c r="C403" s="93"/>
      <c r="D403" s="4"/>
      <c r="E403" s="93"/>
      <c r="F403" s="93"/>
      <c r="G403" s="12"/>
      <c r="H403" s="93"/>
      <c r="I403" s="9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93"/>
      <c r="C404" s="93"/>
      <c r="D404" s="4"/>
      <c r="E404" s="93"/>
      <c r="F404" s="93"/>
      <c r="G404" s="12"/>
      <c r="H404" s="93"/>
      <c r="I404" s="9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93"/>
      <c r="C405" s="93"/>
      <c r="D405" s="4"/>
      <c r="E405" s="93"/>
      <c r="F405" s="93"/>
      <c r="G405" s="12"/>
      <c r="H405" s="93"/>
      <c r="I405" s="9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93"/>
      <c r="C406" s="93"/>
      <c r="D406" s="4"/>
      <c r="E406" s="93"/>
      <c r="F406" s="93"/>
      <c r="G406" s="12"/>
      <c r="H406" s="93"/>
      <c r="I406" s="9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93"/>
      <c r="C407" s="93"/>
      <c r="D407" s="4"/>
      <c r="E407" s="93"/>
      <c r="F407" s="93"/>
      <c r="G407" s="12"/>
      <c r="H407" s="93"/>
      <c r="I407" s="9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93"/>
      <c r="C408" s="93"/>
      <c r="D408" s="4"/>
      <c r="E408" s="93"/>
      <c r="F408" s="93"/>
      <c r="G408" s="12"/>
      <c r="H408" s="93"/>
      <c r="I408" s="9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93"/>
      <c r="C409" s="93"/>
      <c r="D409" s="4"/>
      <c r="E409" s="93"/>
      <c r="F409" s="93"/>
      <c r="G409" s="12"/>
      <c r="H409" s="93"/>
      <c r="I409" s="9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93"/>
      <c r="C410" s="93"/>
      <c r="D410" s="4"/>
      <c r="E410" s="93"/>
      <c r="F410" s="93"/>
      <c r="G410" s="12"/>
      <c r="H410" s="93"/>
      <c r="I410" s="9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93"/>
      <c r="C411" s="93"/>
      <c r="D411" s="4"/>
      <c r="E411" s="93"/>
      <c r="F411" s="93"/>
      <c r="G411" s="12"/>
      <c r="H411" s="93"/>
      <c r="I411" s="9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93"/>
      <c r="C412" s="93"/>
      <c r="D412" s="4"/>
      <c r="E412" s="93"/>
      <c r="F412" s="93"/>
      <c r="G412" s="12"/>
      <c r="H412" s="93"/>
      <c r="I412" s="9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93"/>
      <c r="C413" s="93"/>
      <c r="D413" s="4"/>
      <c r="E413" s="93"/>
      <c r="F413" s="93"/>
      <c r="G413" s="12"/>
      <c r="H413" s="93"/>
      <c r="I413" s="9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93"/>
      <c r="C414" s="93"/>
      <c r="D414" s="4"/>
      <c r="E414" s="93"/>
      <c r="F414" s="93"/>
      <c r="G414" s="12"/>
      <c r="H414" s="93"/>
      <c r="I414" s="9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93"/>
      <c r="C415" s="93"/>
      <c r="D415" s="4"/>
      <c r="E415" s="93"/>
      <c r="F415" s="93"/>
      <c r="G415" s="12"/>
      <c r="H415" s="93"/>
      <c r="I415" s="9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93"/>
      <c r="C416" s="93"/>
      <c r="D416" s="4"/>
      <c r="E416" s="93"/>
      <c r="F416" s="93"/>
      <c r="G416" s="12"/>
      <c r="H416" s="93"/>
      <c r="I416" s="9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93"/>
      <c r="C417" s="93"/>
      <c r="D417" s="4"/>
      <c r="E417" s="93"/>
      <c r="F417" s="93"/>
      <c r="G417" s="12"/>
      <c r="H417" s="93"/>
      <c r="I417" s="9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93"/>
      <c r="C418" s="93"/>
      <c r="D418" s="4"/>
      <c r="E418" s="93"/>
      <c r="F418" s="93"/>
      <c r="G418" s="12"/>
      <c r="H418" s="93"/>
      <c r="I418" s="9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93"/>
      <c r="C419" s="93"/>
      <c r="D419" s="4"/>
      <c r="E419" s="93"/>
      <c r="F419" s="93"/>
      <c r="G419" s="12"/>
      <c r="H419" s="93"/>
      <c r="I419" s="9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93"/>
      <c r="C420" s="93"/>
      <c r="D420" s="4"/>
      <c r="E420" s="93"/>
      <c r="F420" s="93"/>
      <c r="G420" s="12"/>
      <c r="H420" s="93"/>
      <c r="I420" s="9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93"/>
      <c r="C421" s="93"/>
      <c r="D421" s="4"/>
      <c r="E421" s="93"/>
      <c r="F421" s="93"/>
      <c r="G421" s="12"/>
      <c r="H421" s="93"/>
      <c r="I421" s="9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93"/>
      <c r="C422" s="93"/>
      <c r="D422" s="4"/>
      <c r="E422" s="93"/>
      <c r="F422" s="93"/>
      <c r="G422" s="12"/>
      <c r="H422" s="93"/>
      <c r="I422" s="9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93"/>
      <c r="C423" s="93"/>
      <c r="D423" s="4"/>
      <c r="E423" s="93"/>
      <c r="F423" s="93"/>
      <c r="G423" s="12"/>
      <c r="H423" s="93"/>
      <c r="I423" s="9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93"/>
      <c r="C424" s="93"/>
      <c r="D424" s="4"/>
      <c r="E424" s="93"/>
      <c r="F424" s="93"/>
      <c r="G424" s="12"/>
      <c r="H424" s="93"/>
      <c r="I424" s="9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93"/>
      <c r="C425" s="93"/>
      <c r="D425" s="4"/>
      <c r="E425" s="93"/>
      <c r="F425" s="93"/>
      <c r="G425" s="12"/>
      <c r="H425" s="93"/>
      <c r="I425" s="9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93"/>
      <c r="C426" s="93"/>
      <c r="D426" s="4"/>
      <c r="E426" s="93"/>
      <c r="F426" s="93"/>
      <c r="G426" s="12"/>
      <c r="H426" s="93"/>
      <c r="I426" s="9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93"/>
      <c r="C427" s="93"/>
      <c r="D427" s="4"/>
      <c r="E427" s="93"/>
      <c r="F427" s="93"/>
      <c r="G427" s="12"/>
      <c r="H427" s="93"/>
      <c r="I427" s="9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93"/>
      <c r="C428" s="93"/>
      <c r="D428" s="4"/>
      <c r="E428" s="93"/>
      <c r="F428" s="93"/>
      <c r="G428" s="12"/>
      <c r="H428" s="93"/>
      <c r="I428" s="9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93"/>
      <c r="C429" s="93"/>
      <c r="D429" s="4"/>
      <c r="E429" s="93"/>
      <c r="F429" s="93"/>
      <c r="G429" s="12"/>
      <c r="H429" s="93"/>
      <c r="I429" s="9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93"/>
      <c r="C430" s="93"/>
      <c r="D430" s="4"/>
      <c r="E430" s="93"/>
      <c r="F430" s="93"/>
      <c r="G430" s="12"/>
      <c r="H430" s="93"/>
      <c r="I430" s="9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93"/>
      <c r="C431" s="93"/>
      <c r="D431" s="4"/>
      <c r="E431" s="93"/>
      <c r="F431" s="93"/>
      <c r="G431" s="12"/>
      <c r="H431" s="93"/>
      <c r="I431" s="9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93"/>
      <c r="C432" s="93"/>
      <c r="D432" s="4"/>
      <c r="E432" s="93"/>
      <c r="F432" s="93"/>
      <c r="G432" s="12"/>
      <c r="H432" s="93"/>
      <c r="I432" s="9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93"/>
      <c r="C433" s="93"/>
      <c r="D433" s="4"/>
      <c r="E433" s="93"/>
      <c r="F433" s="93"/>
      <c r="G433" s="12"/>
      <c r="H433" s="93"/>
      <c r="I433" s="9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93"/>
      <c r="C434" s="93"/>
      <c r="D434" s="4"/>
      <c r="E434" s="93"/>
      <c r="F434" s="93"/>
      <c r="G434" s="12"/>
      <c r="H434" s="93"/>
      <c r="I434" s="9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93"/>
      <c r="C435" s="93"/>
      <c r="D435" s="4"/>
      <c r="E435" s="93"/>
      <c r="F435" s="93"/>
      <c r="G435" s="12"/>
      <c r="H435" s="93"/>
      <c r="I435" s="9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93"/>
      <c r="C436" s="93"/>
      <c r="D436" s="4"/>
      <c r="E436" s="93"/>
      <c r="F436" s="93"/>
      <c r="G436" s="12"/>
      <c r="H436" s="93"/>
      <c r="I436" s="9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93"/>
      <c r="C437" s="93"/>
      <c r="D437" s="4"/>
      <c r="E437" s="93"/>
      <c r="F437" s="93"/>
      <c r="G437" s="12"/>
      <c r="H437" s="93"/>
      <c r="I437" s="9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93"/>
      <c r="C438" s="93"/>
      <c r="D438" s="4"/>
      <c r="E438" s="93"/>
      <c r="F438" s="93"/>
      <c r="G438" s="12"/>
      <c r="H438" s="93"/>
      <c r="I438" s="9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93"/>
      <c r="C439" s="93"/>
      <c r="D439" s="4"/>
      <c r="E439" s="93"/>
      <c r="F439" s="93"/>
      <c r="G439" s="12"/>
      <c r="H439" s="93"/>
      <c r="I439" s="9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93"/>
      <c r="C440" s="93"/>
      <c r="D440" s="4"/>
      <c r="E440" s="93"/>
      <c r="F440" s="93"/>
      <c r="G440" s="12"/>
      <c r="H440" s="93"/>
      <c r="I440" s="9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93"/>
      <c r="C441" s="93"/>
      <c r="D441" s="4"/>
      <c r="E441" s="93"/>
      <c r="F441" s="93"/>
      <c r="G441" s="12"/>
      <c r="H441" s="93"/>
      <c r="I441" s="9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93"/>
      <c r="C442" s="93"/>
      <c r="D442" s="4"/>
      <c r="E442" s="93"/>
      <c r="F442" s="93"/>
      <c r="G442" s="12"/>
      <c r="H442" s="93"/>
      <c r="I442" s="9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93"/>
      <c r="C443" s="93"/>
      <c r="D443" s="4"/>
      <c r="E443" s="93"/>
      <c r="F443" s="93"/>
      <c r="G443" s="12"/>
      <c r="H443" s="93"/>
      <c r="I443" s="9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93"/>
      <c r="C444" s="93"/>
      <c r="D444" s="4"/>
      <c r="E444" s="93"/>
      <c r="F444" s="93"/>
      <c r="G444" s="12"/>
      <c r="H444" s="93"/>
      <c r="I444" s="9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93"/>
      <c r="C445" s="93"/>
      <c r="D445" s="4"/>
      <c r="E445" s="93"/>
      <c r="F445" s="93"/>
      <c r="G445" s="12"/>
      <c r="H445" s="93"/>
      <c r="I445" s="9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93"/>
      <c r="C446" s="93"/>
      <c r="D446" s="4"/>
      <c r="E446" s="93"/>
      <c r="F446" s="93"/>
      <c r="G446" s="12"/>
      <c r="H446" s="93"/>
      <c r="I446" s="9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93"/>
      <c r="C447" s="93"/>
      <c r="D447" s="4"/>
      <c r="E447" s="93"/>
      <c r="F447" s="93"/>
      <c r="G447" s="12"/>
      <c r="H447" s="93"/>
      <c r="I447" s="9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93"/>
      <c r="C448" s="93"/>
      <c r="D448" s="4"/>
      <c r="E448" s="93"/>
      <c r="F448" s="93"/>
      <c r="G448" s="12"/>
      <c r="H448" s="93"/>
      <c r="I448" s="9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93"/>
      <c r="C449" s="93"/>
      <c r="D449" s="4"/>
      <c r="E449" s="93"/>
      <c r="F449" s="93"/>
      <c r="G449" s="12"/>
      <c r="H449" s="93"/>
      <c r="I449" s="9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93"/>
      <c r="C450" s="93"/>
      <c r="D450" s="4"/>
      <c r="E450" s="93"/>
      <c r="F450" s="93"/>
      <c r="G450" s="12"/>
      <c r="H450" s="93"/>
      <c r="I450" s="9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93"/>
      <c r="C451" s="93"/>
      <c r="D451" s="4"/>
      <c r="E451" s="93"/>
      <c r="F451" s="93"/>
      <c r="G451" s="12"/>
      <c r="H451" s="93"/>
      <c r="I451" s="9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93"/>
      <c r="C452" s="93"/>
      <c r="D452" s="4"/>
      <c r="E452" s="93"/>
      <c r="F452" s="93"/>
      <c r="G452" s="12"/>
      <c r="H452" s="93"/>
      <c r="I452" s="9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93"/>
      <c r="C453" s="93"/>
      <c r="D453" s="4"/>
      <c r="E453" s="93"/>
      <c r="F453" s="93"/>
      <c r="G453" s="12"/>
      <c r="H453" s="93"/>
      <c r="I453" s="9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93"/>
      <c r="C454" s="93"/>
      <c r="D454" s="4"/>
      <c r="E454" s="93"/>
      <c r="F454" s="93"/>
      <c r="G454" s="12"/>
      <c r="H454" s="93"/>
      <c r="I454" s="9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93"/>
      <c r="C455" s="93"/>
      <c r="D455" s="4"/>
      <c r="E455" s="93"/>
      <c r="F455" s="93"/>
      <c r="G455" s="12"/>
      <c r="H455" s="93"/>
      <c r="I455" s="9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93"/>
      <c r="C456" s="93"/>
      <c r="D456" s="4"/>
      <c r="E456" s="93"/>
      <c r="F456" s="93"/>
      <c r="G456" s="12"/>
      <c r="H456" s="93"/>
      <c r="I456" s="9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93"/>
      <c r="C457" s="93"/>
      <c r="D457" s="4"/>
      <c r="E457" s="93"/>
      <c r="F457" s="93"/>
      <c r="G457" s="12"/>
      <c r="H457" s="93"/>
      <c r="I457" s="9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93"/>
      <c r="C458" s="93"/>
      <c r="D458" s="4"/>
      <c r="E458" s="93"/>
      <c r="F458" s="93"/>
      <c r="G458" s="12"/>
      <c r="H458" s="93"/>
      <c r="I458" s="9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93"/>
      <c r="C459" s="93"/>
      <c r="D459" s="4"/>
      <c r="E459" s="93"/>
      <c r="F459" s="93"/>
      <c r="G459" s="12"/>
      <c r="H459" s="93"/>
      <c r="I459" s="9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93"/>
      <c r="C460" s="93"/>
      <c r="D460" s="4"/>
      <c r="E460" s="93"/>
      <c r="F460" s="93"/>
      <c r="G460" s="12"/>
      <c r="H460" s="93"/>
      <c r="I460" s="9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93"/>
      <c r="C461" s="93"/>
      <c r="D461" s="4"/>
      <c r="E461" s="93"/>
      <c r="F461" s="93"/>
      <c r="G461" s="12"/>
      <c r="H461" s="93"/>
      <c r="I461" s="9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93"/>
      <c r="C462" s="93"/>
      <c r="D462" s="4"/>
      <c r="E462" s="93"/>
      <c r="F462" s="93"/>
      <c r="G462" s="12"/>
      <c r="H462" s="93"/>
      <c r="I462" s="9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93"/>
      <c r="C463" s="93"/>
      <c r="D463" s="4"/>
      <c r="E463" s="93"/>
      <c r="F463" s="93"/>
      <c r="G463" s="12"/>
      <c r="H463" s="93"/>
      <c r="I463" s="9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93"/>
      <c r="C464" s="93"/>
      <c r="D464" s="4"/>
      <c r="E464" s="93"/>
      <c r="F464" s="93"/>
      <c r="G464" s="12"/>
      <c r="H464" s="93"/>
      <c r="I464" s="9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93"/>
      <c r="C465" s="93"/>
      <c r="D465" s="4"/>
      <c r="E465" s="93"/>
      <c r="F465" s="93"/>
      <c r="G465" s="12"/>
      <c r="H465" s="93"/>
      <c r="I465" s="9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93"/>
      <c r="C466" s="93"/>
      <c r="D466" s="4"/>
      <c r="E466" s="93"/>
      <c r="F466" s="93"/>
      <c r="G466" s="12"/>
      <c r="H466" s="93"/>
      <c r="I466" s="9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93"/>
      <c r="C467" s="93"/>
      <c r="D467" s="4"/>
      <c r="E467" s="93"/>
      <c r="F467" s="93"/>
      <c r="G467" s="12"/>
      <c r="H467" s="93"/>
      <c r="I467" s="9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93"/>
      <c r="C468" s="93"/>
      <c r="D468" s="4"/>
      <c r="E468" s="93"/>
      <c r="F468" s="93"/>
      <c r="G468" s="12"/>
      <c r="H468" s="93"/>
      <c r="I468" s="9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93"/>
      <c r="C469" s="93"/>
      <c r="D469" s="4"/>
      <c r="E469" s="93"/>
      <c r="F469" s="93"/>
      <c r="G469" s="12"/>
      <c r="H469" s="93"/>
      <c r="I469" s="9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93"/>
      <c r="C470" s="93"/>
      <c r="D470" s="4"/>
      <c r="E470" s="93"/>
      <c r="F470" s="93"/>
      <c r="G470" s="12"/>
      <c r="H470" s="93"/>
      <c r="I470" s="9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93"/>
      <c r="C471" s="93"/>
      <c r="D471" s="4"/>
      <c r="E471" s="93"/>
      <c r="F471" s="93"/>
      <c r="G471" s="12"/>
      <c r="H471" s="93"/>
      <c r="I471" s="9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93"/>
      <c r="C472" s="93"/>
      <c r="D472" s="4"/>
      <c r="E472" s="93"/>
      <c r="F472" s="93"/>
      <c r="G472" s="12"/>
      <c r="H472" s="93"/>
      <c r="I472" s="9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93"/>
      <c r="C473" s="93"/>
      <c r="D473" s="4"/>
      <c r="E473" s="93"/>
      <c r="F473" s="93"/>
      <c r="G473" s="12"/>
      <c r="H473" s="93"/>
      <c r="I473" s="9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93"/>
      <c r="C474" s="93"/>
      <c r="D474" s="4"/>
      <c r="E474" s="93"/>
      <c r="F474" s="93"/>
      <c r="G474" s="12"/>
      <c r="H474" s="93"/>
      <c r="I474" s="9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93"/>
      <c r="C475" s="93"/>
      <c r="D475" s="4"/>
      <c r="E475" s="93"/>
      <c r="F475" s="93"/>
      <c r="G475" s="12"/>
      <c r="H475" s="93"/>
      <c r="I475" s="9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93"/>
      <c r="C476" s="93"/>
      <c r="D476" s="4"/>
      <c r="E476" s="93"/>
      <c r="F476" s="93"/>
      <c r="G476" s="12"/>
      <c r="H476" s="93"/>
      <c r="I476" s="9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93"/>
      <c r="C477" s="93"/>
      <c r="D477" s="4"/>
      <c r="E477" s="93"/>
      <c r="F477" s="93"/>
      <c r="G477" s="12"/>
      <c r="H477" s="93"/>
      <c r="I477" s="9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93"/>
      <c r="C478" s="93"/>
      <c r="D478" s="4"/>
      <c r="E478" s="93"/>
      <c r="F478" s="93"/>
      <c r="G478" s="12"/>
      <c r="H478" s="93"/>
      <c r="I478" s="9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93"/>
      <c r="C479" s="93"/>
      <c r="D479" s="4"/>
      <c r="E479" s="93"/>
      <c r="F479" s="93"/>
      <c r="G479" s="12"/>
      <c r="H479" s="93"/>
      <c r="I479" s="9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93"/>
      <c r="C480" s="93"/>
      <c r="D480" s="4"/>
      <c r="E480" s="93"/>
      <c r="F480" s="93"/>
      <c r="G480" s="12"/>
      <c r="H480" s="93"/>
      <c r="I480" s="9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93"/>
      <c r="C481" s="93"/>
      <c r="D481" s="4"/>
      <c r="E481" s="93"/>
      <c r="F481" s="93"/>
      <c r="G481" s="12"/>
      <c r="H481" s="93"/>
      <c r="I481" s="9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93"/>
      <c r="C482" s="93"/>
      <c r="D482" s="4"/>
      <c r="E482" s="93"/>
      <c r="F482" s="93"/>
      <c r="G482" s="12"/>
      <c r="H482" s="93"/>
      <c r="I482" s="9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93"/>
      <c r="C483" s="93"/>
      <c r="D483" s="4"/>
      <c r="E483" s="93"/>
      <c r="F483" s="93"/>
      <c r="G483" s="12"/>
      <c r="H483" s="93"/>
      <c r="I483" s="9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93"/>
      <c r="C484" s="93"/>
      <c r="D484" s="4"/>
      <c r="E484" s="93"/>
      <c r="F484" s="93"/>
      <c r="G484" s="12"/>
      <c r="H484" s="93"/>
      <c r="I484" s="9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93"/>
      <c r="C485" s="93"/>
      <c r="D485" s="4"/>
      <c r="E485" s="93"/>
      <c r="F485" s="93"/>
      <c r="G485" s="12"/>
      <c r="H485" s="93"/>
      <c r="I485" s="9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93"/>
      <c r="C486" s="93"/>
      <c r="D486" s="4"/>
      <c r="E486" s="93"/>
      <c r="F486" s="93"/>
      <c r="G486" s="12"/>
      <c r="H486" s="93"/>
      <c r="I486" s="9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93"/>
      <c r="C487" s="93"/>
      <c r="D487" s="4"/>
      <c r="E487" s="93"/>
      <c r="F487" s="93"/>
      <c r="G487" s="12"/>
      <c r="H487" s="93"/>
      <c r="I487" s="9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93"/>
      <c r="C488" s="93"/>
      <c r="D488" s="4"/>
      <c r="E488" s="93"/>
      <c r="F488" s="93"/>
      <c r="G488" s="12"/>
      <c r="H488" s="93"/>
      <c r="I488" s="9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93"/>
      <c r="C489" s="93"/>
      <c r="D489" s="4"/>
      <c r="E489" s="93"/>
      <c r="F489" s="93"/>
      <c r="G489" s="12"/>
      <c r="H489" s="93"/>
      <c r="I489" s="9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93"/>
      <c r="C490" s="93"/>
      <c r="D490" s="4"/>
      <c r="E490" s="93"/>
      <c r="F490" s="93"/>
      <c r="G490" s="12"/>
      <c r="H490" s="93"/>
      <c r="I490" s="9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93"/>
      <c r="C491" s="93"/>
      <c r="D491" s="4"/>
      <c r="E491" s="93"/>
      <c r="F491" s="93"/>
      <c r="G491" s="12"/>
      <c r="H491" s="93"/>
      <c r="I491" s="9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93"/>
      <c r="C492" s="93"/>
      <c r="D492" s="4"/>
      <c r="E492" s="93"/>
      <c r="F492" s="93"/>
      <c r="G492" s="12"/>
      <c r="H492" s="93"/>
      <c r="I492" s="9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93"/>
      <c r="C493" s="93"/>
      <c r="D493" s="4"/>
      <c r="E493" s="93"/>
      <c r="F493" s="93"/>
      <c r="G493" s="12"/>
      <c r="H493" s="93"/>
      <c r="I493" s="9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93"/>
      <c r="C494" s="93"/>
      <c r="D494" s="4"/>
      <c r="E494" s="93"/>
      <c r="F494" s="93"/>
      <c r="G494" s="12"/>
      <c r="H494" s="93"/>
      <c r="I494" s="9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93"/>
      <c r="C495" s="93"/>
      <c r="D495" s="4"/>
      <c r="E495" s="93"/>
      <c r="F495" s="93"/>
      <c r="G495" s="12"/>
      <c r="H495" s="93"/>
      <c r="I495" s="9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93"/>
      <c r="C496" s="93"/>
      <c r="D496" s="4"/>
      <c r="E496" s="93"/>
      <c r="F496" s="93"/>
      <c r="G496" s="12"/>
      <c r="H496" s="93"/>
      <c r="I496" s="9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93"/>
      <c r="C497" s="93"/>
      <c r="D497" s="4"/>
      <c r="E497" s="93"/>
      <c r="F497" s="93"/>
      <c r="G497" s="12"/>
      <c r="H497" s="93"/>
      <c r="I497" s="9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93"/>
      <c r="C498" s="93"/>
      <c r="D498" s="4"/>
      <c r="E498" s="93"/>
      <c r="F498" s="93"/>
      <c r="G498" s="12"/>
      <c r="H498" s="93"/>
      <c r="I498" s="9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93"/>
      <c r="C499" s="93"/>
      <c r="D499" s="4"/>
      <c r="E499" s="93"/>
      <c r="F499" s="93"/>
      <c r="G499" s="12"/>
      <c r="H499" s="93"/>
      <c r="I499" s="9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93"/>
      <c r="C500" s="93"/>
      <c r="D500" s="4"/>
      <c r="E500" s="93"/>
      <c r="F500" s="93"/>
      <c r="G500" s="12"/>
      <c r="H500" s="93"/>
      <c r="I500" s="9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93"/>
      <c r="C501" s="93"/>
      <c r="D501" s="4"/>
      <c r="E501" s="93"/>
      <c r="F501" s="93"/>
      <c r="G501" s="12"/>
      <c r="H501" s="93"/>
      <c r="I501" s="9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93"/>
      <c r="C502" s="93"/>
      <c r="D502" s="4"/>
      <c r="E502" s="93"/>
      <c r="F502" s="93"/>
      <c r="G502" s="12"/>
      <c r="H502" s="93"/>
      <c r="I502" s="9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93"/>
      <c r="C503" s="93"/>
      <c r="D503" s="4"/>
      <c r="E503" s="93"/>
      <c r="F503" s="93"/>
      <c r="G503" s="12"/>
      <c r="H503" s="93"/>
      <c r="I503" s="9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93"/>
      <c r="C504" s="93"/>
      <c r="D504" s="4"/>
      <c r="E504" s="93"/>
      <c r="F504" s="93"/>
      <c r="G504" s="12"/>
      <c r="H504" s="93"/>
      <c r="I504" s="9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93"/>
      <c r="C505" s="93"/>
      <c r="D505" s="4"/>
      <c r="E505" s="93"/>
      <c r="F505" s="93"/>
      <c r="G505" s="12"/>
      <c r="H505" s="93"/>
      <c r="I505" s="9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93"/>
      <c r="C506" s="93"/>
      <c r="D506" s="4"/>
      <c r="E506" s="93"/>
      <c r="F506" s="93"/>
      <c r="G506" s="12"/>
      <c r="H506" s="93"/>
      <c r="I506" s="9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93"/>
      <c r="C507" s="93"/>
      <c r="D507" s="4"/>
      <c r="E507" s="93"/>
      <c r="F507" s="93"/>
      <c r="G507" s="12"/>
      <c r="H507" s="93"/>
      <c r="I507" s="9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93"/>
      <c r="C508" s="93"/>
      <c r="D508" s="4"/>
      <c r="E508" s="93"/>
      <c r="F508" s="93"/>
      <c r="G508" s="12"/>
      <c r="H508" s="93"/>
      <c r="I508" s="9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93"/>
      <c r="C509" s="93"/>
      <c r="D509" s="4"/>
      <c r="E509" s="93"/>
      <c r="F509" s="93"/>
      <c r="G509" s="12"/>
      <c r="H509" s="93"/>
      <c r="I509" s="9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93"/>
      <c r="C510" s="93"/>
      <c r="D510" s="4"/>
      <c r="E510" s="93"/>
      <c r="F510" s="93"/>
      <c r="G510" s="12"/>
      <c r="H510" s="93"/>
      <c r="I510" s="9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93"/>
      <c r="C511" s="93"/>
      <c r="D511" s="4"/>
      <c r="E511" s="93"/>
      <c r="F511" s="93"/>
      <c r="G511" s="12"/>
      <c r="H511" s="93"/>
      <c r="I511" s="9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93"/>
      <c r="C512" s="93"/>
      <c r="D512" s="4"/>
      <c r="E512" s="93"/>
      <c r="F512" s="93"/>
      <c r="G512" s="12"/>
      <c r="H512" s="93"/>
      <c r="I512" s="9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93"/>
      <c r="C513" s="93"/>
      <c r="D513" s="4"/>
      <c r="E513" s="93"/>
      <c r="F513" s="93"/>
      <c r="G513" s="12"/>
      <c r="H513" s="93"/>
      <c r="I513" s="9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93"/>
      <c r="C514" s="93"/>
      <c r="D514" s="4"/>
      <c r="E514" s="93"/>
      <c r="F514" s="93"/>
      <c r="G514" s="12"/>
      <c r="H514" s="93"/>
      <c r="I514" s="9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93"/>
      <c r="C515" s="93"/>
      <c r="D515" s="4"/>
      <c r="E515" s="93"/>
      <c r="F515" s="93"/>
      <c r="G515" s="12"/>
      <c r="H515" s="93"/>
      <c r="I515" s="9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93"/>
      <c r="C516" s="93"/>
      <c r="D516" s="4"/>
      <c r="E516" s="93"/>
      <c r="F516" s="93"/>
      <c r="G516" s="12"/>
      <c r="H516" s="93"/>
      <c r="I516" s="9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93"/>
      <c r="C517" s="93"/>
      <c r="D517" s="4"/>
      <c r="E517" s="93"/>
      <c r="F517" s="93"/>
      <c r="G517" s="12"/>
      <c r="H517" s="93"/>
      <c r="I517" s="9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93"/>
      <c r="C518" s="93"/>
      <c r="D518" s="4"/>
      <c r="E518" s="93"/>
      <c r="F518" s="93"/>
      <c r="G518" s="12"/>
      <c r="H518" s="93"/>
      <c r="I518" s="9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93"/>
      <c r="C519" s="93"/>
      <c r="D519" s="4"/>
      <c r="E519" s="93"/>
      <c r="F519" s="93"/>
      <c r="G519" s="12"/>
      <c r="H519" s="93"/>
      <c r="I519" s="9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93"/>
      <c r="C520" s="93"/>
      <c r="D520" s="4"/>
      <c r="E520" s="93"/>
      <c r="F520" s="93"/>
      <c r="G520" s="12"/>
      <c r="H520" s="93"/>
      <c r="I520" s="9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93"/>
      <c r="C521" s="93"/>
      <c r="D521" s="4"/>
      <c r="E521" s="93"/>
      <c r="F521" s="93"/>
      <c r="G521" s="12"/>
      <c r="H521" s="93"/>
      <c r="I521" s="9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93"/>
      <c r="C522" s="93"/>
      <c r="D522" s="4"/>
      <c r="E522" s="93"/>
      <c r="F522" s="93"/>
      <c r="G522" s="12"/>
      <c r="H522" s="93"/>
      <c r="I522" s="9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93"/>
      <c r="C523" s="93"/>
      <c r="D523" s="4"/>
      <c r="E523" s="93"/>
      <c r="F523" s="93"/>
      <c r="G523" s="12"/>
      <c r="H523" s="93"/>
      <c r="I523" s="9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93"/>
      <c r="C524" s="93"/>
      <c r="D524" s="4"/>
      <c r="E524" s="93"/>
      <c r="F524" s="93"/>
      <c r="G524" s="12"/>
      <c r="H524" s="93"/>
      <c r="I524" s="9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93"/>
      <c r="C525" s="93"/>
      <c r="D525" s="4"/>
      <c r="E525" s="93"/>
      <c r="F525" s="93"/>
      <c r="G525" s="12"/>
      <c r="H525" s="93"/>
      <c r="I525" s="9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93"/>
      <c r="C526" s="93"/>
      <c r="D526" s="4"/>
      <c r="E526" s="93"/>
      <c r="F526" s="93"/>
      <c r="G526" s="12"/>
      <c r="H526" s="93"/>
      <c r="I526" s="9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93"/>
      <c r="C527" s="93"/>
      <c r="D527" s="4"/>
      <c r="E527" s="93"/>
      <c r="F527" s="93"/>
      <c r="G527" s="12"/>
      <c r="H527" s="93"/>
      <c r="I527" s="9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93"/>
      <c r="C528" s="93"/>
      <c r="D528" s="4"/>
      <c r="E528" s="93"/>
      <c r="F528" s="93"/>
      <c r="G528" s="12"/>
      <c r="H528" s="93"/>
      <c r="I528" s="9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93"/>
      <c r="C529" s="93"/>
      <c r="D529" s="4"/>
      <c r="E529" s="93"/>
      <c r="F529" s="93"/>
      <c r="G529" s="12"/>
      <c r="H529" s="93"/>
      <c r="I529" s="9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93"/>
      <c r="C530" s="93"/>
      <c r="D530" s="4"/>
      <c r="E530" s="93"/>
      <c r="F530" s="93"/>
      <c r="G530" s="12"/>
      <c r="H530" s="93"/>
      <c r="I530" s="9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93"/>
      <c r="C531" s="93"/>
      <c r="D531" s="4"/>
      <c r="E531" s="93"/>
      <c r="F531" s="93"/>
      <c r="G531" s="12"/>
      <c r="H531" s="93"/>
      <c r="I531" s="9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93"/>
      <c r="C532" s="93"/>
      <c r="D532" s="4"/>
      <c r="E532" s="93"/>
      <c r="F532" s="93"/>
      <c r="G532" s="12"/>
      <c r="H532" s="93"/>
      <c r="I532" s="9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93"/>
      <c r="C533" s="93"/>
      <c r="D533" s="4"/>
      <c r="E533" s="93"/>
      <c r="F533" s="93"/>
      <c r="G533" s="12"/>
      <c r="H533" s="93"/>
      <c r="I533" s="9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93"/>
      <c r="C534" s="93"/>
      <c r="D534" s="4"/>
      <c r="E534" s="93"/>
      <c r="F534" s="93"/>
      <c r="G534" s="12"/>
      <c r="H534" s="93"/>
      <c r="I534" s="9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93"/>
      <c r="C535" s="93"/>
      <c r="D535" s="4"/>
      <c r="E535" s="93"/>
      <c r="F535" s="93"/>
      <c r="G535" s="12"/>
      <c r="H535" s="93"/>
      <c r="I535" s="9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93"/>
      <c r="C536" s="93"/>
      <c r="D536" s="4"/>
      <c r="E536" s="93"/>
      <c r="F536" s="93"/>
      <c r="G536" s="12"/>
      <c r="H536" s="93"/>
      <c r="I536" s="9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93"/>
      <c r="C537" s="93"/>
      <c r="D537" s="4"/>
      <c r="E537" s="93"/>
      <c r="F537" s="93"/>
      <c r="G537" s="12"/>
      <c r="H537" s="93"/>
      <c r="I537" s="9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93"/>
      <c r="C538" s="93"/>
      <c r="D538" s="4"/>
      <c r="E538" s="93"/>
      <c r="F538" s="93"/>
      <c r="G538" s="12"/>
      <c r="H538" s="93"/>
      <c r="I538" s="9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93"/>
      <c r="C539" s="93"/>
      <c r="D539" s="4"/>
      <c r="E539" s="93"/>
      <c r="F539" s="93"/>
      <c r="G539" s="12"/>
      <c r="H539" s="93"/>
      <c r="I539" s="9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93"/>
      <c r="C540" s="93"/>
      <c r="D540" s="4"/>
      <c r="E540" s="93"/>
      <c r="F540" s="93"/>
      <c r="G540" s="12"/>
      <c r="H540" s="93"/>
      <c r="I540" s="9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93"/>
      <c r="C541" s="93"/>
      <c r="D541" s="4"/>
      <c r="E541" s="93"/>
      <c r="F541" s="93"/>
      <c r="G541" s="12"/>
      <c r="H541" s="93"/>
      <c r="I541" s="9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93"/>
      <c r="C542" s="93"/>
      <c r="D542" s="4"/>
      <c r="E542" s="93"/>
      <c r="F542" s="93"/>
      <c r="G542" s="12"/>
      <c r="H542" s="93"/>
      <c r="I542" s="9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93"/>
      <c r="C543" s="93"/>
      <c r="D543" s="4"/>
      <c r="E543" s="93"/>
      <c r="F543" s="93"/>
      <c r="G543" s="12"/>
      <c r="H543" s="93"/>
      <c r="I543" s="9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93"/>
      <c r="C544" s="93"/>
      <c r="D544" s="4"/>
      <c r="E544" s="93"/>
      <c r="F544" s="93"/>
      <c r="G544" s="12"/>
      <c r="H544" s="93"/>
      <c r="I544" s="9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93"/>
      <c r="C545" s="93"/>
      <c r="D545" s="4"/>
      <c r="E545" s="93"/>
      <c r="F545" s="93"/>
      <c r="G545" s="12"/>
      <c r="H545" s="93"/>
      <c r="I545" s="9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93"/>
      <c r="C546" s="93"/>
      <c r="D546" s="4"/>
      <c r="E546" s="93"/>
      <c r="F546" s="93"/>
      <c r="G546" s="12"/>
      <c r="H546" s="93"/>
      <c r="I546" s="9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93"/>
      <c r="C547" s="93"/>
      <c r="D547" s="4"/>
      <c r="E547" s="93"/>
      <c r="F547" s="93"/>
      <c r="G547" s="12"/>
      <c r="H547" s="93"/>
      <c r="I547" s="9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93"/>
      <c r="C548" s="93"/>
      <c r="D548" s="4"/>
      <c r="E548" s="93"/>
      <c r="F548" s="93"/>
      <c r="G548" s="12"/>
      <c r="H548" s="93"/>
      <c r="I548" s="9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93"/>
      <c r="C549" s="93"/>
      <c r="D549" s="4"/>
      <c r="E549" s="93"/>
      <c r="F549" s="93"/>
      <c r="G549" s="12"/>
      <c r="H549" s="93"/>
      <c r="I549" s="9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93"/>
      <c r="C550" s="93"/>
      <c r="D550" s="4"/>
      <c r="E550" s="93"/>
      <c r="F550" s="93"/>
      <c r="G550" s="12"/>
      <c r="H550" s="93"/>
      <c r="I550" s="9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93"/>
      <c r="C551" s="93"/>
      <c r="D551" s="4"/>
      <c r="E551" s="93"/>
      <c r="F551" s="93"/>
      <c r="G551" s="12"/>
      <c r="H551" s="93"/>
      <c r="I551" s="9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93"/>
      <c r="C552" s="93"/>
      <c r="D552" s="4"/>
      <c r="E552" s="93"/>
      <c r="F552" s="93"/>
      <c r="G552" s="12"/>
      <c r="H552" s="93"/>
      <c r="I552" s="9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93"/>
      <c r="C553" s="93"/>
      <c r="D553" s="4"/>
      <c r="E553" s="93"/>
      <c r="F553" s="93"/>
      <c r="G553" s="12"/>
      <c r="H553" s="93"/>
      <c r="I553" s="9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93"/>
      <c r="C554" s="93"/>
      <c r="D554" s="4"/>
      <c r="E554" s="93"/>
      <c r="F554" s="93"/>
      <c r="G554" s="12"/>
      <c r="H554" s="93"/>
      <c r="I554" s="9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93"/>
      <c r="C555" s="93"/>
      <c r="D555" s="4"/>
      <c r="E555" s="93"/>
      <c r="F555" s="93"/>
      <c r="G555" s="12"/>
      <c r="H555" s="93"/>
      <c r="I555" s="9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93"/>
      <c r="C556" s="93"/>
      <c r="D556" s="4"/>
      <c r="E556" s="93"/>
      <c r="F556" s="93"/>
      <c r="G556" s="12"/>
      <c r="H556" s="93"/>
      <c r="I556" s="9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93"/>
      <c r="C557" s="93"/>
      <c r="D557" s="4"/>
      <c r="E557" s="93"/>
      <c r="F557" s="93"/>
      <c r="G557" s="12"/>
      <c r="H557" s="93"/>
      <c r="I557" s="9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93"/>
      <c r="C558" s="93"/>
      <c r="D558" s="4"/>
      <c r="E558" s="93"/>
      <c r="F558" s="93"/>
      <c r="G558" s="12"/>
      <c r="H558" s="93"/>
      <c r="I558" s="9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93"/>
      <c r="C559" s="93"/>
      <c r="D559" s="4"/>
      <c r="E559" s="93"/>
      <c r="F559" s="93"/>
      <c r="G559" s="12"/>
      <c r="H559" s="93"/>
      <c r="I559" s="9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93"/>
      <c r="C560" s="93"/>
      <c r="D560" s="4"/>
      <c r="E560" s="93"/>
      <c r="F560" s="93"/>
      <c r="G560" s="12"/>
      <c r="H560" s="93"/>
      <c r="I560" s="9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93"/>
      <c r="C561" s="93"/>
      <c r="D561" s="4"/>
      <c r="E561" s="93"/>
      <c r="F561" s="93"/>
      <c r="G561" s="12"/>
      <c r="H561" s="93"/>
      <c r="I561" s="9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93"/>
      <c r="C562" s="93"/>
      <c r="D562" s="4"/>
      <c r="E562" s="93"/>
      <c r="F562" s="93"/>
      <c r="G562" s="12"/>
      <c r="H562" s="93"/>
      <c r="I562" s="9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93"/>
      <c r="C563" s="93"/>
      <c r="D563" s="4"/>
      <c r="E563" s="93"/>
      <c r="F563" s="93"/>
      <c r="G563" s="12"/>
      <c r="H563" s="93"/>
      <c r="I563" s="9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93"/>
      <c r="C564" s="93"/>
      <c r="D564" s="4"/>
      <c r="E564" s="93"/>
      <c r="F564" s="93"/>
      <c r="G564" s="12"/>
      <c r="H564" s="93"/>
      <c r="I564" s="9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93"/>
      <c r="C565" s="93"/>
      <c r="D565" s="4"/>
      <c r="E565" s="93"/>
      <c r="F565" s="93"/>
      <c r="G565" s="12"/>
      <c r="H565" s="93"/>
      <c r="I565" s="9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93"/>
      <c r="C566" s="93"/>
      <c r="D566" s="4"/>
      <c r="E566" s="93"/>
      <c r="F566" s="93"/>
      <c r="G566" s="12"/>
      <c r="H566" s="93"/>
      <c r="I566" s="9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93"/>
      <c r="C567" s="93"/>
      <c r="D567" s="4"/>
      <c r="E567" s="93"/>
      <c r="F567" s="93"/>
      <c r="G567" s="12"/>
      <c r="H567" s="93"/>
      <c r="I567" s="9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93"/>
      <c r="C568" s="93"/>
      <c r="D568" s="4"/>
      <c r="E568" s="93"/>
      <c r="F568" s="93"/>
      <c r="G568" s="12"/>
      <c r="H568" s="93"/>
      <c r="I568" s="9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93"/>
      <c r="C569" s="93"/>
      <c r="D569" s="4"/>
      <c r="E569" s="93"/>
      <c r="F569" s="93"/>
      <c r="G569" s="12"/>
      <c r="H569" s="93"/>
      <c r="I569" s="9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93"/>
      <c r="C570" s="93"/>
      <c r="D570" s="4"/>
      <c r="E570" s="93"/>
      <c r="F570" s="93"/>
      <c r="G570" s="12"/>
      <c r="H570" s="93"/>
      <c r="I570" s="9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93"/>
      <c r="C571" s="93"/>
      <c r="D571" s="4"/>
      <c r="E571" s="93"/>
      <c r="F571" s="93"/>
      <c r="G571" s="12"/>
      <c r="H571" s="93"/>
      <c r="I571" s="9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93"/>
      <c r="C572" s="93"/>
      <c r="D572" s="4"/>
      <c r="E572" s="93"/>
      <c r="F572" s="93"/>
      <c r="G572" s="12"/>
      <c r="H572" s="93"/>
      <c r="I572" s="9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93"/>
      <c r="C573" s="93"/>
      <c r="D573" s="4"/>
      <c r="E573" s="93"/>
      <c r="F573" s="93"/>
      <c r="G573" s="12"/>
      <c r="H573" s="93"/>
      <c r="I573" s="9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93"/>
      <c r="C574" s="93"/>
      <c r="D574" s="4"/>
      <c r="E574" s="93"/>
      <c r="F574" s="93"/>
      <c r="G574" s="12"/>
      <c r="H574" s="93"/>
      <c r="I574" s="9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93"/>
      <c r="C575" s="93"/>
      <c r="D575" s="4"/>
      <c r="E575" s="93"/>
      <c r="F575" s="93"/>
      <c r="G575" s="12"/>
      <c r="H575" s="93"/>
      <c r="I575" s="9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93"/>
      <c r="C576" s="93"/>
      <c r="D576" s="4"/>
      <c r="E576" s="93"/>
      <c r="F576" s="93"/>
      <c r="G576" s="12"/>
      <c r="H576" s="93"/>
      <c r="I576" s="9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93"/>
      <c r="C577" s="93"/>
      <c r="D577" s="4"/>
      <c r="E577" s="93"/>
      <c r="F577" s="93"/>
      <c r="G577" s="12"/>
      <c r="H577" s="93"/>
      <c r="I577" s="9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93"/>
      <c r="C578" s="93"/>
      <c r="D578" s="4"/>
      <c r="E578" s="93"/>
      <c r="F578" s="93"/>
      <c r="G578" s="12"/>
      <c r="H578" s="93"/>
      <c r="I578" s="9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93"/>
      <c r="C579" s="93"/>
      <c r="D579" s="4"/>
      <c r="E579" s="93"/>
      <c r="F579" s="93"/>
      <c r="G579" s="12"/>
      <c r="H579" s="93"/>
      <c r="I579" s="9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93"/>
      <c r="C580" s="93"/>
      <c r="D580" s="4"/>
      <c r="E580" s="93"/>
      <c r="F580" s="93"/>
      <c r="G580" s="12"/>
      <c r="H580" s="93"/>
      <c r="I580" s="9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93"/>
      <c r="C581" s="93"/>
      <c r="D581" s="4"/>
      <c r="E581" s="93"/>
      <c r="F581" s="93"/>
      <c r="G581" s="12"/>
      <c r="H581" s="93"/>
      <c r="I581" s="9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93"/>
      <c r="C582" s="93"/>
      <c r="D582" s="4"/>
      <c r="E582" s="93"/>
      <c r="F582" s="93"/>
      <c r="G582" s="12"/>
      <c r="H582" s="93"/>
      <c r="I582" s="9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93"/>
      <c r="C583" s="93"/>
      <c r="D583" s="4"/>
      <c r="E583" s="93"/>
      <c r="F583" s="93"/>
      <c r="G583" s="12"/>
      <c r="H583" s="93"/>
      <c r="I583" s="9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93"/>
      <c r="C584" s="93"/>
      <c r="D584" s="4"/>
      <c r="E584" s="93"/>
      <c r="F584" s="93"/>
      <c r="G584" s="12"/>
      <c r="H584" s="93"/>
      <c r="I584" s="9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93"/>
      <c r="C585" s="93"/>
      <c r="D585" s="4"/>
      <c r="E585" s="93"/>
      <c r="F585" s="93"/>
      <c r="G585" s="12"/>
      <c r="H585" s="93"/>
      <c r="I585" s="9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93"/>
      <c r="C586" s="93"/>
      <c r="D586" s="4"/>
      <c r="E586" s="93"/>
      <c r="F586" s="93"/>
      <c r="G586" s="12"/>
      <c r="H586" s="93"/>
      <c r="I586" s="9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93"/>
      <c r="C587" s="93"/>
      <c r="D587" s="4"/>
      <c r="E587" s="93"/>
      <c r="F587" s="93"/>
      <c r="G587" s="12"/>
      <c r="H587" s="93"/>
      <c r="I587" s="9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93"/>
      <c r="C588" s="93"/>
      <c r="D588" s="4"/>
      <c r="E588" s="93"/>
      <c r="F588" s="93"/>
      <c r="G588" s="12"/>
      <c r="H588" s="93"/>
      <c r="I588" s="9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93"/>
      <c r="C589" s="93"/>
      <c r="D589" s="4"/>
      <c r="E589" s="93"/>
      <c r="F589" s="93"/>
      <c r="G589" s="12"/>
      <c r="H589" s="93"/>
      <c r="I589" s="9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93"/>
      <c r="C590" s="93"/>
      <c r="D590" s="4"/>
      <c r="E590" s="93"/>
      <c r="F590" s="93"/>
      <c r="G590" s="12"/>
      <c r="H590" s="93"/>
      <c r="I590" s="9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93"/>
      <c r="C591" s="93"/>
      <c r="D591" s="4"/>
      <c r="E591" s="93"/>
      <c r="F591" s="93"/>
      <c r="G591" s="12"/>
      <c r="H591" s="93"/>
      <c r="I591" s="9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93"/>
      <c r="C592" s="93"/>
      <c r="D592" s="4"/>
      <c r="E592" s="93"/>
      <c r="F592" s="93"/>
      <c r="G592" s="12"/>
      <c r="H592" s="93"/>
      <c r="I592" s="9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93"/>
      <c r="C593" s="93"/>
      <c r="D593" s="4"/>
      <c r="E593" s="93"/>
      <c r="F593" s="93"/>
      <c r="G593" s="12"/>
      <c r="H593" s="93"/>
      <c r="I593" s="9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93"/>
      <c r="C594" s="93"/>
      <c r="D594" s="4"/>
      <c r="E594" s="93"/>
      <c r="F594" s="93"/>
      <c r="G594" s="12"/>
      <c r="H594" s="93"/>
      <c r="I594" s="9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93"/>
      <c r="C595" s="93"/>
      <c r="D595" s="4"/>
      <c r="E595" s="93"/>
      <c r="F595" s="93"/>
      <c r="G595" s="12"/>
      <c r="H595" s="93"/>
      <c r="I595" s="9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93"/>
      <c r="C596" s="93"/>
      <c r="D596" s="4"/>
      <c r="E596" s="93"/>
      <c r="F596" s="93"/>
      <c r="G596" s="12"/>
      <c r="H596" s="93"/>
      <c r="I596" s="9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93"/>
      <c r="C597" s="93"/>
      <c r="D597" s="4"/>
      <c r="E597" s="93"/>
      <c r="F597" s="93"/>
      <c r="G597" s="12"/>
      <c r="H597" s="93"/>
      <c r="I597" s="9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93"/>
      <c r="C598" s="93"/>
      <c r="D598" s="4"/>
      <c r="E598" s="93"/>
      <c r="F598" s="93"/>
      <c r="G598" s="12"/>
      <c r="H598" s="93"/>
      <c r="I598" s="9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93"/>
      <c r="C599" s="93"/>
      <c r="D599" s="4"/>
      <c r="E599" s="93"/>
      <c r="F599" s="93"/>
      <c r="G599" s="12"/>
      <c r="H599" s="93"/>
      <c r="I599" s="9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93"/>
      <c r="C600" s="93"/>
      <c r="D600" s="4"/>
      <c r="E600" s="93"/>
      <c r="F600" s="93"/>
      <c r="G600" s="12"/>
      <c r="H600" s="93"/>
      <c r="I600" s="9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93"/>
      <c r="C601" s="93"/>
      <c r="D601" s="4"/>
      <c r="E601" s="93"/>
      <c r="F601" s="93"/>
      <c r="G601" s="12"/>
      <c r="H601" s="93"/>
      <c r="I601" s="9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93"/>
      <c r="C602" s="93"/>
      <c r="D602" s="4"/>
      <c r="E602" s="93"/>
      <c r="F602" s="93"/>
      <c r="G602" s="12"/>
      <c r="H602" s="93"/>
      <c r="I602" s="9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93"/>
      <c r="C603" s="93"/>
      <c r="D603" s="4"/>
      <c r="E603" s="93"/>
      <c r="F603" s="93"/>
      <c r="G603" s="12"/>
      <c r="H603" s="93"/>
      <c r="I603" s="9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93"/>
      <c r="C604" s="93"/>
      <c r="D604" s="4"/>
      <c r="E604" s="93"/>
      <c r="F604" s="93"/>
      <c r="G604" s="12"/>
      <c r="H604" s="93"/>
      <c r="I604" s="9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93"/>
      <c r="C605" s="93"/>
      <c r="D605" s="4"/>
      <c r="E605" s="93"/>
      <c r="F605" s="93"/>
      <c r="G605" s="12"/>
      <c r="H605" s="93"/>
      <c r="I605" s="9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93"/>
      <c r="C606" s="93"/>
      <c r="D606" s="4"/>
      <c r="E606" s="93"/>
      <c r="F606" s="93"/>
      <c r="G606" s="12"/>
      <c r="H606" s="93"/>
      <c r="I606" s="9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93"/>
      <c r="C607" s="93"/>
      <c r="D607" s="4"/>
      <c r="E607" s="93"/>
      <c r="F607" s="93"/>
      <c r="G607" s="12"/>
      <c r="H607" s="93"/>
      <c r="I607" s="9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93"/>
      <c r="C608" s="93"/>
      <c r="D608" s="4"/>
      <c r="E608" s="93"/>
      <c r="F608" s="93"/>
      <c r="G608" s="12"/>
      <c r="H608" s="93"/>
      <c r="I608" s="9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93"/>
      <c r="C609" s="93"/>
      <c r="D609" s="4"/>
      <c r="E609" s="93"/>
      <c r="F609" s="93"/>
      <c r="G609" s="12"/>
      <c r="H609" s="93"/>
      <c r="I609" s="9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93"/>
      <c r="C610" s="93"/>
      <c r="D610" s="4"/>
      <c r="E610" s="93"/>
      <c r="F610" s="93"/>
      <c r="G610" s="12"/>
      <c r="H610" s="93"/>
      <c r="I610" s="9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93"/>
      <c r="C611" s="93"/>
      <c r="D611" s="4"/>
      <c r="E611" s="93"/>
      <c r="F611" s="93"/>
      <c r="G611" s="12"/>
      <c r="H611" s="93"/>
      <c r="I611" s="9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93"/>
      <c r="C612" s="93"/>
      <c r="D612" s="4"/>
      <c r="E612" s="93"/>
      <c r="F612" s="93"/>
      <c r="G612" s="12"/>
      <c r="H612" s="93"/>
      <c r="I612" s="9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93"/>
      <c r="C613" s="93"/>
      <c r="D613" s="4"/>
      <c r="E613" s="93"/>
      <c r="F613" s="93"/>
      <c r="G613" s="12"/>
      <c r="H613" s="93"/>
      <c r="I613" s="9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93"/>
      <c r="C614" s="93"/>
      <c r="D614" s="4"/>
      <c r="E614" s="93"/>
      <c r="F614" s="93"/>
      <c r="G614" s="12"/>
      <c r="H614" s="93"/>
      <c r="I614" s="9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93"/>
      <c r="C615" s="93"/>
      <c r="D615" s="4"/>
      <c r="E615" s="93"/>
      <c r="F615" s="93"/>
      <c r="G615" s="12"/>
      <c r="H615" s="93"/>
      <c r="I615" s="9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93"/>
      <c r="C616" s="93"/>
      <c r="D616" s="4"/>
      <c r="E616" s="93"/>
      <c r="F616" s="93"/>
      <c r="G616" s="12"/>
      <c r="H616" s="93"/>
      <c r="I616" s="9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93"/>
      <c r="C617" s="93"/>
      <c r="D617" s="4"/>
      <c r="E617" s="93"/>
      <c r="F617" s="93"/>
      <c r="G617" s="12"/>
      <c r="H617" s="93"/>
      <c r="I617" s="9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93"/>
      <c r="C618" s="93"/>
      <c r="D618" s="4"/>
      <c r="E618" s="93"/>
      <c r="F618" s="93"/>
      <c r="G618" s="12"/>
      <c r="H618" s="93"/>
      <c r="I618" s="9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93"/>
      <c r="C619" s="93"/>
      <c r="D619" s="4"/>
      <c r="E619" s="93"/>
      <c r="F619" s="93"/>
      <c r="G619" s="12"/>
      <c r="H619" s="93"/>
      <c r="I619" s="9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93"/>
      <c r="C620" s="93"/>
      <c r="D620" s="4"/>
      <c r="E620" s="93"/>
      <c r="F620" s="93"/>
      <c r="G620" s="12"/>
      <c r="H620" s="93"/>
      <c r="I620" s="9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93"/>
      <c r="C621" s="93"/>
      <c r="D621" s="4"/>
      <c r="E621" s="93"/>
      <c r="F621" s="93"/>
      <c r="G621" s="12"/>
      <c r="H621" s="93"/>
      <c r="I621" s="9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93"/>
      <c r="C622" s="93"/>
      <c r="D622" s="4"/>
      <c r="E622" s="93"/>
      <c r="F622" s="93"/>
      <c r="G622" s="12"/>
      <c r="H622" s="93"/>
      <c r="I622" s="9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93"/>
      <c r="C623" s="93"/>
      <c r="D623" s="4"/>
      <c r="E623" s="93"/>
      <c r="F623" s="93"/>
      <c r="G623" s="12"/>
      <c r="H623" s="93"/>
      <c r="I623" s="9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93"/>
      <c r="C624" s="93"/>
      <c r="D624" s="4"/>
      <c r="E624" s="93"/>
      <c r="F624" s="93"/>
      <c r="G624" s="12"/>
      <c r="H624" s="93"/>
      <c r="I624" s="9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93"/>
      <c r="C625" s="93"/>
      <c r="D625" s="4"/>
      <c r="E625" s="93"/>
      <c r="F625" s="93"/>
      <c r="G625" s="12"/>
      <c r="H625" s="93"/>
      <c r="I625" s="9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93"/>
      <c r="C626" s="93"/>
      <c r="D626" s="4"/>
      <c r="E626" s="93"/>
      <c r="F626" s="93"/>
      <c r="G626" s="12"/>
      <c r="H626" s="93"/>
      <c r="I626" s="9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93"/>
      <c r="C627" s="93"/>
      <c r="D627" s="4"/>
      <c r="E627" s="93"/>
      <c r="F627" s="93"/>
      <c r="G627" s="12"/>
      <c r="H627" s="93"/>
      <c r="I627" s="9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93"/>
      <c r="C628" s="93"/>
      <c r="D628" s="4"/>
      <c r="E628" s="93"/>
      <c r="F628" s="93"/>
      <c r="G628" s="12"/>
      <c r="H628" s="93"/>
      <c r="I628" s="9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93"/>
      <c r="C629" s="93"/>
      <c r="D629" s="4"/>
      <c r="E629" s="93"/>
      <c r="F629" s="93"/>
      <c r="G629" s="12"/>
      <c r="H629" s="93"/>
      <c r="I629" s="9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93"/>
      <c r="C630" s="93"/>
      <c r="D630" s="4"/>
      <c r="E630" s="93"/>
      <c r="F630" s="93"/>
      <c r="G630" s="12"/>
      <c r="H630" s="93"/>
      <c r="I630" s="9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93"/>
      <c r="C631" s="93"/>
      <c r="D631" s="4"/>
      <c r="E631" s="93"/>
      <c r="F631" s="93"/>
      <c r="G631" s="12"/>
      <c r="H631" s="93"/>
      <c r="I631" s="9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93"/>
      <c r="C632" s="93"/>
      <c r="D632" s="4"/>
      <c r="E632" s="93"/>
      <c r="F632" s="93"/>
      <c r="G632" s="12"/>
      <c r="H632" s="93"/>
      <c r="I632" s="9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93"/>
      <c r="C633" s="93"/>
      <c r="D633" s="4"/>
      <c r="E633" s="93"/>
      <c r="F633" s="93"/>
      <c r="G633" s="12"/>
      <c r="H633" s="93"/>
      <c r="I633" s="9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93"/>
      <c r="C634" s="93"/>
      <c r="D634" s="4"/>
      <c r="E634" s="93"/>
      <c r="F634" s="93"/>
      <c r="G634" s="12"/>
      <c r="H634" s="93"/>
      <c r="I634" s="9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93"/>
      <c r="C635" s="93"/>
      <c r="D635" s="4"/>
      <c r="E635" s="93"/>
      <c r="F635" s="93"/>
      <c r="G635" s="12"/>
      <c r="H635" s="93"/>
      <c r="I635" s="9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93"/>
      <c r="C636" s="93"/>
      <c r="D636" s="4"/>
      <c r="E636" s="93"/>
      <c r="F636" s="93"/>
      <c r="G636" s="12"/>
      <c r="H636" s="93"/>
      <c r="I636" s="9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93"/>
      <c r="C637" s="93"/>
      <c r="D637" s="4"/>
      <c r="E637" s="93"/>
      <c r="F637" s="93"/>
      <c r="G637" s="12"/>
      <c r="H637" s="93"/>
      <c r="I637" s="9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93"/>
      <c r="C638" s="93"/>
      <c r="D638" s="4"/>
      <c r="E638" s="93"/>
      <c r="F638" s="93"/>
      <c r="G638" s="12"/>
      <c r="H638" s="93"/>
      <c r="I638" s="9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93"/>
      <c r="C639" s="93"/>
      <c r="D639" s="4"/>
      <c r="E639" s="93"/>
      <c r="F639" s="93"/>
      <c r="G639" s="12"/>
      <c r="H639" s="93"/>
      <c r="I639" s="9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93"/>
      <c r="C640" s="93"/>
      <c r="D640" s="4"/>
      <c r="E640" s="93"/>
      <c r="F640" s="93"/>
      <c r="G640" s="12"/>
      <c r="H640" s="93"/>
      <c r="I640" s="9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93"/>
      <c r="C641" s="93"/>
      <c r="D641" s="4"/>
      <c r="E641" s="93"/>
      <c r="F641" s="93"/>
      <c r="G641" s="12"/>
      <c r="H641" s="93"/>
      <c r="I641" s="9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93"/>
      <c r="C642" s="93"/>
      <c r="D642" s="4"/>
      <c r="E642" s="93"/>
      <c r="F642" s="93"/>
      <c r="G642" s="12"/>
      <c r="H642" s="93"/>
      <c r="I642" s="9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93"/>
      <c r="C643" s="93"/>
      <c r="D643" s="4"/>
      <c r="E643" s="93"/>
      <c r="F643" s="93"/>
      <c r="G643" s="12"/>
      <c r="H643" s="93"/>
      <c r="I643" s="9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93"/>
      <c r="C644" s="93"/>
      <c r="D644" s="4"/>
      <c r="E644" s="93"/>
      <c r="F644" s="93"/>
      <c r="G644" s="12"/>
      <c r="H644" s="93"/>
      <c r="I644" s="9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93"/>
      <c r="C645" s="93"/>
      <c r="D645" s="4"/>
      <c r="E645" s="93"/>
      <c r="F645" s="93"/>
      <c r="G645" s="12"/>
      <c r="H645" s="93"/>
      <c r="I645" s="9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93"/>
      <c r="C646" s="93"/>
      <c r="D646" s="4"/>
      <c r="E646" s="93"/>
      <c r="F646" s="93"/>
      <c r="G646" s="12"/>
      <c r="H646" s="93"/>
      <c r="I646" s="9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93"/>
      <c r="C647" s="93"/>
      <c r="D647" s="4"/>
      <c r="E647" s="93"/>
      <c r="F647" s="93"/>
      <c r="G647" s="12"/>
      <c r="H647" s="93"/>
      <c r="I647" s="9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93"/>
      <c r="C648" s="93"/>
      <c r="D648" s="4"/>
      <c r="E648" s="93"/>
      <c r="F648" s="93"/>
      <c r="G648" s="12"/>
      <c r="H648" s="93"/>
      <c r="I648" s="9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93"/>
      <c r="C649" s="93"/>
      <c r="D649" s="4"/>
      <c r="E649" s="93"/>
      <c r="F649" s="93"/>
      <c r="G649" s="12"/>
      <c r="H649" s="93"/>
      <c r="I649" s="9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93"/>
      <c r="C650" s="93"/>
      <c r="D650" s="4"/>
      <c r="E650" s="93"/>
      <c r="F650" s="93"/>
      <c r="G650" s="12"/>
      <c r="H650" s="93"/>
      <c r="I650" s="9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93"/>
      <c r="C651" s="93"/>
      <c r="D651" s="4"/>
      <c r="E651" s="93"/>
      <c r="F651" s="93"/>
      <c r="G651" s="12"/>
      <c r="H651" s="93"/>
      <c r="I651" s="9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93"/>
      <c r="C652" s="93"/>
      <c r="D652" s="4"/>
      <c r="E652" s="93"/>
      <c r="F652" s="93"/>
      <c r="G652" s="12"/>
      <c r="H652" s="93"/>
      <c r="I652" s="9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93"/>
      <c r="C653" s="93"/>
      <c r="D653" s="4"/>
      <c r="E653" s="93"/>
      <c r="F653" s="93"/>
      <c r="G653" s="12"/>
      <c r="H653" s="93"/>
      <c r="I653" s="9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93"/>
      <c r="C654" s="93"/>
      <c r="D654" s="4"/>
      <c r="E654" s="93"/>
      <c r="F654" s="93"/>
      <c r="G654" s="12"/>
      <c r="H654" s="93"/>
      <c r="I654" s="9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93"/>
      <c r="C655" s="93"/>
      <c r="D655" s="4"/>
      <c r="E655" s="93"/>
      <c r="F655" s="93"/>
      <c r="G655" s="12"/>
      <c r="H655" s="93"/>
      <c r="I655" s="9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93"/>
      <c r="C656" s="93"/>
      <c r="D656" s="4"/>
      <c r="E656" s="93"/>
      <c r="F656" s="93"/>
      <c r="G656" s="12"/>
      <c r="H656" s="93"/>
      <c r="I656" s="9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93"/>
      <c r="C657" s="93"/>
      <c r="D657" s="4"/>
      <c r="E657" s="93"/>
      <c r="F657" s="93"/>
      <c r="G657" s="12"/>
      <c r="H657" s="93"/>
      <c r="I657" s="9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93"/>
      <c r="C658" s="93"/>
      <c r="D658" s="4"/>
      <c r="E658" s="93"/>
      <c r="F658" s="93"/>
      <c r="G658" s="12"/>
      <c r="H658" s="93"/>
      <c r="I658" s="9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93"/>
      <c r="C659" s="93"/>
      <c r="D659" s="4"/>
      <c r="E659" s="93"/>
      <c r="F659" s="93"/>
      <c r="G659" s="12"/>
      <c r="H659" s="93"/>
      <c r="I659" s="9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93"/>
      <c r="C660" s="93"/>
      <c r="D660" s="4"/>
      <c r="E660" s="93"/>
      <c r="F660" s="93"/>
      <c r="G660" s="12"/>
      <c r="H660" s="93"/>
      <c r="I660" s="9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93"/>
      <c r="C661" s="93"/>
      <c r="D661" s="4"/>
      <c r="E661" s="93"/>
      <c r="F661" s="93"/>
      <c r="G661" s="12"/>
      <c r="H661" s="93"/>
      <c r="I661" s="9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93"/>
      <c r="C662" s="93"/>
      <c r="D662" s="4"/>
      <c r="E662" s="93"/>
      <c r="F662" s="93"/>
      <c r="G662" s="12"/>
      <c r="H662" s="93"/>
      <c r="I662" s="9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93"/>
      <c r="C663" s="93"/>
      <c r="D663" s="4"/>
      <c r="E663" s="93"/>
      <c r="F663" s="93"/>
      <c r="G663" s="12"/>
      <c r="H663" s="93"/>
      <c r="I663" s="9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93"/>
      <c r="C664" s="93"/>
      <c r="D664" s="4"/>
      <c r="E664" s="93"/>
      <c r="F664" s="93"/>
      <c r="G664" s="12"/>
      <c r="H664" s="93"/>
      <c r="I664" s="9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93"/>
      <c r="C665" s="93"/>
      <c r="D665" s="4"/>
      <c r="E665" s="93"/>
      <c r="F665" s="93"/>
      <c r="G665" s="12"/>
      <c r="H665" s="93"/>
      <c r="I665" s="9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93"/>
      <c r="C666" s="93"/>
      <c r="D666" s="4"/>
      <c r="E666" s="93"/>
      <c r="F666" s="93"/>
      <c r="G666" s="12"/>
      <c r="H666" s="93"/>
      <c r="I666" s="9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93"/>
      <c r="C667" s="93"/>
      <c r="D667" s="4"/>
      <c r="E667" s="93"/>
      <c r="F667" s="93"/>
      <c r="G667" s="12"/>
      <c r="H667" s="93"/>
      <c r="I667" s="9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93"/>
      <c r="C668" s="93"/>
      <c r="D668" s="4"/>
      <c r="E668" s="93"/>
      <c r="F668" s="93"/>
      <c r="G668" s="12"/>
      <c r="H668" s="93"/>
      <c r="I668" s="9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93"/>
      <c r="C669" s="93"/>
      <c r="D669" s="4"/>
      <c r="E669" s="93"/>
      <c r="F669" s="93"/>
      <c r="G669" s="12"/>
      <c r="H669" s="93"/>
      <c r="I669" s="9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93"/>
      <c r="C670" s="93"/>
      <c r="D670" s="4"/>
      <c r="E670" s="93"/>
      <c r="F670" s="93"/>
      <c r="G670" s="12"/>
      <c r="H670" s="93"/>
      <c r="I670" s="9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93"/>
      <c r="C671" s="93"/>
      <c r="D671" s="4"/>
      <c r="E671" s="93"/>
      <c r="F671" s="93"/>
      <c r="G671" s="12"/>
      <c r="H671" s="93"/>
      <c r="I671" s="9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93"/>
      <c r="C672" s="93"/>
      <c r="D672" s="4"/>
      <c r="E672" s="93"/>
      <c r="F672" s="93"/>
      <c r="G672" s="12"/>
      <c r="H672" s="93"/>
      <c r="I672" s="9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93"/>
      <c r="C673" s="93"/>
      <c r="D673" s="4"/>
      <c r="E673" s="93"/>
      <c r="F673" s="93"/>
      <c r="G673" s="12"/>
      <c r="H673" s="93"/>
      <c r="I673" s="9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93"/>
      <c r="C674" s="93"/>
      <c r="D674" s="4"/>
      <c r="E674" s="93"/>
      <c r="F674" s="93"/>
      <c r="G674" s="12"/>
      <c r="H674" s="93"/>
      <c r="I674" s="9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93"/>
      <c r="C675" s="93"/>
      <c r="D675" s="4"/>
      <c r="E675" s="93"/>
      <c r="F675" s="93"/>
      <c r="G675" s="12"/>
      <c r="H675" s="93"/>
      <c r="I675" s="9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93"/>
      <c r="C676" s="93"/>
      <c r="D676" s="4"/>
      <c r="E676" s="93"/>
      <c r="F676" s="93"/>
      <c r="G676" s="12"/>
      <c r="H676" s="93"/>
      <c r="I676" s="9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93"/>
      <c r="C677" s="93"/>
      <c r="D677" s="4"/>
      <c r="E677" s="93"/>
      <c r="F677" s="93"/>
      <c r="G677" s="12"/>
      <c r="H677" s="93"/>
      <c r="I677" s="9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93"/>
      <c r="C678" s="93"/>
      <c r="D678" s="4"/>
      <c r="E678" s="93"/>
      <c r="F678" s="93"/>
      <c r="G678" s="12"/>
      <c r="H678" s="93"/>
      <c r="I678" s="9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93"/>
      <c r="C679" s="93"/>
      <c r="D679" s="4"/>
      <c r="E679" s="93"/>
      <c r="F679" s="93"/>
      <c r="G679" s="12"/>
      <c r="H679" s="93"/>
      <c r="I679" s="9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93"/>
      <c r="C680" s="93"/>
      <c r="D680" s="4"/>
      <c r="E680" s="93"/>
      <c r="F680" s="93"/>
      <c r="G680" s="12"/>
      <c r="H680" s="93"/>
      <c r="I680" s="9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93"/>
      <c r="C681" s="93"/>
      <c r="D681" s="4"/>
      <c r="E681" s="93"/>
      <c r="F681" s="93"/>
      <c r="G681" s="12"/>
      <c r="H681" s="93"/>
      <c r="I681" s="9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93"/>
      <c r="C682" s="93"/>
      <c r="D682" s="4"/>
      <c r="E682" s="93"/>
      <c r="F682" s="93"/>
      <c r="G682" s="12"/>
      <c r="H682" s="93"/>
      <c r="I682" s="9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93"/>
      <c r="C683" s="93"/>
      <c r="D683" s="4"/>
      <c r="E683" s="93"/>
      <c r="F683" s="93"/>
      <c r="G683" s="12"/>
      <c r="H683" s="93"/>
      <c r="I683" s="9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93"/>
      <c r="C684" s="93"/>
      <c r="D684" s="4"/>
      <c r="E684" s="93"/>
      <c r="F684" s="93"/>
      <c r="G684" s="12"/>
      <c r="H684" s="93"/>
      <c r="I684" s="9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93"/>
      <c r="C685" s="93"/>
      <c r="D685" s="4"/>
      <c r="E685" s="93"/>
      <c r="F685" s="93"/>
      <c r="G685" s="12"/>
      <c r="H685" s="93"/>
      <c r="I685" s="9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93"/>
      <c r="C686" s="93"/>
      <c r="D686" s="4"/>
      <c r="E686" s="93"/>
      <c r="F686" s="93"/>
      <c r="G686" s="12"/>
      <c r="H686" s="93"/>
      <c r="I686" s="9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93"/>
      <c r="C687" s="93"/>
      <c r="D687" s="4"/>
      <c r="E687" s="93"/>
      <c r="F687" s="93"/>
      <c r="G687" s="12"/>
      <c r="H687" s="93"/>
      <c r="I687" s="9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93"/>
      <c r="C688" s="93"/>
      <c r="D688" s="4"/>
      <c r="E688" s="93"/>
      <c r="F688" s="93"/>
      <c r="G688" s="12"/>
      <c r="H688" s="93"/>
      <c r="I688" s="9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93"/>
      <c r="C689" s="93"/>
      <c r="D689" s="4"/>
      <c r="E689" s="93"/>
      <c r="F689" s="93"/>
      <c r="G689" s="12"/>
      <c r="H689" s="93"/>
      <c r="I689" s="9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93"/>
      <c r="C690" s="93"/>
      <c r="D690" s="4"/>
      <c r="E690" s="93"/>
      <c r="F690" s="93"/>
      <c r="G690" s="12"/>
      <c r="H690" s="93"/>
      <c r="I690" s="9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93"/>
      <c r="C691" s="93"/>
      <c r="D691" s="4"/>
      <c r="E691" s="93"/>
      <c r="F691" s="93"/>
      <c r="G691" s="12"/>
      <c r="H691" s="93"/>
      <c r="I691" s="9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93"/>
      <c r="C692" s="93"/>
      <c r="D692" s="4"/>
      <c r="E692" s="93"/>
      <c r="F692" s="93"/>
      <c r="G692" s="12"/>
      <c r="H692" s="93"/>
      <c r="I692" s="9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93"/>
      <c r="C693" s="93"/>
      <c r="D693" s="4"/>
      <c r="E693" s="93"/>
      <c r="F693" s="93"/>
      <c r="G693" s="12"/>
      <c r="H693" s="93"/>
      <c r="I693" s="9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93"/>
      <c r="C694" s="93"/>
      <c r="D694" s="4"/>
      <c r="E694" s="93"/>
      <c r="F694" s="93"/>
      <c r="G694" s="12"/>
      <c r="H694" s="93"/>
      <c r="I694" s="9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93"/>
      <c r="C695" s="93"/>
      <c r="D695" s="4"/>
      <c r="E695" s="93"/>
      <c r="F695" s="93"/>
      <c r="G695" s="12"/>
      <c r="H695" s="93"/>
      <c r="I695" s="9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93"/>
      <c r="C696" s="93"/>
      <c r="D696" s="4"/>
      <c r="E696" s="93"/>
      <c r="F696" s="93"/>
      <c r="G696" s="12"/>
      <c r="H696" s="93"/>
      <c r="I696" s="9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93"/>
      <c r="C697" s="93"/>
      <c r="D697" s="4"/>
      <c r="E697" s="93"/>
      <c r="F697" s="93"/>
      <c r="G697" s="12"/>
      <c r="H697" s="93"/>
      <c r="I697" s="9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93"/>
      <c r="C698" s="93"/>
      <c r="D698" s="4"/>
      <c r="E698" s="93"/>
      <c r="F698" s="93"/>
      <c r="G698" s="12"/>
      <c r="H698" s="93"/>
      <c r="I698" s="9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93"/>
      <c r="C699" s="93"/>
      <c r="D699" s="4"/>
      <c r="E699" s="93"/>
      <c r="F699" s="93"/>
      <c r="G699" s="12"/>
      <c r="H699" s="93"/>
      <c r="I699" s="9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93"/>
      <c r="C700" s="93"/>
      <c r="D700" s="4"/>
      <c r="E700" s="93"/>
      <c r="F700" s="93"/>
      <c r="G700" s="12"/>
      <c r="H700" s="93"/>
      <c r="I700" s="9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93"/>
      <c r="C701" s="93"/>
      <c r="D701" s="4"/>
      <c r="E701" s="93"/>
      <c r="F701" s="93"/>
      <c r="G701" s="12"/>
      <c r="H701" s="93"/>
      <c r="I701" s="9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93"/>
      <c r="C702" s="93"/>
      <c r="D702" s="4"/>
      <c r="E702" s="93"/>
      <c r="F702" s="93"/>
      <c r="G702" s="12"/>
      <c r="H702" s="93"/>
      <c r="I702" s="9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93"/>
      <c r="C703" s="93"/>
      <c r="D703" s="4"/>
      <c r="E703" s="93"/>
      <c r="F703" s="93"/>
      <c r="G703" s="12"/>
      <c r="H703" s="93"/>
      <c r="I703" s="9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93"/>
      <c r="C704" s="93"/>
      <c r="D704" s="4"/>
      <c r="E704" s="93"/>
      <c r="F704" s="93"/>
      <c r="G704" s="12"/>
      <c r="H704" s="93"/>
      <c r="I704" s="9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93"/>
      <c r="C705" s="93"/>
      <c r="D705" s="4"/>
      <c r="E705" s="93"/>
      <c r="F705" s="93"/>
      <c r="G705" s="12"/>
      <c r="H705" s="93"/>
      <c r="I705" s="9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93"/>
      <c r="C706" s="93"/>
      <c r="D706" s="4"/>
      <c r="E706" s="93"/>
      <c r="F706" s="93"/>
      <c r="G706" s="12"/>
      <c r="H706" s="93"/>
      <c r="I706" s="9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93"/>
      <c r="C707" s="93"/>
      <c r="D707" s="4"/>
      <c r="E707" s="93"/>
      <c r="F707" s="93"/>
      <c r="G707" s="12"/>
      <c r="H707" s="93"/>
      <c r="I707" s="9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93"/>
      <c r="C708" s="93"/>
      <c r="D708" s="4"/>
      <c r="E708" s="93"/>
      <c r="F708" s="93"/>
      <c r="G708" s="12"/>
      <c r="H708" s="93"/>
      <c r="I708" s="9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93"/>
      <c r="C709" s="93"/>
      <c r="D709" s="4"/>
      <c r="E709" s="93"/>
      <c r="F709" s="93"/>
      <c r="G709" s="12"/>
      <c r="H709" s="93"/>
      <c r="I709" s="9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93"/>
      <c r="C710" s="93"/>
      <c r="D710" s="4"/>
      <c r="E710" s="93"/>
      <c r="F710" s="93"/>
      <c r="G710" s="12"/>
      <c r="H710" s="93"/>
      <c r="I710" s="9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93"/>
      <c r="C711" s="93"/>
      <c r="D711" s="4"/>
      <c r="E711" s="93"/>
      <c r="F711" s="93"/>
      <c r="G711" s="12"/>
      <c r="H711" s="93"/>
      <c r="I711" s="9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93"/>
      <c r="C712" s="93"/>
      <c r="D712" s="4"/>
      <c r="E712" s="93"/>
      <c r="F712" s="93"/>
      <c r="G712" s="12"/>
      <c r="H712" s="93"/>
      <c r="I712" s="9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93"/>
      <c r="C713" s="93"/>
      <c r="D713" s="4"/>
      <c r="E713" s="93"/>
      <c r="F713" s="93"/>
      <c r="G713" s="12"/>
      <c r="H713" s="93"/>
      <c r="I713" s="9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93"/>
      <c r="C714" s="93"/>
      <c r="D714" s="4"/>
      <c r="E714" s="93"/>
      <c r="F714" s="93"/>
      <c r="G714" s="12"/>
      <c r="H714" s="93"/>
      <c r="I714" s="9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93"/>
      <c r="C715" s="93"/>
      <c r="D715" s="4"/>
      <c r="E715" s="93"/>
      <c r="F715" s="93"/>
      <c r="G715" s="12"/>
      <c r="H715" s="93"/>
      <c r="I715" s="9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93"/>
      <c r="C716" s="93"/>
      <c r="D716" s="4"/>
      <c r="E716" s="93"/>
      <c r="F716" s="93"/>
      <c r="G716" s="12"/>
      <c r="H716" s="93"/>
      <c r="I716" s="9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93"/>
      <c r="C717" s="93"/>
      <c r="D717" s="4"/>
      <c r="E717" s="93"/>
      <c r="F717" s="93"/>
      <c r="G717" s="12"/>
      <c r="H717" s="93"/>
      <c r="I717" s="9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93"/>
      <c r="C718" s="93"/>
      <c r="D718" s="4"/>
      <c r="E718" s="93"/>
      <c r="F718" s="93"/>
      <c r="G718" s="12"/>
      <c r="H718" s="93"/>
      <c r="I718" s="9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93"/>
      <c r="C719" s="93"/>
      <c r="D719" s="4"/>
      <c r="E719" s="93"/>
      <c r="F719" s="93"/>
      <c r="G719" s="12"/>
      <c r="H719" s="93"/>
      <c r="I719" s="9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93"/>
      <c r="C720" s="93"/>
      <c r="D720" s="4"/>
      <c r="E720" s="93"/>
      <c r="F720" s="93"/>
      <c r="G720" s="12"/>
      <c r="H720" s="93"/>
      <c r="I720" s="9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93"/>
      <c r="C721" s="93"/>
      <c r="D721" s="4"/>
      <c r="E721" s="93"/>
      <c r="F721" s="93"/>
      <c r="G721" s="12"/>
      <c r="H721" s="93"/>
      <c r="I721" s="9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93"/>
      <c r="C722" s="93"/>
      <c r="D722" s="4"/>
      <c r="E722" s="93"/>
      <c r="F722" s="93"/>
      <c r="G722" s="12"/>
      <c r="H722" s="93"/>
      <c r="I722" s="9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93"/>
      <c r="C723" s="93"/>
      <c r="D723" s="4"/>
      <c r="E723" s="93"/>
      <c r="F723" s="93"/>
      <c r="G723" s="12"/>
      <c r="H723" s="93"/>
      <c r="I723" s="9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93"/>
      <c r="C724" s="93"/>
      <c r="D724" s="4"/>
      <c r="E724" s="93"/>
      <c r="F724" s="93"/>
      <c r="G724" s="12"/>
      <c r="H724" s="93"/>
      <c r="I724" s="9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93"/>
      <c r="C725" s="93"/>
      <c r="D725" s="4"/>
      <c r="E725" s="93"/>
      <c r="F725" s="93"/>
      <c r="G725" s="12"/>
      <c r="H725" s="93"/>
      <c r="I725" s="9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93"/>
      <c r="C726" s="93"/>
      <c r="D726" s="4"/>
      <c r="E726" s="93"/>
      <c r="F726" s="93"/>
      <c r="G726" s="12"/>
      <c r="H726" s="93"/>
      <c r="I726" s="9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93"/>
      <c r="C727" s="93"/>
      <c r="D727" s="4"/>
      <c r="E727" s="93"/>
      <c r="F727" s="93"/>
      <c r="G727" s="12"/>
      <c r="H727" s="93"/>
      <c r="I727" s="9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93"/>
      <c r="C728" s="93"/>
      <c r="D728" s="4"/>
      <c r="E728" s="93"/>
      <c r="F728" s="93"/>
      <c r="G728" s="12"/>
      <c r="H728" s="93"/>
      <c r="I728" s="9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93"/>
      <c r="C729" s="93"/>
      <c r="D729" s="4"/>
      <c r="E729" s="93"/>
      <c r="F729" s="93"/>
      <c r="G729" s="12"/>
      <c r="H729" s="93"/>
      <c r="I729" s="9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93"/>
      <c r="C730" s="93"/>
      <c r="D730" s="4"/>
      <c r="E730" s="93"/>
      <c r="F730" s="93"/>
      <c r="G730" s="12"/>
      <c r="H730" s="93"/>
      <c r="I730" s="9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93"/>
      <c r="C731" s="93"/>
      <c r="D731" s="4"/>
      <c r="E731" s="93"/>
      <c r="F731" s="93"/>
      <c r="G731" s="12"/>
      <c r="H731" s="93"/>
      <c r="I731" s="9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93"/>
      <c r="C732" s="93"/>
      <c r="D732" s="4"/>
      <c r="E732" s="93"/>
      <c r="F732" s="93"/>
      <c r="G732" s="12"/>
      <c r="H732" s="93"/>
      <c r="I732" s="9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93"/>
      <c r="C733" s="93"/>
      <c r="D733" s="4"/>
      <c r="E733" s="93"/>
      <c r="F733" s="93"/>
      <c r="G733" s="12"/>
      <c r="H733" s="93"/>
      <c r="I733" s="9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93"/>
      <c r="C734" s="93"/>
      <c r="D734" s="4"/>
      <c r="E734" s="93"/>
      <c r="F734" s="93"/>
      <c r="G734" s="12"/>
      <c r="H734" s="93"/>
      <c r="I734" s="9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93"/>
      <c r="C735" s="93"/>
      <c r="D735" s="4"/>
      <c r="E735" s="93"/>
      <c r="F735" s="93"/>
      <c r="G735" s="12"/>
      <c r="H735" s="93"/>
      <c r="I735" s="9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93"/>
      <c r="C736" s="93"/>
      <c r="D736" s="4"/>
      <c r="E736" s="93"/>
      <c r="F736" s="93"/>
      <c r="G736" s="12"/>
      <c r="H736" s="93"/>
      <c r="I736" s="9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93"/>
      <c r="C737" s="93"/>
      <c r="D737" s="4"/>
      <c r="E737" s="93"/>
      <c r="F737" s="93"/>
      <c r="G737" s="12"/>
      <c r="H737" s="93"/>
      <c r="I737" s="9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93"/>
      <c r="C738" s="93"/>
      <c r="D738" s="4"/>
      <c r="E738" s="93"/>
      <c r="F738" s="93"/>
      <c r="G738" s="12"/>
      <c r="H738" s="93"/>
      <c r="I738" s="9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93"/>
      <c r="C739" s="93"/>
      <c r="D739" s="4"/>
      <c r="E739" s="93"/>
      <c r="F739" s="93"/>
      <c r="G739" s="12"/>
      <c r="H739" s="93"/>
      <c r="I739" s="9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93"/>
      <c r="C740" s="93"/>
      <c r="D740" s="4"/>
      <c r="E740" s="93"/>
      <c r="F740" s="93"/>
      <c r="G740" s="12"/>
      <c r="H740" s="93"/>
      <c r="I740" s="9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93"/>
      <c r="C741" s="93"/>
      <c r="D741" s="4"/>
      <c r="E741" s="93"/>
      <c r="F741" s="93"/>
      <c r="G741" s="12"/>
      <c r="H741" s="93"/>
      <c r="I741" s="9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93"/>
      <c r="C742" s="93"/>
      <c r="D742" s="4"/>
      <c r="E742" s="93"/>
      <c r="F742" s="93"/>
      <c r="G742" s="12"/>
      <c r="H742" s="93"/>
      <c r="I742" s="9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93"/>
      <c r="C743" s="93"/>
      <c r="D743" s="4"/>
      <c r="E743" s="93"/>
      <c r="F743" s="93"/>
      <c r="G743" s="12"/>
      <c r="H743" s="93"/>
      <c r="I743" s="9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93"/>
      <c r="C744" s="93"/>
      <c r="D744" s="4"/>
      <c r="E744" s="93"/>
      <c r="F744" s="93"/>
      <c r="G744" s="12"/>
      <c r="H744" s="93"/>
      <c r="I744" s="9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93"/>
      <c r="C745" s="93"/>
      <c r="D745" s="4"/>
      <c r="E745" s="93"/>
      <c r="F745" s="93"/>
      <c r="G745" s="12"/>
      <c r="H745" s="93"/>
      <c r="I745" s="9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93"/>
      <c r="C746" s="93"/>
      <c r="D746" s="4"/>
      <c r="E746" s="93"/>
      <c r="F746" s="93"/>
      <c r="G746" s="12"/>
      <c r="H746" s="93"/>
      <c r="I746" s="9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93"/>
      <c r="C747" s="93"/>
      <c r="D747" s="4"/>
      <c r="E747" s="93"/>
      <c r="F747" s="93"/>
      <c r="G747" s="12"/>
      <c r="H747" s="93"/>
      <c r="I747" s="9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93"/>
      <c r="C748" s="93"/>
      <c r="D748" s="4"/>
      <c r="E748" s="93"/>
      <c r="F748" s="93"/>
      <c r="G748" s="12"/>
      <c r="H748" s="93"/>
      <c r="I748" s="9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93"/>
      <c r="C749" s="93"/>
      <c r="D749" s="4"/>
      <c r="E749" s="93"/>
      <c r="F749" s="93"/>
      <c r="G749" s="12"/>
      <c r="H749" s="93"/>
      <c r="I749" s="9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93"/>
      <c r="C750" s="93"/>
      <c r="D750" s="4"/>
      <c r="E750" s="93"/>
      <c r="F750" s="93"/>
      <c r="G750" s="12"/>
      <c r="H750" s="93"/>
      <c r="I750" s="9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93"/>
      <c r="C751" s="93"/>
      <c r="D751" s="4"/>
      <c r="E751" s="93"/>
      <c r="F751" s="93"/>
      <c r="G751" s="12"/>
      <c r="H751" s="93"/>
      <c r="I751" s="9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93"/>
      <c r="C752" s="93"/>
      <c r="D752" s="4"/>
      <c r="E752" s="93"/>
      <c r="F752" s="93"/>
      <c r="G752" s="12"/>
      <c r="H752" s="93"/>
      <c r="I752" s="9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93"/>
      <c r="C753" s="93"/>
      <c r="D753" s="4"/>
      <c r="E753" s="93"/>
      <c r="F753" s="93"/>
      <c r="G753" s="12"/>
      <c r="H753" s="93"/>
      <c r="I753" s="9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93"/>
      <c r="C754" s="93"/>
      <c r="D754" s="4"/>
      <c r="E754" s="93"/>
      <c r="F754" s="93"/>
      <c r="G754" s="12"/>
      <c r="H754" s="93"/>
      <c r="I754" s="9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93"/>
      <c r="C755" s="93"/>
      <c r="D755" s="4"/>
      <c r="E755" s="93"/>
      <c r="F755" s="93"/>
      <c r="G755" s="12"/>
      <c r="H755" s="93"/>
      <c r="I755" s="9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93"/>
      <c r="C756" s="93"/>
      <c r="D756" s="4"/>
      <c r="E756" s="93"/>
      <c r="F756" s="93"/>
      <c r="G756" s="12"/>
      <c r="H756" s="93"/>
      <c r="I756" s="9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93"/>
      <c r="C757" s="93"/>
      <c r="D757" s="4"/>
      <c r="E757" s="93"/>
      <c r="F757" s="93"/>
      <c r="G757" s="12"/>
      <c r="H757" s="93"/>
      <c r="I757" s="9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93"/>
      <c r="C758" s="93"/>
      <c r="D758" s="4"/>
      <c r="E758" s="93"/>
      <c r="F758" s="93"/>
      <c r="G758" s="12"/>
      <c r="H758" s="93"/>
      <c r="I758" s="9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93"/>
      <c r="C759" s="93"/>
      <c r="D759" s="4"/>
      <c r="E759" s="93"/>
      <c r="F759" s="93"/>
      <c r="G759" s="12"/>
      <c r="H759" s="93"/>
      <c r="I759" s="9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93"/>
      <c r="C760" s="93"/>
      <c r="D760" s="4"/>
      <c r="E760" s="93"/>
      <c r="F760" s="93"/>
      <c r="G760" s="12"/>
      <c r="H760" s="93"/>
      <c r="I760" s="9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93"/>
      <c r="C761" s="93"/>
      <c r="D761" s="4"/>
      <c r="E761" s="93"/>
      <c r="F761" s="93"/>
      <c r="G761" s="12"/>
      <c r="H761" s="93"/>
      <c r="I761" s="9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93"/>
      <c r="C762" s="93"/>
      <c r="D762" s="4"/>
      <c r="E762" s="93"/>
      <c r="F762" s="93"/>
      <c r="G762" s="12"/>
      <c r="H762" s="93"/>
      <c r="I762" s="9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93"/>
      <c r="C763" s="93"/>
      <c r="D763" s="4"/>
      <c r="E763" s="93"/>
      <c r="F763" s="93"/>
      <c r="G763" s="12"/>
      <c r="H763" s="93"/>
      <c r="I763" s="9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93"/>
      <c r="C764" s="93"/>
      <c r="D764" s="4"/>
      <c r="E764" s="93"/>
      <c r="F764" s="93"/>
      <c r="G764" s="12"/>
      <c r="H764" s="93"/>
      <c r="I764" s="9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93"/>
      <c r="C765" s="93"/>
      <c r="D765" s="4"/>
      <c r="E765" s="93"/>
      <c r="F765" s="93"/>
      <c r="G765" s="12"/>
      <c r="H765" s="93"/>
      <c r="I765" s="9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93"/>
      <c r="C766" s="93"/>
      <c r="D766" s="4"/>
      <c r="E766" s="93"/>
      <c r="F766" s="93"/>
      <c r="G766" s="12"/>
      <c r="H766" s="93"/>
      <c r="I766" s="9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93"/>
      <c r="C767" s="93"/>
      <c r="D767" s="4"/>
      <c r="E767" s="93"/>
      <c r="F767" s="93"/>
      <c r="G767" s="12"/>
      <c r="H767" s="93"/>
      <c r="I767" s="9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93"/>
      <c r="C768" s="93"/>
      <c r="D768" s="4"/>
      <c r="E768" s="93"/>
      <c r="F768" s="93"/>
      <c r="G768" s="12"/>
      <c r="H768" s="93"/>
      <c r="I768" s="9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93"/>
      <c r="C769" s="93"/>
      <c r="D769" s="4"/>
      <c r="E769" s="93"/>
      <c r="F769" s="93"/>
      <c r="G769" s="12"/>
      <c r="H769" s="93"/>
      <c r="I769" s="9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93"/>
      <c r="C770" s="93"/>
      <c r="D770" s="4"/>
      <c r="E770" s="93"/>
      <c r="F770" s="93"/>
      <c r="G770" s="12"/>
      <c r="H770" s="93"/>
      <c r="I770" s="9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93"/>
      <c r="C771" s="93"/>
      <c r="D771" s="4"/>
      <c r="E771" s="93"/>
      <c r="F771" s="93"/>
      <c r="G771" s="12"/>
      <c r="H771" s="93"/>
      <c r="I771" s="9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93"/>
      <c r="C772" s="93"/>
      <c r="D772" s="4"/>
      <c r="E772" s="93"/>
      <c r="F772" s="93"/>
      <c r="G772" s="12"/>
      <c r="H772" s="93"/>
      <c r="I772" s="9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93"/>
      <c r="C773" s="93"/>
      <c r="D773" s="4"/>
      <c r="E773" s="93"/>
      <c r="F773" s="93"/>
      <c r="G773" s="12"/>
      <c r="H773" s="93"/>
      <c r="I773" s="9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93"/>
      <c r="C774" s="93"/>
      <c r="D774" s="4"/>
      <c r="E774" s="93"/>
      <c r="F774" s="93"/>
      <c r="G774" s="12"/>
      <c r="H774" s="93"/>
      <c r="I774" s="9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93"/>
      <c r="C775" s="93"/>
      <c r="D775" s="4"/>
      <c r="E775" s="93"/>
      <c r="F775" s="93"/>
      <c r="G775" s="12"/>
      <c r="H775" s="93"/>
      <c r="I775" s="9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93"/>
      <c r="C776" s="93"/>
      <c r="D776" s="4"/>
      <c r="E776" s="93"/>
      <c r="F776" s="93"/>
      <c r="G776" s="12"/>
      <c r="H776" s="93"/>
      <c r="I776" s="9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93"/>
      <c r="C777" s="93"/>
      <c r="D777" s="4"/>
      <c r="E777" s="93"/>
      <c r="F777" s="93"/>
      <c r="G777" s="12"/>
      <c r="H777" s="93"/>
      <c r="I777" s="9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93"/>
      <c r="C778" s="93"/>
      <c r="D778" s="4"/>
      <c r="E778" s="93"/>
      <c r="F778" s="93"/>
      <c r="G778" s="12"/>
      <c r="H778" s="93"/>
      <c r="I778" s="9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93"/>
      <c r="C779" s="93"/>
      <c r="D779" s="4"/>
      <c r="E779" s="93"/>
      <c r="F779" s="93"/>
      <c r="G779" s="12"/>
      <c r="H779" s="93"/>
      <c r="I779" s="9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93"/>
      <c r="C780" s="93"/>
      <c r="D780" s="4"/>
      <c r="E780" s="93"/>
      <c r="F780" s="93"/>
      <c r="G780" s="12"/>
      <c r="H780" s="93"/>
      <c r="I780" s="9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93"/>
      <c r="C781" s="93"/>
      <c r="D781" s="4"/>
      <c r="E781" s="93"/>
      <c r="F781" s="93"/>
      <c r="G781" s="12"/>
      <c r="H781" s="93"/>
      <c r="I781" s="9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93"/>
      <c r="C782" s="93"/>
      <c r="D782" s="4"/>
      <c r="E782" s="93"/>
      <c r="F782" s="93"/>
      <c r="G782" s="12"/>
      <c r="H782" s="93"/>
      <c r="I782" s="9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93"/>
      <c r="C783" s="93"/>
      <c r="D783" s="4"/>
      <c r="E783" s="93"/>
      <c r="F783" s="93"/>
      <c r="G783" s="12"/>
      <c r="H783" s="93"/>
      <c r="I783" s="9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93"/>
      <c r="C784" s="93"/>
      <c r="D784" s="4"/>
      <c r="E784" s="93"/>
      <c r="F784" s="93"/>
      <c r="G784" s="12"/>
      <c r="H784" s="93"/>
      <c r="I784" s="9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93"/>
      <c r="C785" s="93"/>
      <c r="D785" s="4"/>
      <c r="E785" s="93"/>
      <c r="F785" s="93"/>
      <c r="G785" s="12"/>
      <c r="H785" s="93"/>
      <c r="I785" s="9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93"/>
      <c r="C786" s="93"/>
      <c r="D786" s="4"/>
      <c r="E786" s="93"/>
      <c r="F786" s="93"/>
      <c r="G786" s="12"/>
      <c r="H786" s="93"/>
      <c r="I786" s="9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93"/>
      <c r="C787" s="93"/>
      <c r="D787" s="4"/>
      <c r="E787" s="93"/>
      <c r="F787" s="93"/>
      <c r="G787" s="12"/>
      <c r="H787" s="93"/>
      <c r="I787" s="9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93"/>
      <c r="C788" s="93"/>
      <c r="D788" s="4"/>
      <c r="E788" s="93"/>
      <c r="F788" s="93"/>
      <c r="G788" s="12"/>
      <c r="H788" s="93"/>
      <c r="I788" s="9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93"/>
      <c r="C789" s="93"/>
      <c r="D789" s="4"/>
      <c r="E789" s="93"/>
      <c r="F789" s="93"/>
      <c r="G789" s="12"/>
      <c r="H789" s="93"/>
      <c r="I789" s="9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93"/>
      <c r="C790" s="93"/>
      <c r="D790" s="4"/>
      <c r="E790" s="93"/>
      <c r="F790" s="93"/>
      <c r="G790" s="12"/>
      <c r="H790" s="93"/>
      <c r="I790" s="9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93"/>
      <c r="C791" s="93"/>
      <c r="D791" s="4"/>
      <c r="E791" s="93"/>
      <c r="F791" s="93"/>
      <c r="G791" s="12"/>
      <c r="H791" s="93"/>
      <c r="I791" s="9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93"/>
      <c r="C792" s="93"/>
      <c r="D792" s="4"/>
      <c r="E792" s="93"/>
      <c r="F792" s="93"/>
      <c r="G792" s="12"/>
      <c r="H792" s="93"/>
      <c r="I792" s="9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93"/>
      <c r="C793" s="93"/>
      <c r="D793" s="4"/>
      <c r="E793" s="93"/>
      <c r="F793" s="93"/>
      <c r="G793" s="12"/>
      <c r="H793" s="93"/>
      <c r="I793" s="9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93"/>
      <c r="C794" s="93"/>
      <c r="D794" s="4"/>
      <c r="E794" s="93"/>
      <c r="F794" s="93"/>
      <c r="G794" s="12"/>
      <c r="H794" s="93"/>
      <c r="I794" s="9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93"/>
      <c r="C795" s="93"/>
      <c r="D795" s="4"/>
      <c r="E795" s="93"/>
      <c r="F795" s="93"/>
      <c r="G795" s="12"/>
      <c r="H795" s="93"/>
      <c r="I795" s="9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93"/>
      <c r="C796" s="93"/>
      <c r="D796" s="4"/>
      <c r="E796" s="93"/>
      <c r="F796" s="93"/>
      <c r="G796" s="12"/>
      <c r="H796" s="93"/>
      <c r="I796" s="9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93"/>
      <c r="C797" s="93"/>
      <c r="D797" s="4"/>
      <c r="E797" s="93"/>
      <c r="F797" s="93"/>
      <c r="G797" s="12"/>
      <c r="H797" s="93"/>
      <c r="I797" s="9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93"/>
      <c r="C798" s="93"/>
      <c r="D798" s="4"/>
      <c r="E798" s="93"/>
      <c r="F798" s="93"/>
      <c r="G798" s="12"/>
      <c r="H798" s="93"/>
      <c r="I798" s="9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93"/>
      <c r="C799" s="93"/>
      <c r="D799" s="4"/>
      <c r="E799" s="93"/>
      <c r="F799" s="93"/>
      <c r="G799" s="12"/>
      <c r="H799" s="93"/>
      <c r="I799" s="9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93"/>
      <c r="C800" s="93"/>
      <c r="D800" s="4"/>
      <c r="E800" s="93"/>
      <c r="F800" s="93"/>
      <c r="G800" s="12"/>
      <c r="H800" s="93"/>
      <c r="I800" s="9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93"/>
      <c r="C801" s="93"/>
      <c r="D801" s="4"/>
      <c r="E801" s="93"/>
      <c r="F801" s="93"/>
      <c r="G801" s="12"/>
      <c r="H801" s="93"/>
      <c r="I801" s="9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93"/>
      <c r="C802" s="93"/>
      <c r="D802" s="4"/>
      <c r="E802" s="93"/>
      <c r="F802" s="93"/>
      <c r="G802" s="12"/>
      <c r="H802" s="93"/>
      <c r="I802" s="9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93"/>
      <c r="C803" s="93"/>
      <c r="D803" s="4"/>
      <c r="E803" s="93"/>
      <c r="F803" s="93"/>
      <c r="G803" s="12"/>
      <c r="H803" s="93"/>
      <c r="I803" s="9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93"/>
      <c r="C804" s="93"/>
      <c r="D804" s="4"/>
      <c r="E804" s="93"/>
      <c r="F804" s="93"/>
      <c r="G804" s="12"/>
      <c r="H804" s="93"/>
      <c r="I804" s="9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93"/>
      <c r="C805" s="93"/>
      <c r="D805" s="4"/>
      <c r="E805" s="93"/>
      <c r="F805" s="93"/>
      <c r="G805" s="12"/>
      <c r="H805" s="93"/>
      <c r="I805" s="9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93"/>
      <c r="C806" s="93"/>
      <c r="D806" s="4"/>
      <c r="E806" s="93"/>
      <c r="F806" s="93"/>
      <c r="G806" s="12"/>
      <c r="H806" s="93"/>
      <c r="I806" s="9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93"/>
      <c r="C807" s="93"/>
      <c r="D807" s="4"/>
      <c r="E807" s="93"/>
      <c r="F807" s="93"/>
      <c r="G807" s="12"/>
      <c r="H807" s="93"/>
      <c r="I807" s="9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93"/>
      <c r="C808" s="93"/>
      <c r="D808" s="4"/>
      <c r="E808" s="93"/>
      <c r="F808" s="93"/>
      <c r="G808" s="12"/>
      <c r="H808" s="93"/>
      <c r="I808" s="9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93"/>
      <c r="C809" s="93"/>
      <c r="D809" s="4"/>
      <c r="E809" s="93"/>
      <c r="F809" s="93"/>
      <c r="G809" s="12"/>
      <c r="H809" s="93"/>
      <c r="I809" s="9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93"/>
      <c r="C810" s="93"/>
      <c r="D810" s="4"/>
      <c r="E810" s="93"/>
      <c r="F810" s="93"/>
      <c r="G810" s="12"/>
      <c r="H810" s="93"/>
      <c r="I810" s="9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93"/>
      <c r="C811" s="93"/>
      <c r="D811" s="4"/>
      <c r="E811" s="93"/>
      <c r="F811" s="93"/>
      <c r="G811" s="12"/>
      <c r="H811" s="93"/>
      <c r="I811" s="9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93"/>
      <c r="C812" s="93"/>
      <c r="D812" s="4"/>
      <c r="E812" s="93"/>
      <c r="F812" s="93"/>
      <c r="G812" s="12"/>
      <c r="H812" s="93"/>
      <c r="I812" s="9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93"/>
      <c r="C813" s="93"/>
      <c r="D813" s="4"/>
      <c r="E813" s="93"/>
      <c r="F813" s="93"/>
      <c r="G813" s="12"/>
      <c r="H813" s="93"/>
      <c r="I813" s="9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93"/>
      <c r="C814" s="93"/>
      <c r="D814" s="4"/>
      <c r="E814" s="93"/>
      <c r="F814" s="93"/>
      <c r="G814" s="12"/>
      <c r="H814" s="93"/>
      <c r="I814" s="9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93"/>
      <c r="C815" s="93"/>
      <c r="D815" s="4"/>
      <c r="E815" s="93"/>
      <c r="F815" s="93"/>
      <c r="G815" s="12"/>
      <c r="H815" s="93"/>
      <c r="I815" s="9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93"/>
      <c r="C816" s="93"/>
      <c r="D816" s="4"/>
      <c r="E816" s="93"/>
      <c r="F816" s="93"/>
      <c r="G816" s="12"/>
      <c r="H816" s="93"/>
      <c r="I816" s="9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93"/>
      <c r="C817" s="93"/>
      <c r="D817" s="4"/>
      <c r="E817" s="93"/>
      <c r="F817" s="93"/>
      <c r="G817" s="12"/>
      <c r="H817" s="93"/>
      <c r="I817" s="9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93"/>
      <c r="C818" s="93"/>
      <c r="D818" s="4"/>
      <c r="E818" s="93"/>
      <c r="F818" s="93"/>
      <c r="G818" s="12"/>
      <c r="H818" s="93"/>
      <c r="I818" s="9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93"/>
      <c r="C819" s="93"/>
      <c r="D819" s="4"/>
      <c r="E819" s="93"/>
      <c r="F819" s="93"/>
      <c r="G819" s="12"/>
      <c r="H819" s="93"/>
      <c r="I819" s="9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93"/>
      <c r="C820" s="93"/>
      <c r="D820" s="4"/>
      <c r="E820" s="93"/>
      <c r="F820" s="93"/>
      <c r="G820" s="12"/>
      <c r="H820" s="93"/>
      <c r="I820" s="9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93"/>
      <c r="C821" s="93"/>
      <c r="D821" s="4"/>
      <c r="E821" s="93"/>
      <c r="F821" s="93"/>
      <c r="G821" s="12"/>
      <c r="H821" s="93"/>
      <c r="I821" s="9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93"/>
      <c r="C822" s="93"/>
      <c r="D822" s="4"/>
      <c r="E822" s="93"/>
      <c r="F822" s="93"/>
      <c r="G822" s="12"/>
      <c r="H822" s="93"/>
      <c r="I822" s="9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93"/>
      <c r="C823" s="93"/>
      <c r="D823" s="4"/>
      <c r="E823" s="93"/>
      <c r="F823" s="93"/>
      <c r="G823" s="12"/>
      <c r="H823" s="93"/>
      <c r="I823" s="9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93"/>
      <c r="C824" s="93"/>
      <c r="D824" s="4"/>
      <c r="E824" s="93"/>
      <c r="F824" s="93"/>
      <c r="G824" s="12"/>
      <c r="H824" s="93"/>
      <c r="I824" s="9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93"/>
      <c r="C825" s="93"/>
      <c r="D825" s="4"/>
      <c r="E825" s="93"/>
      <c r="F825" s="93"/>
      <c r="G825" s="12"/>
      <c r="H825" s="93"/>
      <c r="I825" s="9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93"/>
      <c r="C826" s="93"/>
      <c r="D826" s="4"/>
      <c r="E826" s="93"/>
      <c r="F826" s="93"/>
      <c r="G826" s="12"/>
      <c r="H826" s="93"/>
      <c r="I826" s="9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93"/>
      <c r="C827" s="93"/>
      <c r="D827" s="4"/>
      <c r="E827" s="93"/>
      <c r="F827" s="93"/>
      <c r="G827" s="12"/>
      <c r="H827" s="93"/>
      <c r="I827" s="9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93"/>
      <c r="C828" s="93"/>
      <c r="D828" s="4"/>
      <c r="E828" s="93"/>
      <c r="F828" s="93"/>
      <c r="G828" s="12"/>
      <c r="H828" s="93"/>
      <c r="I828" s="9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93"/>
      <c r="C829" s="93"/>
      <c r="D829" s="4"/>
      <c r="E829" s="93"/>
      <c r="F829" s="93"/>
      <c r="G829" s="12"/>
      <c r="H829" s="93"/>
      <c r="I829" s="9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93"/>
      <c r="C830" s="93"/>
      <c r="D830" s="4"/>
      <c r="E830" s="93"/>
      <c r="F830" s="93"/>
      <c r="G830" s="12"/>
      <c r="H830" s="93"/>
      <c r="I830" s="9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93"/>
      <c r="C831" s="93"/>
      <c r="D831" s="4"/>
      <c r="E831" s="93"/>
      <c r="F831" s="93"/>
      <c r="G831" s="12"/>
      <c r="H831" s="93"/>
      <c r="I831" s="9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93"/>
      <c r="C832" s="93"/>
      <c r="D832" s="4"/>
      <c r="E832" s="93"/>
      <c r="F832" s="93"/>
      <c r="G832" s="12"/>
      <c r="H832" s="93"/>
      <c r="I832" s="9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93"/>
      <c r="C833" s="93"/>
      <c r="D833" s="4"/>
      <c r="E833" s="93"/>
      <c r="F833" s="93"/>
      <c r="G833" s="12"/>
      <c r="H833" s="93"/>
      <c r="I833" s="9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93"/>
      <c r="C834" s="93"/>
      <c r="D834" s="4"/>
      <c r="E834" s="93"/>
      <c r="F834" s="93"/>
      <c r="G834" s="12"/>
      <c r="H834" s="93"/>
      <c r="I834" s="9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93"/>
      <c r="C835" s="93"/>
      <c r="D835" s="4"/>
      <c r="E835" s="93"/>
      <c r="F835" s="93"/>
      <c r="G835" s="12"/>
      <c r="H835" s="93"/>
      <c r="I835" s="9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93"/>
      <c r="C836" s="93"/>
      <c r="D836" s="4"/>
      <c r="E836" s="93"/>
      <c r="F836" s="93"/>
      <c r="G836" s="12"/>
      <c r="H836" s="93"/>
      <c r="I836" s="9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93"/>
      <c r="C837" s="93"/>
      <c r="D837" s="4"/>
      <c r="E837" s="93"/>
      <c r="F837" s="93"/>
      <c r="G837" s="12"/>
      <c r="H837" s="93"/>
      <c r="I837" s="9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93"/>
      <c r="C838" s="93"/>
      <c r="D838" s="4"/>
      <c r="E838" s="93"/>
      <c r="F838" s="93"/>
      <c r="G838" s="12"/>
      <c r="H838" s="93"/>
      <c r="I838" s="9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93"/>
      <c r="C839" s="93"/>
      <c r="D839" s="4"/>
      <c r="E839" s="93"/>
      <c r="F839" s="93"/>
      <c r="G839" s="12"/>
      <c r="H839" s="93"/>
      <c r="I839" s="9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93"/>
      <c r="C840" s="93"/>
      <c r="D840" s="4"/>
      <c r="E840" s="93"/>
      <c r="F840" s="93"/>
      <c r="G840" s="12"/>
      <c r="H840" s="93"/>
      <c r="I840" s="9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93"/>
      <c r="C841" s="93"/>
      <c r="D841" s="4"/>
      <c r="E841" s="93"/>
      <c r="F841" s="93"/>
      <c r="G841" s="12"/>
      <c r="H841" s="93"/>
      <c r="I841" s="9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93"/>
      <c r="C842" s="93"/>
      <c r="D842" s="4"/>
      <c r="E842" s="93"/>
      <c r="F842" s="93"/>
      <c r="G842" s="12"/>
      <c r="H842" s="93"/>
      <c r="I842" s="9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93"/>
      <c r="C843" s="93"/>
      <c r="D843" s="4"/>
      <c r="E843" s="93"/>
      <c r="F843" s="93"/>
      <c r="G843" s="12"/>
      <c r="H843" s="93"/>
      <c r="I843" s="9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93"/>
      <c r="C844" s="93"/>
      <c r="D844" s="4"/>
      <c r="E844" s="93"/>
      <c r="F844" s="93"/>
      <c r="G844" s="12"/>
      <c r="H844" s="93"/>
      <c r="I844" s="9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93"/>
      <c r="C845" s="93"/>
      <c r="D845" s="4"/>
      <c r="E845" s="93"/>
      <c r="F845" s="93"/>
      <c r="G845" s="12"/>
      <c r="H845" s="93"/>
      <c r="I845" s="9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93"/>
      <c r="C846" s="93"/>
      <c r="D846" s="4"/>
      <c r="E846" s="93"/>
      <c r="F846" s="93"/>
      <c r="G846" s="12"/>
      <c r="H846" s="93"/>
      <c r="I846" s="9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93"/>
      <c r="C847" s="93"/>
      <c r="D847" s="4"/>
      <c r="E847" s="93"/>
      <c r="F847" s="93"/>
      <c r="G847" s="12"/>
      <c r="H847" s="93"/>
      <c r="I847" s="9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93"/>
      <c r="C848" s="93"/>
      <c r="D848" s="4"/>
      <c r="E848" s="93"/>
      <c r="F848" s="93"/>
      <c r="G848" s="12"/>
      <c r="H848" s="93"/>
      <c r="I848" s="9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93"/>
      <c r="C849" s="93"/>
      <c r="D849" s="4"/>
      <c r="E849" s="93"/>
      <c r="F849" s="93"/>
      <c r="G849" s="12"/>
      <c r="H849" s="93"/>
      <c r="I849" s="9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93"/>
      <c r="C850" s="93"/>
      <c r="D850" s="4"/>
      <c r="E850" s="93"/>
      <c r="F850" s="93"/>
      <c r="G850" s="12"/>
      <c r="H850" s="93"/>
      <c r="I850" s="9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93"/>
      <c r="C851" s="93"/>
      <c r="D851" s="4"/>
      <c r="E851" s="93"/>
      <c r="F851" s="93"/>
      <c r="G851" s="12"/>
      <c r="H851" s="93"/>
      <c r="I851" s="9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93"/>
      <c r="C852" s="93"/>
      <c r="D852" s="4"/>
      <c r="E852" s="93"/>
      <c r="F852" s="93"/>
      <c r="G852" s="12"/>
      <c r="H852" s="93"/>
      <c r="I852" s="9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93"/>
      <c r="C853" s="93"/>
      <c r="D853" s="4"/>
      <c r="E853" s="93"/>
      <c r="F853" s="93"/>
      <c r="G853" s="12"/>
      <c r="H853" s="93"/>
      <c r="I853" s="9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93"/>
      <c r="C854" s="93"/>
      <c r="D854" s="4"/>
      <c r="E854" s="93"/>
      <c r="F854" s="93"/>
      <c r="G854" s="12"/>
      <c r="H854" s="93"/>
      <c r="I854" s="9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93"/>
      <c r="C855" s="93"/>
      <c r="D855" s="4"/>
      <c r="E855" s="93"/>
      <c r="F855" s="93"/>
      <c r="G855" s="12"/>
      <c r="H855" s="93"/>
      <c r="I855" s="9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93"/>
      <c r="C856" s="93"/>
      <c r="D856" s="4"/>
      <c r="E856" s="93"/>
      <c r="F856" s="93"/>
      <c r="G856" s="12"/>
      <c r="H856" s="93"/>
      <c r="I856" s="9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93"/>
      <c r="C857" s="93"/>
      <c r="D857" s="4"/>
      <c r="E857" s="93"/>
      <c r="F857" s="93"/>
      <c r="G857" s="12"/>
      <c r="H857" s="93"/>
      <c r="I857" s="9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93"/>
      <c r="C858" s="93"/>
      <c r="D858" s="4"/>
      <c r="E858" s="93"/>
      <c r="F858" s="93"/>
      <c r="G858" s="12"/>
      <c r="H858" s="93"/>
      <c r="I858" s="9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93"/>
      <c r="C859" s="93"/>
      <c r="D859" s="4"/>
      <c r="E859" s="93"/>
      <c r="F859" s="93"/>
      <c r="G859" s="12"/>
      <c r="H859" s="93"/>
      <c r="I859" s="9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93"/>
      <c r="C860" s="93"/>
      <c r="D860" s="4"/>
      <c r="E860" s="93"/>
      <c r="F860" s="93"/>
      <c r="G860" s="12"/>
      <c r="H860" s="93"/>
      <c r="I860" s="9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93"/>
      <c r="C861" s="93"/>
      <c r="D861" s="4"/>
      <c r="E861" s="93"/>
      <c r="F861" s="93"/>
      <c r="G861" s="12"/>
      <c r="H861" s="93"/>
      <c r="I861" s="9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93"/>
      <c r="C862" s="93"/>
      <c r="D862" s="4"/>
      <c r="E862" s="93"/>
      <c r="F862" s="93"/>
      <c r="G862" s="12"/>
      <c r="H862" s="93"/>
      <c r="I862" s="9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93"/>
      <c r="C863" s="93"/>
      <c r="D863" s="4"/>
      <c r="E863" s="93"/>
      <c r="F863" s="93"/>
      <c r="G863" s="12"/>
      <c r="H863" s="93"/>
      <c r="I863" s="9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93"/>
      <c r="C864" s="93"/>
      <c r="D864" s="4"/>
      <c r="E864" s="93"/>
      <c r="F864" s="93"/>
      <c r="G864" s="12"/>
      <c r="H864" s="93"/>
      <c r="I864" s="9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93"/>
      <c r="C865" s="93"/>
      <c r="D865" s="4"/>
      <c r="E865" s="93"/>
      <c r="F865" s="93"/>
      <c r="G865" s="12"/>
      <c r="H865" s="93"/>
      <c r="I865" s="9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93"/>
      <c r="C866" s="93"/>
      <c r="D866" s="4"/>
      <c r="E866" s="93"/>
      <c r="F866" s="93"/>
      <c r="G866" s="12"/>
      <c r="H866" s="93"/>
      <c r="I866" s="9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93"/>
      <c r="C867" s="93"/>
      <c r="D867" s="4"/>
      <c r="E867" s="93"/>
      <c r="F867" s="93"/>
      <c r="G867" s="12"/>
      <c r="H867" s="93"/>
      <c r="I867" s="9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93"/>
      <c r="C868" s="93"/>
      <c r="D868" s="4"/>
      <c r="E868" s="93"/>
      <c r="F868" s="93"/>
      <c r="G868" s="12"/>
      <c r="H868" s="93"/>
      <c r="I868" s="9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93"/>
      <c r="C869" s="93"/>
      <c r="D869" s="4"/>
      <c r="E869" s="93"/>
      <c r="F869" s="93"/>
      <c r="G869" s="12"/>
      <c r="H869" s="93"/>
      <c r="I869" s="9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93"/>
      <c r="C870" s="93"/>
      <c r="D870" s="4"/>
      <c r="E870" s="93"/>
      <c r="F870" s="93"/>
      <c r="G870" s="12"/>
      <c r="H870" s="93"/>
      <c r="I870" s="9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93"/>
      <c r="C871" s="93"/>
      <c r="D871" s="4"/>
      <c r="E871" s="93"/>
      <c r="F871" s="93"/>
      <c r="G871" s="12"/>
      <c r="H871" s="93"/>
      <c r="I871" s="9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93"/>
      <c r="C872" s="93"/>
      <c r="D872" s="4"/>
      <c r="E872" s="93"/>
      <c r="F872" s="93"/>
      <c r="G872" s="12"/>
      <c r="H872" s="93"/>
      <c r="I872" s="9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93"/>
      <c r="C873" s="93"/>
      <c r="D873" s="4"/>
      <c r="E873" s="93"/>
      <c r="F873" s="93"/>
      <c r="G873" s="12"/>
      <c r="H873" s="93"/>
      <c r="I873" s="9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93"/>
      <c r="C874" s="93"/>
      <c r="D874" s="4"/>
      <c r="E874" s="93"/>
      <c r="F874" s="93"/>
      <c r="G874" s="12"/>
      <c r="H874" s="93"/>
      <c r="I874" s="9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93"/>
      <c r="C875" s="93"/>
      <c r="D875" s="4"/>
      <c r="E875" s="93"/>
      <c r="F875" s="93"/>
      <c r="G875" s="12"/>
      <c r="H875" s="93"/>
      <c r="I875" s="9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93"/>
      <c r="C876" s="93"/>
      <c r="D876" s="4"/>
      <c r="E876" s="93"/>
      <c r="F876" s="93"/>
      <c r="G876" s="12"/>
      <c r="H876" s="93"/>
      <c r="I876" s="9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93"/>
      <c r="C877" s="93"/>
      <c r="D877" s="4"/>
      <c r="E877" s="93"/>
      <c r="F877" s="93"/>
      <c r="G877" s="12"/>
      <c r="H877" s="93"/>
      <c r="I877" s="9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93"/>
      <c r="C878" s="93"/>
      <c r="D878" s="4"/>
      <c r="E878" s="93"/>
      <c r="F878" s="93"/>
      <c r="G878" s="12"/>
      <c r="H878" s="93"/>
      <c r="I878" s="9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93"/>
      <c r="C879" s="93"/>
      <c r="D879" s="4"/>
      <c r="E879" s="93"/>
      <c r="F879" s="93"/>
      <c r="G879" s="12"/>
      <c r="H879" s="93"/>
      <c r="I879" s="9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93"/>
      <c r="C880" s="93"/>
      <c r="D880" s="4"/>
      <c r="E880" s="93"/>
      <c r="F880" s="93"/>
      <c r="G880" s="12"/>
      <c r="H880" s="93"/>
      <c r="I880" s="9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93"/>
      <c r="C881" s="93"/>
      <c r="D881" s="4"/>
      <c r="E881" s="93"/>
      <c r="F881" s="93"/>
      <c r="G881" s="12"/>
      <c r="H881" s="93"/>
      <c r="I881" s="9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93"/>
      <c r="C882" s="93"/>
      <c r="D882" s="4"/>
      <c r="E882" s="93"/>
      <c r="F882" s="93"/>
      <c r="G882" s="12"/>
      <c r="H882" s="93"/>
      <c r="I882" s="9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93"/>
      <c r="C883" s="93"/>
      <c r="D883" s="4"/>
      <c r="E883" s="93"/>
      <c r="F883" s="93"/>
      <c r="G883" s="12"/>
      <c r="H883" s="93"/>
      <c r="I883" s="9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93"/>
      <c r="C884" s="93"/>
      <c r="D884" s="4"/>
      <c r="E884" s="93"/>
      <c r="F884" s="93"/>
      <c r="G884" s="12"/>
      <c r="H884" s="93"/>
      <c r="I884" s="9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93"/>
      <c r="C885" s="93"/>
      <c r="D885" s="4"/>
      <c r="E885" s="93"/>
      <c r="F885" s="93"/>
      <c r="G885" s="12"/>
      <c r="H885" s="93"/>
      <c r="I885" s="9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93"/>
      <c r="C886" s="93"/>
      <c r="D886" s="4"/>
      <c r="E886" s="93"/>
      <c r="F886" s="93"/>
      <c r="G886" s="12"/>
      <c r="H886" s="93"/>
      <c r="I886" s="9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93"/>
      <c r="C887" s="93"/>
      <c r="D887" s="4"/>
      <c r="E887" s="93"/>
      <c r="F887" s="93"/>
      <c r="G887" s="12"/>
      <c r="H887" s="93"/>
      <c r="I887" s="9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93"/>
      <c r="C888" s="93"/>
      <c r="D888" s="4"/>
      <c r="E888" s="93"/>
      <c r="F888" s="93"/>
      <c r="G888" s="12"/>
      <c r="H888" s="93"/>
      <c r="I888" s="9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93"/>
      <c r="C889" s="93"/>
      <c r="D889" s="4"/>
      <c r="E889" s="93"/>
      <c r="F889" s="93"/>
      <c r="G889" s="12"/>
      <c r="H889" s="93"/>
      <c r="I889" s="9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93"/>
      <c r="C890" s="93"/>
      <c r="D890" s="4"/>
      <c r="E890" s="93"/>
      <c r="F890" s="93"/>
      <c r="G890" s="12"/>
      <c r="H890" s="93"/>
      <c r="I890" s="9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93"/>
      <c r="C891" s="93"/>
      <c r="D891" s="4"/>
      <c r="E891" s="93"/>
      <c r="F891" s="93"/>
      <c r="G891" s="12"/>
      <c r="H891" s="93"/>
      <c r="I891" s="9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93"/>
      <c r="C892" s="93"/>
      <c r="D892" s="4"/>
      <c r="E892" s="93"/>
      <c r="F892" s="93"/>
      <c r="G892" s="12"/>
      <c r="H892" s="93"/>
      <c r="I892" s="9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93"/>
      <c r="C893" s="93"/>
      <c r="D893" s="4"/>
      <c r="E893" s="93"/>
      <c r="F893" s="93"/>
      <c r="G893" s="12"/>
      <c r="H893" s="93"/>
      <c r="I893" s="9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93"/>
      <c r="C894" s="93"/>
      <c r="D894" s="4"/>
      <c r="E894" s="93"/>
      <c r="F894" s="93"/>
      <c r="G894" s="12"/>
      <c r="H894" s="93"/>
      <c r="I894" s="9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93"/>
      <c r="C895" s="93"/>
      <c r="D895" s="4"/>
      <c r="E895" s="93"/>
      <c r="F895" s="93"/>
      <c r="G895" s="12"/>
      <c r="H895" s="93"/>
      <c r="I895" s="9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93"/>
      <c r="C896" s="93"/>
      <c r="D896" s="4"/>
      <c r="E896" s="93"/>
      <c r="F896" s="93"/>
      <c r="G896" s="12"/>
      <c r="H896" s="93"/>
      <c r="I896" s="9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93"/>
      <c r="C897" s="93"/>
      <c r="D897" s="4"/>
      <c r="E897" s="93"/>
      <c r="F897" s="93"/>
      <c r="G897" s="12"/>
      <c r="H897" s="93"/>
      <c r="I897" s="9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93"/>
      <c r="C898" s="93"/>
      <c r="D898" s="4"/>
      <c r="E898" s="93"/>
      <c r="F898" s="93"/>
      <c r="G898" s="12"/>
      <c r="H898" s="93"/>
      <c r="I898" s="9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93"/>
      <c r="C899" s="93"/>
      <c r="D899" s="4"/>
      <c r="E899" s="93"/>
      <c r="F899" s="93"/>
      <c r="G899" s="12"/>
      <c r="H899" s="93"/>
      <c r="I899" s="9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93"/>
      <c r="C900" s="93"/>
      <c r="D900" s="4"/>
      <c r="E900" s="93"/>
      <c r="F900" s="93"/>
      <c r="G900" s="12"/>
      <c r="H900" s="93"/>
      <c r="I900" s="9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93"/>
      <c r="C901" s="93"/>
      <c r="D901" s="4"/>
      <c r="E901" s="93"/>
      <c r="F901" s="93"/>
      <c r="G901" s="12"/>
      <c r="H901" s="93"/>
      <c r="I901" s="9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93"/>
      <c r="C902" s="93"/>
      <c r="D902" s="4"/>
      <c r="E902" s="93"/>
      <c r="F902" s="93"/>
      <c r="G902" s="12"/>
      <c r="H902" s="93"/>
      <c r="I902" s="9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93"/>
      <c r="C903" s="93"/>
      <c r="D903" s="4"/>
      <c r="E903" s="93"/>
      <c r="F903" s="93"/>
      <c r="G903" s="12"/>
      <c r="H903" s="93"/>
      <c r="I903" s="9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93"/>
      <c r="C904" s="93"/>
      <c r="D904" s="4"/>
      <c r="E904" s="93"/>
      <c r="F904" s="93"/>
      <c r="G904" s="12"/>
      <c r="H904" s="93"/>
      <c r="I904" s="9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93"/>
      <c r="C905" s="93"/>
      <c r="D905" s="4"/>
      <c r="E905" s="93"/>
      <c r="F905" s="93"/>
      <c r="G905" s="12"/>
      <c r="H905" s="93"/>
      <c r="I905" s="9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93"/>
      <c r="C906" s="93"/>
      <c r="D906" s="4"/>
      <c r="E906" s="93"/>
      <c r="F906" s="93"/>
      <c r="G906" s="12"/>
      <c r="H906" s="93"/>
      <c r="I906" s="9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93"/>
      <c r="C907" s="93"/>
      <c r="D907" s="4"/>
      <c r="E907" s="93"/>
      <c r="F907" s="93"/>
      <c r="G907" s="12"/>
      <c r="H907" s="93"/>
      <c r="I907" s="9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93"/>
      <c r="C908" s="93"/>
      <c r="D908" s="4"/>
      <c r="E908" s="93"/>
      <c r="F908" s="93"/>
      <c r="G908" s="12"/>
      <c r="H908" s="93"/>
      <c r="I908" s="9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93"/>
      <c r="C909" s="93"/>
      <c r="D909" s="4"/>
      <c r="E909" s="93"/>
      <c r="F909" s="93"/>
      <c r="G909" s="12"/>
      <c r="H909" s="93"/>
      <c r="I909" s="9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93"/>
      <c r="C910" s="93"/>
      <c r="D910" s="4"/>
      <c r="E910" s="93"/>
      <c r="F910" s="93"/>
      <c r="G910" s="12"/>
      <c r="H910" s="93"/>
      <c r="I910" s="9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93"/>
      <c r="C911" s="93"/>
      <c r="D911" s="4"/>
      <c r="E911" s="93"/>
      <c r="F911" s="93"/>
      <c r="G911" s="12"/>
      <c r="H911" s="93"/>
      <c r="I911" s="9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93"/>
      <c r="C912" s="93"/>
      <c r="D912" s="4"/>
      <c r="E912" s="93"/>
      <c r="F912" s="93"/>
      <c r="G912" s="12"/>
      <c r="H912" s="93"/>
      <c r="I912" s="9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93"/>
      <c r="C913" s="93"/>
      <c r="D913" s="4"/>
      <c r="E913" s="93"/>
      <c r="F913" s="93"/>
      <c r="G913" s="12"/>
      <c r="H913" s="93"/>
      <c r="I913" s="9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93"/>
      <c r="C914" s="93"/>
      <c r="D914" s="4"/>
      <c r="E914" s="93"/>
      <c r="F914" s="93"/>
      <c r="G914" s="12"/>
      <c r="H914" s="93"/>
      <c r="I914" s="9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93"/>
      <c r="C915" s="93"/>
      <c r="D915" s="4"/>
      <c r="E915" s="93"/>
      <c r="F915" s="93"/>
      <c r="G915" s="12"/>
      <c r="H915" s="93"/>
      <c r="I915" s="9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93"/>
      <c r="C916" s="93"/>
      <c r="D916" s="4"/>
      <c r="E916" s="93"/>
      <c r="F916" s="93"/>
      <c r="G916" s="12"/>
      <c r="H916" s="93"/>
      <c r="I916" s="9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93"/>
      <c r="C917" s="93"/>
      <c r="D917" s="4"/>
      <c r="E917" s="93"/>
      <c r="F917" s="93"/>
      <c r="G917" s="12"/>
      <c r="H917" s="93"/>
      <c r="I917" s="9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93"/>
      <c r="C918" s="93"/>
      <c r="D918" s="4"/>
      <c r="E918" s="93"/>
      <c r="F918" s="93"/>
      <c r="G918" s="12"/>
      <c r="H918" s="93"/>
      <c r="I918" s="9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93"/>
      <c r="C919" s="93"/>
      <c r="D919" s="4"/>
      <c r="E919" s="93"/>
      <c r="F919" s="93"/>
      <c r="G919" s="12"/>
      <c r="H919" s="93"/>
      <c r="I919" s="9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93"/>
      <c r="C920" s="93"/>
      <c r="D920" s="4"/>
      <c r="E920" s="93"/>
      <c r="F920" s="93"/>
      <c r="G920" s="12"/>
      <c r="H920" s="93"/>
      <c r="I920" s="9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93"/>
      <c r="C921" s="93"/>
      <c r="D921" s="4"/>
      <c r="E921" s="93"/>
      <c r="F921" s="93"/>
      <c r="G921" s="12"/>
      <c r="H921" s="93"/>
      <c r="I921" s="9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93"/>
      <c r="C922" s="93"/>
      <c r="D922" s="4"/>
      <c r="E922" s="93"/>
      <c r="F922" s="93"/>
      <c r="G922" s="12"/>
      <c r="H922" s="93"/>
      <c r="I922" s="9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93"/>
      <c r="C923" s="93"/>
      <c r="D923" s="4"/>
      <c r="E923" s="93"/>
      <c r="F923" s="93"/>
      <c r="G923" s="12"/>
      <c r="H923" s="93"/>
      <c r="I923" s="9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93"/>
      <c r="C924" s="93"/>
      <c r="D924" s="4"/>
      <c r="E924" s="93"/>
      <c r="F924" s="93"/>
      <c r="G924" s="12"/>
      <c r="H924" s="93"/>
      <c r="I924" s="9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93"/>
      <c r="C925" s="93"/>
      <c r="D925" s="4"/>
      <c r="E925" s="93"/>
      <c r="F925" s="93"/>
      <c r="G925" s="12"/>
      <c r="H925" s="93"/>
      <c r="I925" s="9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93"/>
      <c r="C926" s="93"/>
      <c r="D926" s="4"/>
      <c r="E926" s="93"/>
      <c r="F926" s="93"/>
      <c r="G926" s="12"/>
      <c r="H926" s="93"/>
      <c r="I926" s="9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93"/>
      <c r="C927" s="93"/>
      <c r="D927" s="4"/>
      <c r="E927" s="93"/>
      <c r="F927" s="93"/>
      <c r="G927" s="12"/>
      <c r="H927" s="93"/>
      <c r="I927" s="9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93"/>
      <c r="C928" s="93"/>
      <c r="D928" s="4"/>
      <c r="E928" s="93"/>
      <c r="F928" s="93"/>
      <c r="G928" s="12"/>
      <c r="H928" s="93"/>
      <c r="I928" s="9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93"/>
      <c r="C929" s="93"/>
      <c r="D929" s="4"/>
      <c r="E929" s="93"/>
      <c r="F929" s="93"/>
      <c r="G929" s="12"/>
      <c r="H929" s="93"/>
      <c r="I929" s="9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93"/>
      <c r="C930" s="93"/>
      <c r="D930" s="4"/>
      <c r="E930" s="93"/>
      <c r="F930" s="93"/>
      <c r="G930" s="12"/>
      <c r="H930" s="93"/>
      <c r="I930" s="9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93"/>
      <c r="C931" s="93"/>
      <c r="D931" s="4"/>
      <c r="E931" s="93"/>
      <c r="F931" s="93"/>
      <c r="G931" s="12"/>
      <c r="H931" s="93"/>
      <c r="I931" s="9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93"/>
      <c r="C932" s="93"/>
      <c r="D932" s="4"/>
      <c r="E932" s="93"/>
      <c r="F932" s="93"/>
      <c r="G932" s="12"/>
      <c r="H932" s="93"/>
      <c r="I932" s="9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93"/>
      <c r="C933" s="93"/>
      <c r="D933" s="4"/>
      <c r="E933" s="93"/>
      <c r="F933" s="93"/>
      <c r="G933" s="12"/>
      <c r="H933" s="93"/>
      <c r="I933" s="9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93"/>
      <c r="C934" s="93"/>
      <c r="D934" s="4"/>
      <c r="E934" s="93"/>
      <c r="F934" s="93"/>
      <c r="G934" s="12"/>
      <c r="H934" s="93"/>
      <c r="I934" s="9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93"/>
      <c r="C935" s="93"/>
      <c r="D935" s="4"/>
      <c r="E935" s="93"/>
      <c r="F935" s="93"/>
      <c r="G935" s="12"/>
      <c r="H935" s="93"/>
      <c r="I935" s="9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93"/>
      <c r="C936" s="93"/>
      <c r="D936" s="4"/>
      <c r="E936" s="93"/>
      <c r="F936" s="93"/>
      <c r="G936" s="12"/>
      <c r="H936" s="93"/>
      <c r="I936" s="9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93"/>
      <c r="C937" s="93"/>
      <c r="D937" s="4"/>
      <c r="E937" s="93"/>
      <c r="F937" s="93"/>
      <c r="G937" s="12"/>
      <c r="H937" s="93"/>
      <c r="I937" s="9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93"/>
      <c r="C938" s="93"/>
      <c r="D938" s="4"/>
      <c r="E938" s="93"/>
      <c r="F938" s="93"/>
      <c r="G938" s="12"/>
      <c r="H938" s="93"/>
      <c r="I938" s="9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93"/>
      <c r="C939" s="93"/>
      <c r="D939" s="4"/>
      <c r="E939" s="93"/>
      <c r="F939" s="93"/>
      <c r="G939" s="12"/>
      <c r="H939" s="93"/>
      <c r="I939" s="9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93"/>
      <c r="C940" s="93"/>
      <c r="D940" s="4"/>
      <c r="E940" s="93"/>
      <c r="F940" s="93"/>
      <c r="G940" s="12"/>
      <c r="H940" s="93"/>
      <c r="I940" s="9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93"/>
      <c r="C941" s="93"/>
      <c r="D941" s="4"/>
      <c r="E941" s="93"/>
      <c r="F941" s="93"/>
      <c r="G941" s="12"/>
      <c r="H941" s="93"/>
      <c r="I941" s="9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93"/>
      <c r="C942" s="93"/>
      <c r="D942" s="4"/>
      <c r="E942" s="93"/>
      <c r="F942" s="93"/>
      <c r="G942" s="12"/>
      <c r="H942" s="93"/>
      <c r="I942" s="9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93"/>
      <c r="C943" s="93"/>
      <c r="D943" s="4"/>
      <c r="E943" s="93"/>
      <c r="F943" s="93"/>
      <c r="G943" s="12"/>
      <c r="H943" s="93"/>
      <c r="I943" s="9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93"/>
      <c r="C944" s="93"/>
      <c r="D944" s="4"/>
      <c r="E944" s="93"/>
      <c r="F944" s="93"/>
      <c r="G944" s="12"/>
      <c r="H944" s="93"/>
      <c r="I944" s="9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93"/>
      <c r="C945" s="93"/>
      <c r="D945" s="4"/>
      <c r="E945" s="93"/>
      <c r="F945" s="93"/>
      <c r="G945" s="12"/>
      <c r="H945" s="93"/>
      <c r="I945" s="9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93"/>
      <c r="C946" s="93"/>
      <c r="D946" s="4"/>
      <c r="E946" s="93"/>
      <c r="F946" s="93"/>
      <c r="G946" s="12"/>
      <c r="H946" s="93"/>
      <c r="I946" s="9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93"/>
      <c r="C947" s="93"/>
      <c r="D947" s="4"/>
      <c r="E947" s="93"/>
      <c r="F947" s="93"/>
      <c r="G947" s="12"/>
      <c r="H947" s="93"/>
      <c r="I947" s="9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93"/>
      <c r="C948" s="93"/>
      <c r="D948" s="4"/>
      <c r="E948" s="93"/>
      <c r="F948" s="93"/>
      <c r="G948" s="12"/>
      <c r="H948" s="93"/>
      <c r="I948" s="9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93"/>
      <c r="C949" s="93"/>
      <c r="D949" s="4"/>
      <c r="E949" s="93"/>
      <c r="F949" s="93"/>
      <c r="G949" s="12"/>
      <c r="H949" s="93"/>
      <c r="I949" s="9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93"/>
      <c r="C950" s="93"/>
      <c r="D950" s="4"/>
      <c r="E950" s="93"/>
      <c r="F950" s="93"/>
      <c r="G950" s="12"/>
      <c r="H950" s="93"/>
      <c r="I950" s="9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93"/>
      <c r="C951" s="93"/>
      <c r="D951" s="4"/>
      <c r="E951" s="93"/>
      <c r="F951" s="93"/>
      <c r="G951" s="12"/>
      <c r="H951" s="93"/>
      <c r="I951" s="9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93"/>
      <c r="C952" s="93"/>
      <c r="D952" s="4"/>
      <c r="E952" s="93"/>
      <c r="F952" s="93"/>
      <c r="G952" s="12"/>
      <c r="H952" s="93"/>
      <c r="I952" s="9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93"/>
      <c r="C953" s="93"/>
      <c r="D953" s="4"/>
      <c r="E953" s="93"/>
      <c r="F953" s="93"/>
      <c r="G953" s="12"/>
      <c r="H953" s="93"/>
      <c r="I953" s="9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93"/>
      <c r="C954" s="93"/>
      <c r="D954" s="4"/>
      <c r="E954" s="93"/>
      <c r="F954" s="93"/>
      <c r="G954" s="12"/>
      <c r="H954" s="93"/>
      <c r="I954" s="9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93"/>
      <c r="C955" s="93"/>
      <c r="D955" s="4"/>
      <c r="E955" s="93"/>
      <c r="F955" s="93"/>
      <c r="G955" s="12"/>
      <c r="H955" s="93"/>
      <c r="I955" s="9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93"/>
      <c r="C956" s="93"/>
      <c r="D956" s="4"/>
      <c r="E956" s="93"/>
      <c r="F956" s="93"/>
      <c r="G956" s="12"/>
      <c r="H956" s="93"/>
      <c r="I956" s="9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93"/>
      <c r="C957" s="93"/>
      <c r="D957" s="4"/>
      <c r="E957" s="93"/>
      <c r="F957" s="93"/>
      <c r="G957" s="12"/>
      <c r="H957" s="93"/>
      <c r="I957" s="9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93"/>
      <c r="C958" s="93"/>
      <c r="D958" s="4"/>
      <c r="E958" s="93"/>
      <c r="F958" s="93"/>
      <c r="G958" s="12"/>
      <c r="H958" s="93"/>
      <c r="I958" s="9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93"/>
      <c r="C959" s="93"/>
      <c r="D959" s="4"/>
      <c r="E959" s="93"/>
      <c r="F959" s="93"/>
      <c r="G959" s="12"/>
      <c r="H959" s="93"/>
      <c r="I959" s="9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93"/>
      <c r="C960" s="93"/>
      <c r="D960" s="4"/>
      <c r="E960" s="93"/>
      <c r="F960" s="93"/>
      <c r="G960" s="12"/>
      <c r="H960" s="93"/>
      <c r="I960" s="9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93"/>
      <c r="C961" s="93"/>
      <c r="D961" s="4"/>
      <c r="E961" s="93"/>
      <c r="F961" s="93"/>
      <c r="G961" s="12"/>
      <c r="H961" s="93"/>
      <c r="I961" s="9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93"/>
      <c r="C962" s="93"/>
      <c r="D962" s="4"/>
      <c r="E962" s="93"/>
      <c r="F962" s="93"/>
      <c r="G962" s="12"/>
      <c r="H962" s="93"/>
      <c r="I962" s="9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93"/>
      <c r="C963" s="93"/>
      <c r="D963" s="4"/>
      <c r="E963" s="93"/>
      <c r="F963" s="93"/>
      <c r="G963" s="12"/>
      <c r="H963" s="93"/>
      <c r="I963" s="9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93"/>
      <c r="C964" s="93"/>
      <c r="D964" s="4"/>
      <c r="E964" s="93"/>
      <c r="F964" s="93"/>
      <c r="G964" s="12"/>
      <c r="H964" s="93"/>
      <c r="I964" s="9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93"/>
      <c r="C965" s="93"/>
      <c r="D965" s="4"/>
      <c r="E965" s="93"/>
      <c r="F965" s="93"/>
      <c r="G965" s="12"/>
      <c r="H965" s="93"/>
      <c r="I965" s="9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93"/>
      <c r="C966" s="93"/>
      <c r="D966" s="4"/>
      <c r="E966" s="93"/>
      <c r="F966" s="93"/>
      <c r="G966" s="12"/>
      <c r="H966" s="93"/>
      <c r="I966" s="9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93"/>
      <c r="C967" s="93"/>
      <c r="D967" s="4"/>
      <c r="E967" s="93"/>
      <c r="F967" s="93"/>
      <c r="G967" s="12"/>
      <c r="H967" s="93"/>
      <c r="I967" s="9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93"/>
      <c r="C968" s="93"/>
      <c r="D968" s="4"/>
      <c r="E968" s="93"/>
      <c r="F968" s="93"/>
      <c r="G968" s="12"/>
      <c r="H968" s="93"/>
      <c r="I968" s="9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93"/>
      <c r="C969" s="93"/>
      <c r="D969" s="4"/>
      <c r="E969" s="93"/>
      <c r="F969" s="93"/>
      <c r="G969" s="12"/>
      <c r="H969" s="93"/>
      <c r="I969" s="9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93"/>
      <c r="C970" s="93"/>
      <c r="D970" s="4"/>
      <c r="E970" s="93"/>
      <c r="F970" s="93"/>
      <c r="G970" s="12"/>
      <c r="H970" s="93"/>
      <c r="I970" s="9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93"/>
      <c r="C971" s="93"/>
      <c r="D971" s="4"/>
      <c r="E971" s="93"/>
      <c r="F971" s="93"/>
      <c r="G971" s="12"/>
      <c r="H971" s="93"/>
      <c r="I971" s="9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93"/>
      <c r="C972" s="93"/>
      <c r="D972" s="4"/>
      <c r="E972" s="93"/>
      <c r="F972" s="93"/>
      <c r="G972" s="12"/>
      <c r="H972" s="93"/>
      <c r="I972" s="9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93"/>
      <c r="C973" s="93"/>
      <c r="D973" s="4"/>
      <c r="E973" s="93"/>
      <c r="F973" s="93"/>
      <c r="G973" s="12"/>
      <c r="H973" s="93"/>
      <c r="I973" s="9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93"/>
      <c r="C974" s="93"/>
      <c r="D974" s="4"/>
      <c r="E974" s="93"/>
      <c r="F974" s="93"/>
      <c r="G974" s="12"/>
      <c r="H974" s="93"/>
      <c r="I974" s="9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93"/>
      <c r="C975" s="93"/>
      <c r="D975" s="4"/>
      <c r="E975" s="93"/>
      <c r="F975" s="93"/>
      <c r="G975" s="12"/>
      <c r="H975" s="93"/>
      <c r="I975" s="9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</sheetData>
  <dataValidations>
    <dataValidation type="list" allowBlank="1" showErrorMessage="1" sqref="Y2:Y64">
      <formula1>"EMI doc shared,EMI Rejected,Interested,Enrolled,Not Interested, Not Interested_Fees High,Plan Dropped,Joined Elsewhere,EMI Approved,FPL,Not Answering,Gone Cold,Switchedoff,Not Reachable,Disconnecting the call,EMI Applied,Doc Pending,Call Busy,Call back re"&amp;"quested"</formula1>
    </dataValidation>
    <dataValidation type="list" allowBlank="1" showErrorMessage="1" sqref="V2:V64 Z2:Z64">
      <formula1>"Cold,Warm,Hot,Super Hot,Lost,Not Connected,Won,Connected,Approved,Rejected"</formula1>
    </dataValidation>
    <dataValidation type="list" allowBlank="1" showErrorMessage="1" sqref="U2:U64">
      <formula1>"Not Answering,Not Interested,Interested,Demo Scheduled,Demo Completed,Enrolled,EMI Rejected,Interested_DNP,Wrong Number,Not Reachable,Joined Elsewhere,Followup,Call Back Requested,Call Busy,Future Prospect Leads,Disconnecting the call,Switchedoff,Looking "&amp;"for job,No Incoming,EMI Process"</formula1>
    </dataValidation>
    <dataValidation type="list" allowBlank="1" showErrorMessage="1" sqref="A2:A64">
      <formula1>"Sasi,Brindha,Dustin"</formula1>
    </dataValidation>
    <dataValidation type="custom" allowBlank="1" showDropDown="1" sqref="T2:T64">
      <formula1>OR(NOT(ISERROR(DATEVALUE(T2))), AND(ISNUMBER(T2), LEFT(CELL("format", T2))="D"))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2" max="2" width="14.5"/>
    <col customWidth="1" min="3" max="3" width="11.25"/>
    <col customWidth="1" min="4" max="4" width="17.0"/>
    <col customWidth="1" min="5" max="5" width="10.0"/>
    <col customWidth="1" min="6" max="6" width="9.88"/>
    <col customWidth="1" min="7" max="7" width="4.25"/>
    <col customWidth="1" min="8" max="8" width="11.38"/>
    <col customWidth="1" min="10" max="11" width="2.63"/>
    <col customWidth="1" min="12" max="13" width="2.38"/>
    <col customWidth="1" min="14" max="14" width="2.63"/>
    <col customWidth="1" min="15" max="15" width="2.88"/>
    <col customWidth="1" min="16" max="17" width="2.75"/>
    <col customWidth="1" min="18" max="18" width="2.88"/>
    <col customWidth="1" min="19" max="19" width="2.63"/>
    <col customWidth="1" min="20" max="20" width="9.25"/>
    <col customWidth="1" min="21" max="21" width="13.88"/>
    <col customWidth="1" min="22" max="22" width="14.25"/>
    <col customWidth="1" min="23" max="23" width="2.88"/>
    <col customWidth="1" min="24" max="24" width="53.75"/>
    <col customWidth="1" min="27" max="27" width="51.75"/>
  </cols>
  <sheetData>
    <row r="1">
      <c r="A1" s="99" t="s">
        <v>1016</v>
      </c>
      <c r="B1" s="99" t="s">
        <v>157</v>
      </c>
      <c r="C1" s="100" t="s">
        <v>334</v>
      </c>
      <c r="D1" s="101" t="s">
        <v>335</v>
      </c>
      <c r="E1" s="100" t="s">
        <v>336</v>
      </c>
      <c r="F1" s="99" t="s">
        <v>337</v>
      </c>
      <c r="G1" s="101" t="s">
        <v>338</v>
      </c>
      <c r="H1" s="101" t="s">
        <v>339</v>
      </c>
      <c r="I1" s="101" t="s">
        <v>340</v>
      </c>
      <c r="J1" s="99">
        <v>1.0</v>
      </c>
      <c r="K1" s="99">
        <v>2.0</v>
      </c>
      <c r="L1" s="99">
        <v>3.0</v>
      </c>
      <c r="M1" s="99">
        <v>4.0</v>
      </c>
      <c r="N1" s="99">
        <v>5.0</v>
      </c>
      <c r="O1" s="99">
        <v>6.0</v>
      </c>
      <c r="P1" s="99">
        <v>7.0</v>
      </c>
      <c r="Q1" s="99">
        <v>8.0</v>
      </c>
      <c r="R1" s="99">
        <v>9.0</v>
      </c>
      <c r="S1" s="99">
        <v>10.0</v>
      </c>
      <c r="T1" s="99" t="s">
        <v>341</v>
      </c>
      <c r="U1" s="99" t="s">
        <v>1017</v>
      </c>
      <c r="V1" s="102" t="s">
        <v>342</v>
      </c>
      <c r="W1" s="99" t="s">
        <v>343</v>
      </c>
      <c r="X1" s="102" t="s">
        <v>344</v>
      </c>
      <c r="Y1" s="102" t="s">
        <v>345</v>
      </c>
      <c r="Z1" s="99" t="s">
        <v>342</v>
      </c>
      <c r="AA1" s="99" t="s">
        <v>346</v>
      </c>
      <c r="AB1" s="103"/>
      <c r="AC1" s="103"/>
      <c r="AD1" s="103"/>
    </row>
    <row r="2" hidden="1">
      <c r="A2" s="5" t="s">
        <v>22</v>
      </c>
      <c r="B2" s="6" t="s">
        <v>951</v>
      </c>
      <c r="C2" s="28">
        <v>9.79105068E9</v>
      </c>
      <c r="D2" s="8" t="s">
        <v>26</v>
      </c>
      <c r="E2" s="28" t="s">
        <v>1329</v>
      </c>
      <c r="F2" s="8" t="s">
        <v>409</v>
      </c>
      <c r="G2" s="9" t="s">
        <v>1330</v>
      </c>
      <c r="H2" s="8" t="s">
        <v>1331</v>
      </c>
      <c r="I2" s="8" t="s">
        <v>1332</v>
      </c>
      <c r="J2" s="10" t="b">
        <v>1</v>
      </c>
      <c r="K2" s="54" t="b">
        <v>1</v>
      </c>
      <c r="L2" s="12" t="b">
        <v>0</v>
      </c>
      <c r="M2" s="12" t="b">
        <v>0</v>
      </c>
      <c r="N2" s="12" t="b">
        <v>0</v>
      </c>
      <c r="O2" s="12" t="b">
        <v>0</v>
      </c>
      <c r="P2" s="12" t="b">
        <v>0</v>
      </c>
      <c r="Q2" s="12" t="b">
        <v>0</v>
      </c>
      <c r="R2" s="12" t="b">
        <v>0</v>
      </c>
      <c r="S2" s="10" t="b">
        <v>0</v>
      </c>
      <c r="T2" s="91">
        <v>46051.0</v>
      </c>
      <c r="U2" s="6" t="s">
        <v>357</v>
      </c>
      <c r="V2" s="7" t="s">
        <v>358</v>
      </c>
      <c r="W2" s="104" t="b">
        <v>0</v>
      </c>
      <c r="X2" s="6" t="s">
        <v>1333</v>
      </c>
      <c r="Y2" s="105"/>
      <c r="Z2" s="105"/>
      <c r="AA2" s="53"/>
      <c r="AB2" s="53"/>
      <c r="AC2" s="53"/>
      <c r="AD2" s="53"/>
    </row>
    <row r="3" hidden="1">
      <c r="A3" s="5" t="s">
        <v>22</v>
      </c>
      <c r="B3" s="106" t="s">
        <v>1334</v>
      </c>
      <c r="C3" s="107">
        <v>7.810029257E9</v>
      </c>
      <c r="D3" s="8" t="s">
        <v>38</v>
      </c>
      <c r="E3" s="108" t="s">
        <v>33</v>
      </c>
      <c r="F3" s="109" t="s">
        <v>1149</v>
      </c>
      <c r="G3" s="109" t="s">
        <v>1001</v>
      </c>
      <c r="H3" s="109" t="s">
        <v>1335</v>
      </c>
      <c r="I3" s="109" t="s">
        <v>1336</v>
      </c>
      <c r="J3" s="110" t="b">
        <v>1</v>
      </c>
      <c r="K3" s="110" t="b">
        <v>1</v>
      </c>
      <c r="L3" s="111" t="b">
        <v>1</v>
      </c>
      <c r="M3" s="111" t="b">
        <v>1</v>
      </c>
      <c r="N3" s="111" t="b">
        <v>1</v>
      </c>
      <c r="O3" s="112" t="b">
        <v>1</v>
      </c>
      <c r="P3" s="113" t="b">
        <v>0</v>
      </c>
      <c r="Q3" s="113" t="b">
        <v>0</v>
      </c>
      <c r="R3" s="113" t="b">
        <v>0</v>
      </c>
      <c r="S3" s="113" t="b">
        <v>0</v>
      </c>
      <c r="T3" s="91">
        <v>46053.0</v>
      </c>
      <c r="U3" s="114" t="s">
        <v>357</v>
      </c>
      <c r="V3" s="115" t="s">
        <v>358</v>
      </c>
      <c r="W3" s="54" t="b">
        <v>1</v>
      </c>
      <c r="X3" s="9" t="s">
        <v>1337</v>
      </c>
      <c r="Y3" s="34" t="s">
        <v>684</v>
      </c>
      <c r="Z3" s="34" t="s">
        <v>358</v>
      </c>
      <c r="AA3" s="9" t="s">
        <v>1338</v>
      </c>
      <c r="AB3" s="4"/>
      <c r="AC3" s="4"/>
      <c r="AD3" s="4"/>
    </row>
    <row r="4">
      <c r="A4" s="5" t="s">
        <v>22</v>
      </c>
      <c r="B4" s="9" t="s">
        <v>1339</v>
      </c>
      <c r="C4" s="13">
        <v>6.381965589E9</v>
      </c>
      <c r="D4" s="8" t="s">
        <v>69</v>
      </c>
      <c r="E4" s="13" t="s">
        <v>33</v>
      </c>
      <c r="F4" s="9" t="s">
        <v>1149</v>
      </c>
      <c r="G4" s="9" t="s">
        <v>1330</v>
      </c>
      <c r="H4" s="9" t="s">
        <v>1335</v>
      </c>
      <c r="I4" s="116" t="s">
        <v>1336</v>
      </c>
      <c r="J4" s="57" t="b">
        <v>1</v>
      </c>
      <c r="K4" s="57" t="b">
        <v>1</v>
      </c>
      <c r="L4" s="67" t="b">
        <v>1</v>
      </c>
      <c r="M4" s="71" t="b">
        <v>1</v>
      </c>
      <c r="N4" s="10" t="b">
        <v>0</v>
      </c>
      <c r="O4" s="10" t="b">
        <v>0</v>
      </c>
      <c r="P4" s="10" t="b">
        <v>0</v>
      </c>
      <c r="Q4" s="10" t="b">
        <v>0</v>
      </c>
      <c r="R4" s="10" t="b">
        <v>0</v>
      </c>
      <c r="S4" s="10" t="b">
        <v>0</v>
      </c>
      <c r="T4" s="91">
        <v>46053.0</v>
      </c>
      <c r="U4" s="6" t="s">
        <v>890</v>
      </c>
      <c r="V4" s="7" t="s">
        <v>891</v>
      </c>
      <c r="W4" s="57" t="b">
        <v>1</v>
      </c>
      <c r="X4" s="9" t="s">
        <v>1340</v>
      </c>
      <c r="Y4" s="34" t="s">
        <v>890</v>
      </c>
      <c r="Z4" s="34" t="s">
        <v>891</v>
      </c>
      <c r="AA4" s="9" t="s">
        <v>1341</v>
      </c>
      <c r="AB4" s="4"/>
      <c r="AC4" s="4"/>
      <c r="AD4" s="4"/>
    </row>
    <row r="5">
      <c r="A5" s="5" t="s">
        <v>22</v>
      </c>
      <c r="B5" s="9" t="s">
        <v>1342</v>
      </c>
      <c r="C5" s="13">
        <v>7.010436975E9</v>
      </c>
      <c r="D5" s="8" t="s">
        <v>103</v>
      </c>
      <c r="E5" s="13" t="s">
        <v>33</v>
      </c>
      <c r="F5" s="9" t="s">
        <v>1149</v>
      </c>
      <c r="G5" s="9" t="s">
        <v>1330</v>
      </c>
      <c r="H5" s="8" t="s">
        <v>1331</v>
      </c>
      <c r="I5" s="116" t="s">
        <v>1336</v>
      </c>
      <c r="J5" s="57" t="b">
        <v>1</v>
      </c>
      <c r="K5" s="67" t="b">
        <v>1</v>
      </c>
      <c r="L5" s="10" t="b">
        <v>0</v>
      </c>
      <c r="M5" s="10" t="b">
        <v>0</v>
      </c>
      <c r="N5" s="10" t="b">
        <v>0</v>
      </c>
      <c r="O5" s="10" t="b">
        <v>0</v>
      </c>
      <c r="P5" s="10" t="b">
        <v>0</v>
      </c>
      <c r="Q5" s="10" t="b">
        <v>0</v>
      </c>
      <c r="R5" s="10" t="b">
        <v>0</v>
      </c>
      <c r="S5" s="10" t="b">
        <v>0</v>
      </c>
      <c r="T5" s="91">
        <v>46050.0</v>
      </c>
      <c r="U5" s="6" t="s">
        <v>890</v>
      </c>
      <c r="V5" s="7" t="s">
        <v>891</v>
      </c>
      <c r="W5" s="57" t="b">
        <v>1</v>
      </c>
      <c r="X5" s="9" t="s">
        <v>1343</v>
      </c>
      <c r="Y5" s="105"/>
      <c r="Z5" s="105"/>
      <c r="AA5" s="4"/>
      <c r="AB5" s="4"/>
      <c r="AC5" s="4"/>
      <c r="AD5" s="4"/>
    </row>
    <row r="6" hidden="1">
      <c r="A6" s="5" t="s">
        <v>22</v>
      </c>
      <c r="B6" s="9" t="s">
        <v>1344</v>
      </c>
      <c r="C6" s="13">
        <v>8.838486473E9</v>
      </c>
      <c r="D6" s="8" t="s">
        <v>38</v>
      </c>
      <c r="E6" s="13" t="s">
        <v>1345</v>
      </c>
      <c r="F6" s="9" t="s">
        <v>1346</v>
      </c>
      <c r="G6" s="9" t="s">
        <v>1330</v>
      </c>
      <c r="H6" s="8" t="s">
        <v>1347</v>
      </c>
      <c r="I6" s="9" t="s">
        <v>1348</v>
      </c>
      <c r="J6" s="54" t="b">
        <v>1</v>
      </c>
      <c r="K6" s="10" t="b">
        <v>0</v>
      </c>
      <c r="L6" s="10" t="b">
        <v>0</v>
      </c>
      <c r="M6" s="10" t="b">
        <v>0</v>
      </c>
      <c r="N6" s="10" t="b">
        <v>0</v>
      </c>
      <c r="O6" s="10" t="b">
        <v>0</v>
      </c>
      <c r="P6" s="10" t="b">
        <v>0</v>
      </c>
      <c r="Q6" s="10" t="b">
        <v>0</v>
      </c>
      <c r="R6" s="10" t="b">
        <v>0</v>
      </c>
      <c r="S6" s="10" t="b">
        <v>0</v>
      </c>
      <c r="T6" s="91">
        <v>46051.0</v>
      </c>
      <c r="U6" s="6" t="s">
        <v>543</v>
      </c>
      <c r="V6" s="7" t="s">
        <v>358</v>
      </c>
      <c r="W6" s="104" t="b">
        <v>0</v>
      </c>
      <c r="X6" s="9" t="s">
        <v>1349</v>
      </c>
      <c r="Y6" s="105"/>
      <c r="Z6" s="105"/>
      <c r="AA6" s="4"/>
      <c r="AB6" s="4"/>
      <c r="AC6" s="4"/>
      <c r="AD6" s="4"/>
    </row>
    <row r="7">
      <c r="A7" s="5" t="s">
        <v>22</v>
      </c>
      <c r="B7" s="9" t="s">
        <v>1350</v>
      </c>
      <c r="C7" s="13">
        <v>8.248438686E9</v>
      </c>
      <c r="D7" s="8" t="s">
        <v>169</v>
      </c>
      <c r="E7" s="13" t="s">
        <v>41</v>
      </c>
      <c r="F7" s="9" t="s">
        <v>1351</v>
      </c>
      <c r="G7" s="9" t="s">
        <v>1001</v>
      </c>
      <c r="H7" s="8" t="s">
        <v>1331</v>
      </c>
      <c r="I7" s="116" t="s">
        <v>1336</v>
      </c>
      <c r="J7" s="57" t="b">
        <v>1</v>
      </c>
      <c r="K7" s="57" t="b">
        <v>1</v>
      </c>
      <c r="L7" s="67" t="b">
        <v>1</v>
      </c>
      <c r="M7" s="54" t="b">
        <v>1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0</v>
      </c>
      <c r="S7" s="10" t="b">
        <v>0</v>
      </c>
      <c r="T7" s="91">
        <v>46060.0</v>
      </c>
      <c r="U7" s="6" t="s">
        <v>357</v>
      </c>
      <c r="V7" s="7" t="s">
        <v>358</v>
      </c>
      <c r="W7" s="54" t="b">
        <v>1</v>
      </c>
      <c r="X7" s="9" t="s">
        <v>1352</v>
      </c>
      <c r="Y7" s="34" t="s">
        <v>357</v>
      </c>
      <c r="Z7" s="34" t="s">
        <v>358</v>
      </c>
      <c r="AA7" s="9" t="s">
        <v>1353</v>
      </c>
      <c r="AB7" s="4"/>
      <c r="AC7" s="4"/>
      <c r="AD7" s="4"/>
    </row>
    <row r="8" hidden="1">
      <c r="A8" s="5" t="s">
        <v>22</v>
      </c>
      <c r="B8" s="9" t="s">
        <v>1354</v>
      </c>
      <c r="C8" s="117">
        <v>6.381236797E9</v>
      </c>
      <c r="D8" s="8" t="s">
        <v>38</v>
      </c>
      <c r="E8" s="118">
        <v>46019.60300973379</v>
      </c>
      <c r="F8" s="9" t="s">
        <v>1355</v>
      </c>
      <c r="G8" s="9" t="s">
        <v>1356</v>
      </c>
      <c r="H8" s="9" t="s">
        <v>1357</v>
      </c>
      <c r="I8" s="116" t="s">
        <v>1336</v>
      </c>
      <c r="J8" s="10" t="b">
        <v>1</v>
      </c>
      <c r="K8" s="10" t="b">
        <v>1</v>
      </c>
      <c r="L8" s="54" t="b">
        <v>1</v>
      </c>
      <c r="M8" s="10" t="b">
        <v>0</v>
      </c>
      <c r="N8" s="10" t="b">
        <v>0</v>
      </c>
      <c r="O8" s="10" t="b">
        <v>0</v>
      </c>
      <c r="P8" s="10" t="b">
        <v>0</v>
      </c>
      <c r="Q8" s="10" t="b">
        <v>0</v>
      </c>
      <c r="R8" s="10" t="b">
        <v>0</v>
      </c>
      <c r="S8" s="10" t="b">
        <v>0</v>
      </c>
      <c r="T8" s="91">
        <v>46056.0</v>
      </c>
      <c r="U8" s="6" t="s">
        <v>357</v>
      </c>
      <c r="V8" s="7" t="s">
        <v>358</v>
      </c>
      <c r="W8" s="104" t="b">
        <v>0</v>
      </c>
      <c r="X8" s="9" t="s">
        <v>1358</v>
      </c>
      <c r="Y8" s="105"/>
      <c r="Z8" s="105"/>
      <c r="AA8" s="4"/>
      <c r="AB8" s="4"/>
      <c r="AC8" s="4"/>
      <c r="AD8" s="4"/>
    </row>
    <row r="9" hidden="1">
      <c r="A9" s="5" t="s">
        <v>22</v>
      </c>
      <c r="B9" s="9" t="s">
        <v>1359</v>
      </c>
      <c r="C9" s="13">
        <v>9.360223392E9</v>
      </c>
      <c r="D9" s="8" t="s">
        <v>38</v>
      </c>
      <c r="E9" s="13" t="s">
        <v>41</v>
      </c>
      <c r="F9" s="9" t="s">
        <v>1149</v>
      </c>
      <c r="G9" s="9" t="s">
        <v>1330</v>
      </c>
      <c r="H9" s="8" t="s">
        <v>1331</v>
      </c>
      <c r="I9" s="116" t="s">
        <v>1336</v>
      </c>
      <c r="J9" s="10" t="b">
        <v>1</v>
      </c>
      <c r="K9" s="10" t="b">
        <v>1</v>
      </c>
      <c r="L9" s="57" t="b">
        <v>1</v>
      </c>
      <c r="M9" s="67" t="b">
        <v>1</v>
      </c>
      <c r="N9" s="54" t="b">
        <v>1</v>
      </c>
      <c r="O9" s="10" t="b">
        <v>0</v>
      </c>
      <c r="P9" s="10" t="b">
        <v>0</v>
      </c>
      <c r="Q9" s="10" t="b">
        <v>0</v>
      </c>
      <c r="R9" s="10" t="b">
        <v>0</v>
      </c>
      <c r="S9" s="10" t="b">
        <v>0</v>
      </c>
      <c r="T9" s="91">
        <v>46058.0</v>
      </c>
      <c r="U9" s="6" t="s">
        <v>543</v>
      </c>
      <c r="V9" s="7" t="s">
        <v>358</v>
      </c>
      <c r="W9" s="54" t="b">
        <v>1</v>
      </c>
      <c r="X9" s="9" t="s">
        <v>1360</v>
      </c>
      <c r="Y9" s="34" t="s">
        <v>431</v>
      </c>
      <c r="Z9" s="34" t="s">
        <v>432</v>
      </c>
      <c r="AA9" s="9" t="s">
        <v>1361</v>
      </c>
      <c r="AB9" s="4"/>
      <c r="AC9" s="4"/>
      <c r="AD9" s="4"/>
    </row>
    <row r="10" hidden="1">
      <c r="A10" s="5" t="s">
        <v>22</v>
      </c>
      <c r="B10" s="9" t="s">
        <v>1362</v>
      </c>
      <c r="C10" s="13">
        <v>8.056716907E9</v>
      </c>
      <c r="D10" s="8" t="s">
        <v>1363</v>
      </c>
      <c r="E10" s="13" t="s">
        <v>41</v>
      </c>
      <c r="F10" s="9" t="s">
        <v>1149</v>
      </c>
      <c r="G10" s="9" t="s">
        <v>1330</v>
      </c>
      <c r="H10" s="8" t="s">
        <v>1331</v>
      </c>
      <c r="I10" s="116" t="s">
        <v>1336</v>
      </c>
      <c r="J10" s="10" t="b">
        <v>1</v>
      </c>
      <c r="K10" s="57" t="b">
        <v>1</v>
      </c>
      <c r="L10" s="57" t="b">
        <v>1</v>
      </c>
      <c r="M10" s="67" t="b">
        <v>1</v>
      </c>
      <c r="N10" s="71" t="b">
        <v>1</v>
      </c>
      <c r="O10" s="71" t="b">
        <v>1</v>
      </c>
      <c r="P10" s="10" t="b">
        <v>0</v>
      </c>
      <c r="Q10" s="10" t="b">
        <v>0</v>
      </c>
      <c r="R10" s="10" t="b">
        <v>0</v>
      </c>
      <c r="S10" s="10" t="b">
        <v>0</v>
      </c>
      <c r="T10" s="91">
        <v>46112.0</v>
      </c>
      <c r="U10" s="6" t="s">
        <v>1124</v>
      </c>
      <c r="V10" s="7" t="s">
        <v>429</v>
      </c>
      <c r="W10" s="57" t="b">
        <v>1</v>
      </c>
      <c r="X10" s="9" t="s">
        <v>1364</v>
      </c>
      <c r="Y10" s="34" t="s">
        <v>361</v>
      </c>
      <c r="Z10" s="34" t="s">
        <v>362</v>
      </c>
      <c r="AA10" s="9" t="s">
        <v>1365</v>
      </c>
      <c r="AB10" s="4"/>
      <c r="AC10" s="4"/>
      <c r="AD10" s="4"/>
    </row>
    <row r="11" hidden="1">
      <c r="A11" s="5" t="s">
        <v>22</v>
      </c>
      <c r="B11" s="9" t="s">
        <v>1366</v>
      </c>
      <c r="C11" s="13">
        <v>9.566858543E9</v>
      </c>
      <c r="D11" s="8" t="s">
        <v>38</v>
      </c>
      <c r="E11" s="13" t="s">
        <v>41</v>
      </c>
      <c r="F11" s="9" t="s">
        <v>1149</v>
      </c>
      <c r="G11" s="9" t="s">
        <v>1330</v>
      </c>
      <c r="H11" s="8" t="s">
        <v>1331</v>
      </c>
      <c r="I11" s="116" t="s">
        <v>1336</v>
      </c>
      <c r="J11" s="10" t="b">
        <v>1</v>
      </c>
      <c r="K11" s="57" t="b">
        <v>1</v>
      </c>
      <c r="L11" s="67" t="b">
        <v>1</v>
      </c>
      <c r="M11" s="71" t="b">
        <v>1</v>
      </c>
      <c r="N11" s="10" t="b">
        <v>0</v>
      </c>
      <c r="O11" s="10" t="b">
        <v>0</v>
      </c>
      <c r="P11" s="10" t="b">
        <v>0</v>
      </c>
      <c r="Q11" s="10" t="b">
        <v>0</v>
      </c>
      <c r="R11" s="10" t="b">
        <v>0</v>
      </c>
      <c r="S11" s="10" t="b">
        <v>0</v>
      </c>
      <c r="T11" s="91">
        <v>46055.0</v>
      </c>
      <c r="U11" s="6" t="s">
        <v>890</v>
      </c>
      <c r="V11" s="7" t="s">
        <v>891</v>
      </c>
      <c r="W11" s="57" t="b">
        <v>1</v>
      </c>
      <c r="X11" s="9" t="s">
        <v>1367</v>
      </c>
      <c r="Y11" s="34" t="s">
        <v>890</v>
      </c>
      <c r="Z11" s="34" t="s">
        <v>891</v>
      </c>
      <c r="AA11" s="9" t="s">
        <v>1368</v>
      </c>
      <c r="AB11" s="4"/>
      <c r="AC11" s="4"/>
      <c r="AD11" s="4"/>
    </row>
    <row r="12">
      <c r="A12" s="5" t="s">
        <v>22</v>
      </c>
      <c r="B12" s="9" t="s">
        <v>1369</v>
      </c>
      <c r="C12" s="13">
        <v>8.754378437E9</v>
      </c>
      <c r="D12" s="8" t="s">
        <v>103</v>
      </c>
      <c r="E12" s="13" t="s">
        <v>41</v>
      </c>
      <c r="F12" s="9" t="s">
        <v>1149</v>
      </c>
      <c r="G12" s="9" t="s">
        <v>1330</v>
      </c>
      <c r="H12" s="8" t="s">
        <v>1331</v>
      </c>
      <c r="I12" s="116" t="s">
        <v>1336</v>
      </c>
      <c r="J12" s="57" t="b">
        <v>1</v>
      </c>
      <c r="K12" s="57" t="b">
        <v>1</v>
      </c>
      <c r="L12" s="57" t="b">
        <v>1</v>
      </c>
      <c r="M12" s="57" t="b">
        <v>1</v>
      </c>
      <c r="N12" s="54" t="b">
        <v>1</v>
      </c>
      <c r="O12" s="10" t="b">
        <v>0</v>
      </c>
      <c r="P12" s="10" t="b">
        <v>0</v>
      </c>
      <c r="Q12" s="10" t="b">
        <v>0</v>
      </c>
      <c r="R12" s="10" t="b">
        <v>0</v>
      </c>
      <c r="S12" s="10" t="b">
        <v>0</v>
      </c>
      <c r="T12" s="91">
        <v>46063.0</v>
      </c>
      <c r="U12" s="6" t="s">
        <v>357</v>
      </c>
      <c r="V12" s="7" t="s">
        <v>358</v>
      </c>
      <c r="W12" s="104" t="b">
        <v>0</v>
      </c>
      <c r="X12" s="9" t="s">
        <v>1370</v>
      </c>
      <c r="Y12" s="34" t="s">
        <v>382</v>
      </c>
      <c r="Z12" s="34" t="s">
        <v>358</v>
      </c>
      <c r="AA12" s="9" t="s">
        <v>1371</v>
      </c>
      <c r="AB12" s="4"/>
      <c r="AC12" s="4"/>
      <c r="AD12" s="4"/>
    </row>
    <row r="13">
      <c r="A13" s="5" t="s">
        <v>22</v>
      </c>
      <c r="B13" s="4"/>
      <c r="C13" s="13">
        <v>9.489150704E9</v>
      </c>
      <c r="D13" s="8" t="s">
        <v>103</v>
      </c>
      <c r="E13" s="119">
        <v>46052.0</v>
      </c>
      <c r="F13" s="4"/>
      <c r="G13" s="9" t="s">
        <v>1330</v>
      </c>
      <c r="H13" s="8" t="s">
        <v>1331</v>
      </c>
      <c r="I13" s="116" t="s">
        <v>1336</v>
      </c>
      <c r="J13" s="10" t="b">
        <v>1</v>
      </c>
      <c r="K13" s="10" t="b">
        <v>1</v>
      </c>
      <c r="L13" s="10" t="b">
        <v>1</v>
      </c>
      <c r="M13" s="10" t="b">
        <v>1</v>
      </c>
      <c r="N13" s="10" t="b">
        <v>1</v>
      </c>
      <c r="O13" s="54" t="b">
        <v>1</v>
      </c>
      <c r="P13" s="10" t="b">
        <v>0</v>
      </c>
      <c r="Q13" s="10" t="b">
        <v>0</v>
      </c>
      <c r="R13" s="10" t="b">
        <v>0</v>
      </c>
      <c r="S13" s="10" t="b">
        <v>0</v>
      </c>
      <c r="T13" s="91">
        <v>46063.0</v>
      </c>
      <c r="U13" s="6" t="s">
        <v>424</v>
      </c>
      <c r="V13" s="7" t="s">
        <v>358</v>
      </c>
      <c r="W13" s="104" t="b">
        <v>0</v>
      </c>
      <c r="X13" s="9" t="s">
        <v>1372</v>
      </c>
      <c r="Y13" s="105"/>
      <c r="Z13" s="105"/>
      <c r="AA13" s="4"/>
      <c r="AB13" s="4"/>
      <c r="AC13" s="4"/>
      <c r="AD13" s="4"/>
    </row>
    <row r="14">
      <c r="A14" s="5" t="s">
        <v>22</v>
      </c>
      <c r="B14" s="9" t="s">
        <v>1373</v>
      </c>
      <c r="C14" s="13">
        <v>6.37481101E9</v>
      </c>
      <c r="D14" s="8" t="s">
        <v>103</v>
      </c>
      <c r="E14" s="119">
        <v>46052.0</v>
      </c>
      <c r="F14" s="4"/>
      <c r="G14" s="9" t="s">
        <v>1330</v>
      </c>
      <c r="H14" s="8" t="s">
        <v>1331</v>
      </c>
      <c r="I14" s="116" t="s">
        <v>1336</v>
      </c>
      <c r="J14" s="10" t="b">
        <v>1</v>
      </c>
      <c r="K14" s="10" t="b">
        <v>1</v>
      </c>
      <c r="L14" s="10" t="b">
        <v>1</v>
      </c>
      <c r="M14" s="54" t="b">
        <v>1</v>
      </c>
      <c r="N14" s="10" t="b">
        <v>0</v>
      </c>
      <c r="O14" s="10" t="b">
        <v>0</v>
      </c>
      <c r="P14" s="10" t="b">
        <v>0</v>
      </c>
      <c r="Q14" s="10" t="b">
        <v>0</v>
      </c>
      <c r="R14" s="10" t="b">
        <v>0</v>
      </c>
      <c r="S14" s="10" t="b">
        <v>0</v>
      </c>
      <c r="T14" s="91">
        <v>46057.0</v>
      </c>
      <c r="U14" s="6" t="s">
        <v>357</v>
      </c>
      <c r="V14" s="7" t="s">
        <v>358</v>
      </c>
      <c r="W14" s="104" t="b">
        <v>0</v>
      </c>
      <c r="X14" s="9" t="s">
        <v>1374</v>
      </c>
      <c r="Y14" s="105"/>
      <c r="Z14" s="105"/>
      <c r="AA14" s="4"/>
      <c r="AB14" s="4"/>
      <c r="AC14" s="4"/>
      <c r="AD14" s="4"/>
    </row>
    <row r="15">
      <c r="A15" s="5" t="s">
        <v>22</v>
      </c>
      <c r="B15" s="9" t="s">
        <v>1375</v>
      </c>
      <c r="C15" s="13">
        <v>6.382589028E9</v>
      </c>
      <c r="D15" s="8" t="s">
        <v>103</v>
      </c>
      <c r="E15" s="119">
        <v>46052.0</v>
      </c>
      <c r="F15" s="9" t="s">
        <v>996</v>
      </c>
      <c r="G15" s="9" t="s">
        <v>1001</v>
      </c>
      <c r="H15" s="8" t="s">
        <v>1331</v>
      </c>
      <c r="I15" s="116" t="s">
        <v>1336</v>
      </c>
      <c r="J15" s="57" t="b">
        <v>1</v>
      </c>
      <c r="K15" s="67" t="b">
        <v>1</v>
      </c>
      <c r="L15" s="71" t="b">
        <v>1</v>
      </c>
      <c r="M15" s="10" t="b">
        <v>0</v>
      </c>
      <c r="N15" s="10" t="b">
        <v>0</v>
      </c>
      <c r="O15" s="10" t="b">
        <v>0</v>
      </c>
      <c r="P15" s="10" t="b">
        <v>0</v>
      </c>
      <c r="Q15" s="10" t="b">
        <v>0</v>
      </c>
      <c r="R15" s="10" t="b">
        <v>0</v>
      </c>
      <c r="S15" s="10" t="b">
        <v>0</v>
      </c>
      <c r="T15" s="91">
        <v>46053.0</v>
      </c>
      <c r="U15" s="6" t="s">
        <v>890</v>
      </c>
      <c r="V15" s="7" t="s">
        <v>891</v>
      </c>
      <c r="W15" s="57" t="b">
        <v>1</v>
      </c>
      <c r="X15" s="9" t="s">
        <v>1376</v>
      </c>
      <c r="Y15" s="34" t="s">
        <v>890</v>
      </c>
      <c r="Z15" s="34" t="s">
        <v>891</v>
      </c>
      <c r="AA15" s="9" t="s">
        <v>1377</v>
      </c>
      <c r="AB15" s="4"/>
      <c r="AC15" s="4"/>
      <c r="AD15" s="4"/>
    </row>
    <row r="16" hidden="1">
      <c r="A16" s="5" t="s">
        <v>22</v>
      </c>
      <c r="B16" s="4"/>
      <c r="C16" s="13">
        <v>8.248590092E9</v>
      </c>
      <c r="D16" s="8" t="s">
        <v>1378</v>
      </c>
      <c r="E16" s="119">
        <v>46052.0</v>
      </c>
      <c r="F16" s="4"/>
      <c r="G16" s="9" t="s">
        <v>1330</v>
      </c>
      <c r="H16" s="8" t="s">
        <v>1331</v>
      </c>
      <c r="I16" s="116" t="s">
        <v>1336</v>
      </c>
      <c r="J16" s="10" t="b">
        <v>1</v>
      </c>
      <c r="K16" s="10" t="b">
        <v>1</v>
      </c>
      <c r="L16" s="54" t="b">
        <v>1</v>
      </c>
      <c r="M16" s="10" t="b">
        <v>0</v>
      </c>
      <c r="N16" s="10" t="b">
        <v>0</v>
      </c>
      <c r="O16" s="10" t="b">
        <v>0</v>
      </c>
      <c r="P16" s="10" t="b">
        <v>0</v>
      </c>
      <c r="Q16" s="10" t="b">
        <v>0</v>
      </c>
      <c r="R16" s="10" t="b">
        <v>0</v>
      </c>
      <c r="S16" s="10" t="b">
        <v>0</v>
      </c>
      <c r="T16" s="91">
        <v>46057.0</v>
      </c>
      <c r="U16" s="6" t="s">
        <v>357</v>
      </c>
      <c r="V16" s="7" t="s">
        <v>358</v>
      </c>
      <c r="W16" s="104" t="b">
        <v>0</v>
      </c>
      <c r="X16" s="9" t="s">
        <v>1379</v>
      </c>
      <c r="Y16" s="105"/>
      <c r="Z16" s="105"/>
      <c r="AA16" s="4"/>
      <c r="AB16" s="4"/>
      <c r="AC16" s="4"/>
      <c r="AD16" s="4"/>
    </row>
    <row r="17">
      <c r="A17" s="5" t="s">
        <v>22</v>
      </c>
      <c r="B17" s="9" t="s">
        <v>1380</v>
      </c>
      <c r="C17" s="13">
        <v>8.220694008E9</v>
      </c>
      <c r="D17" s="8" t="s">
        <v>69</v>
      </c>
      <c r="E17" s="119">
        <v>46052.0</v>
      </c>
      <c r="F17" s="9" t="s">
        <v>1149</v>
      </c>
      <c r="G17" s="9" t="s">
        <v>1330</v>
      </c>
      <c r="H17" s="8" t="s">
        <v>1331</v>
      </c>
      <c r="I17" s="116" t="s">
        <v>1336</v>
      </c>
      <c r="J17" s="57" t="b">
        <v>1</v>
      </c>
      <c r="K17" s="67" t="b">
        <v>1</v>
      </c>
      <c r="L17" s="71" t="b">
        <v>1</v>
      </c>
      <c r="M17" s="71" t="b">
        <v>1</v>
      </c>
      <c r="N17" s="120" t="b">
        <v>1</v>
      </c>
      <c r="O17" s="71" t="b">
        <v>1</v>
      </c>
      <c r="P17" s="54" t="b">
        <v>1</v>
      </c>
      <c r="Q17" s="10" t="b">
        <v>0</v>
      </c>
      <c r="R17" s="10" t="b">
        <v>0</v>
      </c>
      <c r="S17" s="10" t="b">
        <v>0</v>
      </c>
      <c r="T17" s="91">
        <v>46112.0</v>
      </c>
      <c r="U17" s="6" t="s">
        <v>357</v>
      </c>
      <c r="V17" s="7" t="s">
        <v>358</v>
      </c>
      <c r="W17" s="54" t="b">
        <v>1</v>
      </c>
      <c r="X17" s="9" t="s">
        <v>1381</v>
      </c>
      <c r="Y17" s="34" t="s">
        <v>382</v>
      </c>
      <c r="Z17" s="34" t="s">
        <v>358</v>
      </c>
      <c r="AA17" s="9" t="s">
        <v>1382</v>
      </c>
      <c r="AB17" s="4"/>
      <c r="AC17" s="4"/>
      <c r="AD17" s="4"/>
    </row>
    <row r="18" hidden="1">
      <c r="A18" s="5" t="s">
        <v>22</v>
      </c>
      <c r="B18" s="9" t="s">
        <v>1383</v>
      </c>
      <c r="C18" s="13">
        <v>7.672031973E9</v>
      </c>
      <c r="D18" s="8" t="s">
        <v>1378</v>
      </c>
      <c r="E18" s="119">
        <v>46052.0</v>
      </c>
      <c r="F18" s="4"/>
      <c r="G18" s="9" t="s">
        <v>1330</v>
      </c>
      <c r="H18" s="8" t="s">
        <v>1331</v>
      </c>
      <c r="I18" s="116" t="s">
        <v>1336</v>
      </c>
      <c r="J18" s="10" t="b">
        <v>1</v>
      </c>
      <c r="K18" s="10" t="b">
        <v>1</v>
      </c>
      <c r="L18" s="54" t="b">
        <v>1</v>
      </c>
      <c r="M18" s="10" t="b">
        <v>0</v>
      </c>
      <c r="N18" s="10" t="b">
        <v>0</v>
      </c>
      <c r="O18" s="10" t="b">
        <v>0</v>
      </c>
      <c r="P18" s="10" t="b">
        <v>0</v>
      </c>
      <c r="Q18" s="10" t="b">
        <v>0</v>
      </c>
      <c r="R18" s="10" t="b">
        <v>0</v>
      </c>
      <c r="S18" s="10" t="b">
        <v>0</v>
      </c>
      <c r="T18" s="91">
        <v>46057.0</v>
      </c>
      <c r="U18" s="6" t="s">
        <v>357</v>
      </c>
      <c r="V18" s="7" t="s">
        <v>358</v>
      </c>
      <c r="W18" s="104" t="b">
        <v>0</v>
      </c>
      <c r="X18" s="9" t="s">
        <v>1384</v>
      </c>
      <c r="Y18" s="105"/>
      <c r="Z18" s="105"/>
      <c r="AA18" s="4"/>
      <c r="AB18" s="4"/>
      <c r="AC18" s="4"/>
      <c r="AD18" s="4"/>
    </row>
    <row r="19" hidden="1">
      <c r="A19" s="5" t="s">
        <v>22</v>
      </c>
      <c r="B19" s="9" t="s">
        <v>1385</v>
      </c>
      <c r="C19" s="13">
        <v>6.379783782E9</v>
      </c>
      <c r="D19" s="8" t="s">
        <v>45</v>
      </c>
      <c r="E19" s="119">
        <v>46052.0</v>
      </c>
      <c r="F19" s="9" t="s">
        <v>1149</v>
      </c>
      <c r="G19" s="9" t="s">
        <v>1330</v>
      </c>
      <c r="H19" s="8" t="s">
        <v>1331</v>
      </c>
      <c r="I19" s="116" t="s">
        <v>1336</v>
      </c>
      <c r="J19" s="57" t="b">
        <v>1</v>
      </c>
      <c r="K19" s="54" t="b">
        <v>1</v>
      </c>
      <c r="L19" s="10" t="b">
        <v>0</v>
      </c>
      <c r="M19" s="10" t="b">
        <v>0</v>
      </c>
      <c r="N19" s="10" t="b">
        <v>0</v>
      </c>
      <c r="O19" s="10" t="b">
        <v>0</v>
      </c>
      <c r="P19" s="10" t="b">
        <v>0</v>
      </c>
      <c r="Q19" s="10" t="b">
        <v>0</v>
      </c>
      <c r="R19" s="10" t="b">
        <v>0</v>
      </c>
      <c r="S19" s="10" t="b">
        <v>0</v>
      </c>
      <c r="T19" s="91">
        <v>46053.0</v>
      </c>
      <c r="U19" s="6" t="s">
        <v>543</v>
      </c>
      <c r="V19" s="7" t="s">
        <v>358</v>
      </c>
      <c r="W19" s="54" t="b">
        <v>1</v>
      </c>
      <c r="X19" s="9" t="s">
        <v>1386</v>
      </c>
      <c r="Y19" s="34" t="s">
        <v>357</v>
      </c>
      <c r="Z19" s="34" t="s">
        <v>358</v>
      </c>
      <c r="AA19" s="9" t="s">
        <v>1387</v>
      </c>
      <c r="AB19" s="4"/>
      <c r="AC19" s="4"/>
      <c r="AD19" s="4"/>
    </row>
    <row r="20">
      <c r="A20" s="5" t="s">
        <v>22</v>
      </c>
      <c r="B20" s="9" t="s">
        <v>1388</v>
      </c>
      <c r="C20" s="13">
        <v>8.248434627E9</v>
      </c>
      <c r="D20" s="8" t="s">
        <v>103</v>
      </c>
      <c r="E20" s="119">
        <v>46052.0</v>
      </c>
      <c r="F20" s="9" t="s">
        <v>1389</v>
      </c>
      <c r="G20" s="9" t="s">
        <v>1330</v>
      </c>
      <c r="H20" s="8" t="s">
        <v>1331</v>
      </c>
      <c r="I20" s="116" t="s">
        <v>1336</v>
      </c>
      <c r="J20" s="10" t="b">
        <v>1</v>
      </c>
      <c r="K20" s="57" t="b">
        <v>1</v>
      </c>
      <c r="L20" s="67" t="b">
        <v>1</v>
      </c>
      <c r="M20" s="71" t="b">
        <v>1</v>
      </c>
      <c r="N20" s="10" t="b">
        <v>0</v>
      </c>
      <c r="O20" s="10" t="b">
        <v>0</v>
      </c>
      <c r="P20" s="10" t="b">
        <v>0</v>
      </c>
      <c r="Q20" s="10" t="b">
        <v>0</v>
      </c>
      <c r="R20" s="10" t="b">
        <v>0</v>
      </c>
      <c r="S20" s="10" t="b">
        <v>0</v>
      </c>
      <c r="T20" s="91">
        <v>46056.0</v>
      </c>
      <c r="U20" s="6" t="s">
        <v>890</v>
      </c>
      <c r="V20" s="7" t="s">
        <v>891</v>
      </c>
      <c r="W20" s="57" t="b">
        <v>1</v>
      </c>
      <c r="X20" s="9" t="s">
        <v>1390</v>
      </c>
      <c r="Y20" s="34" t="s">
        <v>890</v>
      </c>
      <c r="Z20" s="34" t="s">
        <v>891</v>
      </c>
      <c r="AA20" s="9" t="s">
        <v>1391</v>
      </c>
      <c r="AB20" s="4"/>
      <c r="AC20" s="4"/>
      <c r="AD20" s="4"/>
    </row>
    <row r="21" hidden="1">
      <c r="A21" s="5" t="s">
        <v>22</v>
      </c>
      <c r="B21" s="9" t="s">
        <v>1392</v>
      </c>
      <c r="C21" s="13">
        <v>6.901177651E9</v>
      </c>
      <c r="D21" s="8"/>
      <c r="E21" s="119">
        <v>46052.0</v>
      </c>
      <c r="F21" s="9" t="s">
        <v>1393</v>
      </c>
      <c r="G21" s="9" t="s">
        <v>1330</v>
      </c>
      <c r="H21" s="8" t="s">
        <v>1331</v>
      </c>
      <c r="I21" s="116" t="s">
        <v>1336</v>
      </c>
      <c r="J21" s="10" t="b">
        <v>1</v>
      </c>
      <c r="K21" s="54" t="b">
        <v>1</v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10" t="b">
        <v>0</v>
      </c>
      <c r="S21" s="10" t="b">
        <v>0</v>
      </c>
      <c r="T21" s="91">
        <v>46053.0</v>
      </c>
      <c r="U21" s="6" t="s">
        <v>357</v>
      </c>
      <c r="V21" s="7" t="s">
        <v>358</v>
      </c>
      <c r="W21" s="104" t="b">
        <v>0</v>
      </c>
      <c r="X21" s="9" t="s">
        <v>1394</v>
      </c>
      <c r="Y21" s="105"/>
      <c r="Z21" s="105"/>
      <c r="AA21" s="4"/>
      <c r="AB21" s="4"/>
      <c r="AC21" s="4"/>
      <c r="AD21" s="4"/>
    </row>
    <row r="22" hidden="1">
      <c r="A22" s="5" t="s">
        <v>22</v>
      </c>
      <c r="B22" s="9" t="s">
        <v>1395</v>
      </c>
      <c r="C22" s="13">
        <v>9.345585508E9</v>
      </c>
      <c r="D22" s="8" t="s">
        <v>1396</v>
      </c>
      <c r="E22" s="119">
        <v>46053.0</v>
      </c>
      <c r="F22" s="9" t="s">
        <v>1346</v>
      </c>
      <c r="G22" s="9" t="s">
        <v>1330</v>
      </c>
      <c r="H22" s="8" t="s">
        <v>1331</v>
      </c>
      <c r="I22" s="116" t="s">
        <v>1336</v>
      </c>
      <c r="J22" s="57" t="b">
        <v>1</v>
      </c>
      <c r="K22" s="67" t="b">
        <v>1</v>
      </c>
      <c r="L22" s="67" t="b">
        <v>1</v>
      </c>
      <c r="M22" s="54" t="b">
        <v>1</v>
      </c>
      <c r="N22" s="10" t="b">
        <v>0</v>
      </c>
      <c r="O22" s="10" t="b">
        <v>0</v>
      </c>
      <c r="P22" s="10" t="b">
        <v>0</v>
      </c>
      <c r="Q22" s="10" t="b">
        <v>0</v>
      </c>
      <c r="R22" s="10" t="b">
        <v>0</v>
      </c>
      <c r="S22" s="10" t="b">
        <v>0</v>
      </c>
      <c r="T22" s="91">
        <v>46063.0</v>
      </c>
      <c r="U22" s="6" t="s">
        <v>357</v>
      </c>
      <c r="V22" s="7" t="s">
        <v>358</v>
      </c>
      <c r="W22" s="54" t="b">
        <v>1</v>
      </c>
      <c r="X22" s="9" t="s">
        <v>1397</v>
      </c>
      <c r="Y22" s="34" t="s">
        <v>684</v>
      </c>
      <c r="Z22" s="34" t="s">
        <v>358</v>
      </c>
      <c r="AA22" s="9" t="s">
        <v>1398</v>
      </c>
      <c r="AB22" s="4"/>
      <c r="AC22" s="4"/>
      <c r="AD22" s="4"/>
    </row>
    <row r="23" hidden="1">
      <c r="A23" s="5" t="s">
        <v>22</v>
      </c>
      <c r="B23" s="9" t="s">
        <v>1399</v>
      </c>
      <c r="C23" s="13">
        <v>9.840164765E9</v>
      </c>
      <c r="D23" s="8" t="s">
        <v>1378</v>
      </c>
      <c r="E23" s="119">
        <v>46054.0</v>
      </c>
      <c r="F23" s="4"/>
      <c r="G23" s="9" t="s">
        <v>1330</v>
      </c>
      <c r="H23" s="8" t="s">
        <v>1331</v>
      </c>
      <c r="I23" s="116" t="s">
        <v>1336</v>
      </c>
      <c r="J23" s="10" t="b">
        <v>1</v>
      </c>
      <c r="K23" s="57" t="b">
        <v>1</v>
      </c>
      <c r="L23" s="57" t="b">
        <v>1</v>
      </c>
      <c r="M23" s="54" t="b">
        <v>1</v>
      </c>
      <c r="N23" s="10" t="b">
        <v>0</v>
      </c>
      <c r="O23" s="10" t="b">
        <v>0</v>
      </c>
      <c r="P23" s="10" t="b">
        <v>0</v>
      </c>
      <c r="Q23" s="10" t="b">
        <v>0</v>
      </c>
      <c r="R23" s="10" t="b">
        <v>0</v>
      </c>
      <c r="S23" s="10" t="b">
        <v>0</v>
      </c>
      <c r="T23" s="91">
        <v>46060.0</v>
      </c>
      <c r="U23" s="6" t="s">
        <v>357</v>
      </c>
      <c r="V23" s="7" t="s">
        <v>358</v>
      </c>
      <c r="W23" s="104" t="b">
        <v>0</v>
      </c>
      <c r="X23" s="9" t="s">
        <v>1400</v>
      </c>
      <c r="Y23" s="34" t="s">
        <v>684</v>
      </c>
      <c r="Z23" s="34" t="s">
        <v>358</v>
      </c>
      <c r="AA23" s="9" t="s">
        <v>1401</v>
      </c>
      <c r="AB23" s="4"/>
      <c r="AC23" s="4"/>
      <c r="AD23" s="4"/>
    </row>
    <row r="24" hidden="1">
      <c r="A24" s="5" t="s">
        <v>22</v>
      </c>
      <c r="B24" s="4"/>
      <c r="C24" s="13">
        <v>6.382994923E9</v>
      </c>
      <c r="D24" s="8"/>
      <c r="E24" s="119">
        <v>46055.0</v>
      </c>
      <c r="F24" s="4"/>
      <c r="G24" s="9" t="s">
        <v>1330</v>
      </c>
      <c r="H24" s="8" t="s">
        <v>1331</v>
      </c>
      <c r="I24" s="116" t="s">
        <v>1336</v>
      </c>
      <c r="J24" s="54" t="b">
        <v>1</v>
      </c>
      <c r="K24" s="10" t="b">
        <v>0</v>
      </c>
      <c r="L24" s="10" t="b">
        <v>0</v>
      </c>
      <c r="M24" s="10" t="b">
        <v>0</v>
      </c>
      <c r="N24" s="10" t="b">
        <v>0</v>
      </c>
      <c r="O24" s="10" t="b">
        <v>0</v>
      </c>
      <c r="P24" s="10" t="b">
        <v>0</v>
      </c>
      <c r="Q24" s="10" t="b">
        <v>0</v>
      </c>
      <c r="R24" s="10" t="b">
        <v>0</v>
      </c>
      <c r="S24" s="10" t="b">
        <v>0</v>
      </c>
      <c r="T24" s="91">
        <v>46056.0</v>
      </c>
      <c r="U24" s="6" t="s">
        <v>357</v>
      </c>
      <c r="V24" s="7" t="s">
        <v>358</v>
      </c>
      <c r="W24" s="104" t="b">
        <v>0</v>
      </c>
      <c r="X24" s="9" t="s">
        <v>447</v>
      </c>
      <c r="Y24" s="105"/>
      <c r="Z24" s="105"/>
      <c r="AA24" s="4"/>
      <c r="AB24" s="4"/>
      <c r="AC24" s="4"/>
      <c r="AD24" s="4"/>
    </row>
    <row r="25" hidden="1">
      <c r="A25" s="5" t="s">
        <v>22</v>
      </c>
      <c r="B25" s="9" t="s">
        <v>1402</v>
      </c>
      <c r="C25" s="13">
        <v>9.342059503E9</v>
      </c>
      <c r="D25" s="8" t="s">
        <v>38</v>
      </c>
      <c r="E25" s="119">
        <v>46055.0</v>
      </c>
      <c r="F25" s="9" t="s">
        <v>1149</v>
      </c>
      <c r="G25" s="9" t="s">
        <v>1330</v>
      </c>
      <c r="H25" s="8" t="s">
        <v>1331</v>
      </c>
      <c r="I25" s="116" t="s">
        <v>1336</v>
      </c>
      <c r="J25" s="10" t="b">
        <v>1</v>
      </c>
      <c r="K25" s="10" t="b">
        <v>1</v>
      </c>
      <c r="L25" s="10" t="b">
        <v>1</v>
      </c>
      <c r="M25" s="54" t="b">
        <v>1</v>
      </c>
      <c r="N25" s="10" t="b">
        <v>0</v>
      </c>
      <c r="O25" s="10" t="b">
        <v>0</v>
      </c>
      <c r="P25" s="10" t="b">
        <v>0</v>
      </c>
      <c r="Q25" s="10" t="b">
        <v>0</v>
      </c>
      <c r="R25" s="10" t="b">
        <v>0</v>
      </c>
      <c r="S25" s="10" t="b">
        <v>0</v>
      </c>
      <c r="T25" s="91">
        <v>46063.0</v>
      </c>
      <c r="U25" s="6" t="s">
        <v>357</v>
      </c>
      <c r="V25" s="7" t="s">
        <v>358</v>
      </c>
      <c r="W25" s="104" t="b">
        <v>0</v>
      </c>
      <c r="X25" s="9" t="s">
        <v>1403</v>
      </c>
      <c r="Y25" s="105"/>
      <c r="Z25" s="105"/>
      <c r="AA25" s="4"/>
      <c r="AB25" s="4"/>
      <c r="AC25" s="4"/>
      <c r="AD25" s="4"/>
    </row>
    <row r="26" hidden="1">
      <c r="A26" s="5" t="s">
        <v>22</v>
      </c>
      <c r="B26" s="9" t="s">
        <v>1404</v>
      </c>
      <c r="C26" s="13">
        <v>7.806836683E9</v>
      </c>
      <c r="D26" s="8" t="s">
        <v>1378</v>
      </c>
      <c r="E26" s="119">
        <v>46055.0</v>
      </c>
      <c r="F26" s="4"/>
      <c r="G26" s="9" t="s">
        <v>1330</v>
      </c>
      <c r="H26" s="8" t="s">
        <v>1331</v>
      </c>
      <c r="I26" s="116" t="s">
        <v>1336</v>
      </c>
      <c r="J26" s="54" t="b">
        <v>1</v>
      </c>
      <c r="K26" s="10" t="b">
        <v>0</v>
      </c>
      <c r="L26" s="10" t="b">
        <v>0</v>
      </c>
      <c r="M26" s="10" t="b">
        <v>0</v>
      </c>
      <c r="N26" s="10" t="b">
        <v>0</v>
      </c>
      <c r="O26" s="10" t="b">
        <v>0</v>
      </c>
      <c r="P26" s="10" t="b">
        <v>0</v>
      </c>
      <c r="Q26" s="10" t="b">
        <v>0</v>
      </c>
      <c r="R26" s="10" t="b">
        <v>0</v>
      </c>
      <c r="S26" s="10" t="b">
        <v>0</v>
      </c>
      <c r="T26" s="91">
        <v>46056.0</v>
      </c>
      <c r="U26" s="6" t="s">
        <v>543</v>
      </c>
      <c r="V26" s="7" t="s">
        <v>358</v>
      </c>
      <c r="W26" s="104" t="b">
        <v>0</v>
      </c>
      <c r="X26" s="9" t="s">
        <v>1405</v>
      </c>
      <c r="Y26" s="105"/>
      <c r="Z26" s="105"/>
      <c r="AA26" s="4"/>
      <c r="AB26" s="4"/>
      <c r="AC26" s="4"/>
      <c r="AD26" s="4"/>
    </row>
    <row r="27" hidden="1">
      <c r="A27" s="5" t="s">
        <v>22</v>
      </c>
      <c r="B27" s="4"/>
      <c r="C27" s="13">
        <v>6.381506926E9</v>
      </c>
      <c r="D27" s="8" t="s">
        <v>1378</v>
      </c>
      <c r="E27" s="119">
        <v>46055.0</v>
      </c>
      <c r="F27" s="4"/>
      <c r="G27" s="9" t="s">
        <v>1330</v>
      </c>
      <c r="H27" s="8" t="s">
        <v>1331</v>
      </c>
      <c r="I27" s="116" t="s">
        <v>1336</v>
      </c>
      <c r="J27" s="10" t="b">
        <v>1</v>
      </c>
      <c r="K27" s="10" t="b">
        <v>1</v>
      </c>
      <c r="L27" s="10" t="b">
        <v>1</v>
      </c>
      <c r="M27" s="10" t="b">
        <v>1</v>
      </c>
      <c r="N27" s="10" t="b">
        <v>0</v>
      </c>
      <c r="O27" s="10" t="b">
        <v>0</v>
      </c>
      <c r="P27" s="10" t="b">
        <v>0</v>
      </c>
      <c r="Q27" s="10" t="b">
        <v>0</v>
      </c>
      <c r="R27" s="10" t="b">
        <v>0</v>
      </c>
      <c r="S27" s="10" t="b">
        <v>0</v>
      </c>
      <c r="T27" s="91">
        <v>46063.0</v>
      </c>
      <c r="U27" s="6" t="s">
        <v>361</v>
      </c>
      <c r="V27" s="7" t="s">
        <v>362</v>
      </c>
      <c r="W27" s="104" t="b">
        <v>0</v>
      </c>
      <c r="X27" s="9" t="s">
        <v>1406</v>
      </c>
      <c r="Y27" s="34" t="s">
        <v>361</v>
      </c>
      <c r="Z27" s="34" t="s">
        <v>362</v>
      </c>
      <c r="AA27" s="9" t="s">
        <v>1407</v>
      </c>
      <c r="AB27" s="4"/>
      <c r="AC27" s="4"/>
      <c r="AD27" s="4"/>
    </row>
    <row r="28" hidden="1">
      <c r="A28" s="5" t="s">
        <v>22</v>
      </c>
      <c r="B28" s="9" t="s">
        <v>1408</v>
      </c>
      <c r="C28" s="13">
        <v>9.698023399E9</v>
      </c>
      <c r="D28" s="8" t="s">
        <v>38</v>
      </c>
      <c r="E28" s="119">
        <v>46054.0</v>
      </c>
      <c r="F28" s="9" t="s">
        <v>1149</v>
      </c>
      <c r="G28" s="9" t="s">
        <v>1001</v>
      </c>
      <c r="H28" s="8" t="s">
        <v>1331</v>
      </c>
      <c r="I28" s="116" t="s">
        <v>1336</v>
      </c>
      <c r="J28" s="57" t="b">
        <v>1</v>
      </c>
      <c r="K28" s="67" t="b">
        <v>1</v>
      </c>
      <c r="L28" s="67" t="b">
        <v>1</v>
      </c>
      <c r="M28" s="67" t="b">
        <v>1</v>
      </c>
      <c r="N28" s="67" t="b">
        <v>1</v>
      </c>
      <c r="O28" s="71" t="b">
        <v>1</v>
      </c>
      <c r="P28" s="95" t="b">
        <v>1</v>
      </c>
      <c r="Q28" s="10" t="b">
        <v>0</v>
      </c>
      <c r="R28" s="10" t="b">
        <v>0</v>
      </c>
      <c r="S28" s="10" t="b">
        <v>0</v>
      </c>
      <c r="T28" s="91">
        <v>46078.0</v>
      </c>
      <c r="U28" s="6" t="s">
        <v>890</v>
      </c>
      <c r="V28" s="7" t="s">
        <v>891</v>
      </c>
      <c r="W28" s="57" t="b">
        <v>1</v>
      </c>
      <c r="X28" s="9" t="s">
        <v>1409</v>
      </c>
      <c r="Y28" s="34" t="s">
        <v>890</v>
      </c>
      <c r="Z28" s="34" t="s">
        <v>891</v>
      </c>
      <c r="AA28" s="9" t="s">
        <v>1410</v>
      </c>
      <c r="AB28" s="4"/>
      <c r="AC28" s="4"/>
      <c r="AD28" s="4"/>
    </row>
    <row r="29" hidden="1">
      <c r="A29" s="5" t="s">
        <v>22</v>
      </c>
      <c r="B29" s="4"/>
      <c r="C29" s="13">
        <v>8.148331559E9</v>
      </c>
      <c r="D29" s="8"/>
      <c r="E29" s="119">
        <v>46054.0</v>
      </c>
      <c r="F29" s="4"/>
      <c r="G29" s="9" t="s">
        <v>1330</v>
      </c>
      <c r="H29" s="8" t="s">
        <v>1331</v>
      </c>
      <c r="I29" s="116" t="s">
        <v>1336</v>
      </c>
      <c r="J29" s="10" t="b">
        <v>1</v>
      </c>
      <c r="K29" s="10" t="b">
        <v>1</v>
      </c>
      <c r="L29" s="10" t="b">
        <v>1</v>
      </c>
      <c r="M29" s="54" t="b">
        <v>1</v>
      </c>
      <c r="N29" s="10" t="b">
        <v>0</v>
      </c>
      <c r="O29" s="10" t="b">
        <v>0</v>
      </c>
      <c r="P29" s="10" t="b">
        <v>0</v>
      </c>
      <c r="Q29" s="10" t="b">
        <v>0</v>
      </c>
      <c r="R29" s="10" t="b">
        <v>0</v>
      </c>
      <c r="S29" s="10" t="b">
        <v>0</v>
      </c>
      <c r="T29" s="91">
        <v>46063.0</v>
      </c>
      <c r="U29" s="6" t="s">
        <v>357</v>
      </c>
      <c r="V29" s="7" t="s">
        <v>358</v>
      </c>
      <c r="W29" s="104" t="b">
        <v>0</v>
      </c>
      <c r="X29" s="9" t="s">
        <v>1411</v>
      </c>
      <c r="Y29" s="105"/>
      <c r="Z29" s="105"/>
      <c r="AA29" s="4"/>
      <c r="AB29" s="4"/>
      <c r="AC29" s="4"/>
      <c r="AD29" s="4"/>
    </row>
    <row r="30" hidden="1">
      <c r="A30" s="5" t="s">
        <v>22</v>
      </c>
      <c r="B30" s="4"/>
      <c r="C30" s="13">
        <v>6.382966725E9</v>
      </c>
      <c r="D30" s="8" t="s">
        <v>1378</v>
      </c>
      <c r="E30" s="119">
        <v>46056.0</v>
      </c>
      <c r="F30" s="4"/>
      <c r="G30" s="9" t="s">
        <v>1330</v>
      </c>
      <c r="H30" s="8" t="s">
        <v>1331</v>
      </c>
      <c r="I30" s="116" t="s">
        <v>1336</v>
      </c>
      <c r="J30" s="10" t="b">
        <v>1</v>
      </c>
      <c r="K30" s="10" t="b">
        <v>1</v>
      </c>
      <c r="L30" s="54" t="b">
        <v>1</v>
      </c>
      <c r="M30" s="10" t="b">
        <v>0</v>
      </c>
      <c r="N30" s="10" t="b">
        <v>0</v>
      </c>
      <c r="O30" s="10" t="b">
        <v>0</v>
      </c>
      <c r="P30" s="10" t="b">
        <v>0</v>
      </c>
      <c r="Q30" s="10" t="b">
        <v>0</v>
      </c>
      <c r="R30" s="10" t="b">
        <v>0</v>
      </c>
      <c r="S30" s="10" t="b">
        <v>0</v>
      </c>
      <c r="T30" s="91">
        <v>46057.0</v>
      </c>
      <c r="U30" s="6" t="s">
        <v>543</v>
      </c>
      <c r="V30" s="7" t="s">
        <v>358</v>
      </c>
      <c r="W30" s="104" t="b">
        <v>0</v>
      </c>
      <c r="X30" s="9" t="s">
        <v>1412</v>
      </c>
      <c r="Y30" s="105"/>
      <c r="Z30" s="105"/>
      <c r="AA30" s="4"/>
      <c r="AB30" s="4"/>
      <c r="AC30" s="4"/>
      <c r="AD30" s="4"/>
    </row>
    <row r="31" hidden="1">
      <c r="A31" s="5" t="s">
        <v>22</v>
      </c>
      <c r="B31" s="9" t="s">
        <v>1413</v>
      </c>
      <c r="C31" s="13">
        <v>9.600243246E9</v>
      </c>
      <c r="D31" s="8" t="s">
        <v>38</v>
      </c>
      <c r="E31" s="119">
        <v>46056.0</v>
      </c>
      <c r="F31" s="9" t="s">
        <v>1064</v>
      </c>
      <c r="G31" s="9" t="s">
        <v>1330</v>
      </c>
      <c r="H31" s="8" t="s">
        <v>1331</v>
      </c>
      <c r="I31" s="116" t="s">
        <v>1336</v>
      </c>
      <c r="J31" s="54" t="b">
        <v>1</v>
      </c>
      <c r="K31" s="10" t="b">
        <v>0</v>
      </c>
      <c r="L31" s="10" t="b">
        <v>0</v>
      </c>
      <c r="M31" s="10" t="b">
        <v>0</v>
      </c>
      <c r="N31" s="10" t="b">
        <v>0</v>
      </c>
      <c r="O31" s="10" t="b">
        <v>0</v>
      </c>
      <c r="P31" s="10" t="b">
        <v>0</v>
      </c>
      <c r="Q31" s="10" t="b">
        <v>0</v>
      </c>
      <c r="R31" s="10" t="b">
        <v>0</v>
      </c>
      <c r="S31" s="10" t="b">
        <v>0</v>
      </c>
      <c r="T31" s="91">
        <v>46056.0</v>
      </c>
      <c r="U31" s="6" t="s">
        <v>357</v>
      </c>
      <c r="V31" s="7" t="s">
        <v>358</v>
      </c>
      <c r="W31" s="104" t="b">
        <v>0</v>
      </c>
      <c r="X31" s="9" t="s">
        <v>1414</v>
      </c>
      <c r="Y31" s="105"/>
      <c r="Z31" s="105"/>
      <c r="AA31" s="4"/>
      <c r="AB31" s="4"/>
      <c r="AC31" s="4"/>
      <c r="AD31" s="4"/>
    </row>
    <row r="32" hidden="1">
      <c r="A32" s="5" t="s">
        <v>22</v>
      </c>
      <c r="B32" s="9" t="s">
        <v>1415</v>
      </c>
      <c r="C32" s="13">
        <v>9.944038504E9</v>
      </c>
      <c r="D32" s="8" t="s">
        <v>1378</v>
      </c>
      <c r="E32" s="119">
        <v>46056.0</v>
      </c>
      <c r="F32" s="9" t="s">
        <v>1084</v>
      </c>
      <c r="G32" s="9" t="s">
        <v>1330</v>
      </c>
      <c r="H32" s="9" t="s">
        <v>1416</v>
      </c>
      <c r="I32" s="116" t="s">
        <v>1336</v>
      </c>
      <c r="J32" s="54" t="b">
        <v>1</v>
      </c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  <c r="Q32" s="10" t="b">
        <v>0</v>
      </c>
      <c r="R32" s="10" t="b">
        <v>0</v>
      </c>
      <c r="S32" s="10" t="b">
        <v>0</v>
      </c>
      <c r="T32" s="91">
        <v>46056.0</v>
      </c>
      <c r="U32" s="6" t="s">
        <v>543</v>
      </c>
      <c r="V32" s="7" t="s">
        <v>358</v>
      </c>
      <c r="W32" s="104" t="b">
        <v>0</v>
      </c>
      <c r="X32" s="9" t="s">
        <v>1417</v>
      </c>
      <c r="Y32" s="105"/>
      <c r="Z32" s="105"/>
      <c r="AA32" s="4"/>
      <c r="AB32" s="4"/>
      <c r="AC32" s="4"/>
      <c r="AD32" s="4"/>
    </row>
    <row r="33" hidden="1">
      <c r="A33" s="5" t="s">
        <v>22</v>
      </c>
      <c r="B33" s="9" t="s">
        <v>1418</v>
      </c>
      <c r="C33" s="13">
        <v>6.369635073E9</v>
      </c>
      <c r="D33" s="8" t="s">
        <v>1378</v>
      </c>
      <c r="E33" s="119">
        <v>46057.0</v>
      </c>
      <c r="F33" s="9" t="s">
        <v>1149</v>
      </c>
      <c r="G33" s="9" t="s">
        <v>1330</v>
      </c>
      <c r="H33" s="9" t="s">
        <v>1416</v>
      </c>
      <c r="I33" s="116" t="s">
        <v>1336</v>
      </c>
      <c r="J33" s="54" t="b">
        <v>1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0</v>
      </c>
      <c r="S33" s="10" t="b">
        <v>0</v>
      </c>
      <c r="T33" s="91">
        <v>46057.0</v>
      </c>
      <c r="U33" s="6" t="s">
        <v>543</v>
      </c>
      <c r="V33" s="7" t="s">
        <v>358</v>
      </c>
      <c r="W33" s="104" t="b">
        <v>0</v>
      </c>
      <c r="X33" s="9" t="s">
        <v>1419</v>
      </c>
      <c r="Y33" s="105"/>
      <c r="Z33" s="105"/>
      <c r="AA33" s="4"/>
      <c r="AB33" s="4"/>
      <c r="AC33" s="4"/>
      <c r="AD33" s="4"/>
    </row>
    <row r="34" hidden="1">
      <c r="A34" s="5" t="s">
        <v>22</v>
      </c>
      <c r="B34" s="4"/>
      <c r="C34" s="13">
        <v>8.098618052E9</v>
      </c>
      <c r="D34" s="8" t="s">
        <v>1378</v>
      </c>
      <c r="E34" s="93"/>
      <c r="F34" s="9" t="s">
        <v>1149</v>
      </c>
      <c r="G34" s="9" t="s">
        <v>1330</v>
      </c>
      <c r="H34" s="9" t="s">
        <v>1416</v>
      </c>
      <c r="I34" s="116" t="s">
        <v>1336</v>
      </c>
      <c r="J34" s="54" t="b">
        <v>1</v>
      </c>
      <c r="K34" s="10" t="b">
        <v>0</v>
      </c>
      <c r="L34" s="10" t="b">
        <v>0</v>
      </c>
      <c r="M34" s="10" t="b">
        <v>0</v>
      </c>
      <c r="N34" s="10" t="b">
        <v>0</v>
      </c>
      <c r="O34" s="10" t="b">
        <v>0</v>
      </c>
      <c r="P34" s="10" t="b">
        <v>0</v>
      </c>
      <c r="Q34" s="10" t="b">
        <v>0</v>
      </c>
      <c r="R34" s="10" t="b">
        <v>0</v>
      </c>
      <c r="S34" s="10" t="b">
        <v>0</v>
      </c>
      <c r="T34" s="91">
        <v>46058.0</v>
      </c>
      <c r="U34" s="6" t="s">
        <v>357</v>
      </c>
      <c r="V34" s="7" t="s">
        <v>358</v>
      </c>
      <c r="W34" s="104" t="b">
        <v>0</v>
      </c>
      <c r="X34" s="9" t="s">
        <v>1420</v>
      </c>
      <c r="Y34" s="105"/>
      <c r="Z34" s="105"/>
      <c r="AA34" s="4"/>
      <c r="AB34" s="4"/>
      <c r="AC34" s="4"/>
      <c r="AD34" s="4"/>
    </row>
    <row r="35">
      <c r="A35" s="5" t="s">
        <v>22</v>
      </c>
      <c r="B35" s="9" t="s">
        <v>1421</v>
      </c>
      <c r="C35" s="13">
        <v>8.667575036E9</v>
      </c>
      <c r="D35" s="8" t="s">
        <v>69</v>
      </c>
      <c r="E35" s="119">
        <v>46058.0</v>
      </c>
      <c r="F35" s="9" t="s">
        <v>1149</v>
      </c>
      <c r="G35" s="9" t="s">
        <v>1001</v>
      </c>
      <c r="H35" s="9" t="s">
        <v>1416</v>
      </c>
      <c r="I35" s="116" t="s">
        <v>1336</v>
      </c>
      <c r="J35" s="10" t="b">
        <v>1</v>
      </c>
      <c r="K35" s="10" t="b">
        <v>1</v>
      </c>
      <c r="L35" s="57" t="b">
        <v>1</v>
      </c>
      <c r="M35" s="54" t="b">
        <v>1</v>
      </c>
      <c r="N35" s="10" t="b">
        <v>0</v>
      </c>
      <c r="O35" s="10" t="b">
        <v>0</v>
      </c>
      <c r="P35" s="10" t="b">
        <v>0</v>
      </c>
      <c r="Q35" s="10" t="b">
        <v>0</v>
      </c>
      <c r="R35" s="10" t="b">
        <v>0</v>
      </c>
      <c r="S35" s="10" t="b">
        <v>0</v>
      </c>
      <c r="T35" s="91">
        <v>46064.0</v>
      </c>
      <c r="U35" s="6" t="s">
        <v>357</v>
      </c>
      <c r="V35" s="7" t="s">
        <v>358</v>
      </c>
      <c r="W35" s="54" t="b">
        <v>1</v>
      </c>
      <c r="X35" s="9" t="s">
        <v>1422</v>
      </c>
      <c r="Y35" s="34" t="s">
        <v>684</v>
      </c>
      <c r="Z35" s="34" t="s">
        <v>358</v>
      </c>
      <c r="AA35" s="9" t="s">
        <v>1423</v>
      </c>
      <c r="AB35" s="4"/>
      <c r="AC35" s="4"/>
      <c r="AD35" s="4"/>
    </row>
    <row r="36" hidden="1">
      <c r="A36" s="5" t="s">
        <v>22</v>
      </c>
      <c r="B36" s="4"/>
      <c r="C36" s="93"/>
      <c r="D36" s="8"/>
      <c r="E36" s="93"/>
      <c r="F36" s="4"/>
      <c r="G36" s="4"/>
      <c r="H36" s="4"/>
      <c r="I36" s="4"/>
      <c r="J36" s="10" t="b">
        <v>0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  <c r="R36" s="10" t="b">
        <v>0</v>
      </c>
      <c r="S36" s="10" t="b">
        <v>0</v>
      </c>
      <c r="T36" s="91"/>
      <c r="U36" s="6"/>
      <c r="V36" s="7"/>
      <c r="W36" s="104" t="b">
        <v>0</v>
      </c>
      <c r="X36" s="9"/>
      <c r="Y36" s="105"/>
      <c r="Z36" s="105"/>
      <c r="AA36" s="4"/>
      <c r="AB36" s="4"/>
      <c r="AC36" s="4"/>
      <c r="AD36" s="4"/>
    </row>
    <row r="37" hidden="1">
      <c r="A37" s="5" t="s">
        <v>22</v>
      </c>
      <c r="B37" s="4"/>
      <c r="C37" s="93"/>
      <c r="D37" s="8"/>
      <c r="E37" s="93"/>
      <c r="F37" s="4"/>
      <c r="G37" s="4"/>
      <c r="H37" s="4"/>
      <c r="I37" s="4"/>
      <c r="J37" s="10" t="b">
        <v>0</v>
      </c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0" t="b">
        <v>0</v>
      </c>
      <c r="R37" s="10" t="b">
        <v>0</v>
      </c>
      <c r="S37" s="10" t="b">
        <v>0</v>
      </c>
      <c r="T37" s="4"/>
      <c r="U37" s="6"/>
      <c r="V37" s="7"/>
      <c r="W37" s="104" t="b">
        <v>0</v>
      </c>
      <c r="X37" s="9"/>
      <c r="Y37" s="105"/>
      <c r="Z37" s="105"/>
      <c r="AA37" s="4"/>
      <c r="AB37" s="4"/>
      <c r="AC37" s="4"/>
      <c r="AD37" s="4"/>
    </row>
    <row r="38" hidden="1">
      <c r="A38" s="5" t="s">
        <v>22</v>
      </c>
      <c r="B38" s="4"/>
      <c r="C38" s="93"/>
      <c r="D38" s="8"/>
      <c r="E38" s="93"/>
      <c r="F38" s="4"/>
      <c r="G38" s="4"/>
      <c r="H38" s="4"/>
      <c r="I38" s="4"/>
      <c r="J38" s="10" t="b">
        <v>0</v>
      </c>
      <c r="K38" s="10" t="b">
        <v>0</v>
      </c>
      <c r="L38" s="10" t="b">
        <v>0</v>
      </c>
      <c r="M38" s="10" t="b">
        <v>0</v>
      </c>
      <c r="N38" s="10" t="b">
        <v>0</v>
      </c>
      <c r="O38" s="10" t="b">
        <v>0</v>
      </c>
      <c r="P38" s="10" t="b">
        <v>0</v>
      </c>
      <c r="Q38" s="10" t="b">
        <v>0</v>
      </c>
      <c r="R38" s="10" t="b">
        <v>0</v>
      </c>
      <c r="S38" s="10" t="b">
        <v>0</v>
      </c>
      <c r="T38" s="4"/>
      <c r="U38" s="6"/>
      <c r="V38" s="7"/>
      <c r="W38" s="104" t="b">
        <v>0</v>
      </c>
      <c r="X38" s="9"/>
      <c r="Y38" s="105"/>
      <c r="Z38" s="105"/>
      <c r="AA38" s="4"/>
      <c r="AB38" s="4"/>
      <c r="AC38" s="4"/>
      <c r="AD38" s="4"/>
    </row>
    <row r="39" hidden="1">
      <c r="A39" s="5" t="s">
        <v>22</v>
      </c>
      <c r="B39" s="4"/>
      <c r="C39" s="93"/>
      <c r="D39" s="8"/>
      <c r="E39" s="93"/>
      <c r="F39" s="4"/>
      <c r="G39" s="4"/>
      <c r="H39" s="4"/>
      <c r="I39" s="4"/>
      <c r="J39" s="10" t="b">
        <v>0</v>
      </c>
      <c r="K39" s="10" t="b">
        <v>0</v>
      </c>
      <c r="L39" s="10" t="b">
        <v>0</v>
      </c>
      <c r="M39" s="10" t="b">
        <v>0</v>
      </c>
      <c r="N39" s="10" t="b">
        <v>0</v>
      </c>
      <c r="O39" s="10" t="b">
        <v>0</v>
      </c>
      <c r="P39" s="10" t="b">
        <v>0</v>
      </c>
      <c r="Q39" s="10" t="b">
        <v>0</v>
      </c>
      <c r="R39" s="10" t="b">
        <v>0</v>
      </c>
      <c r="S39" s="10" t="b">
        <v>0</v>
      </c>
      <c r="T39" s="4"/>
      <c r="U39" s="6"/>
      <c r="V39" s="7"/>
      <c r="W39" s="104" t="b">
        <v>0</v>
      </c>
      <c r="X39" s="9"/>
      <c r="Y39" s="105"/>
      <c r="Z39" s="105"/>
      <c r="AA39" s="4"/>
      <c r="AB39" s="4"/>
      <c r="AC39" s="4"/>
      <c r="AD39" s="4"/>
    </row>
    <row r="40" hidden="1">
      <c r="A40" s="5" t="s">
        <v>22</v>
      </c>
      <c r="B40" s="4"/>
      <c r="C40" s="93"/>
      <c r="D40" s="8"/>
      <c r="E40" s="93"/>
      <c r="F40" s="4"/>
      <c r="G40" s="4"/>
      <c r="H40" s="4"/>
      <c r="I40" s="4"/>
      <c r="J40" s="10" t="b">
        <v>0</v>
      </c>
      <c r="K40" s="10" t="b">
        <v>0</v>
      </c>
      <c r="L40" s="10" t="b">
        <v>0</v>
      </c>
      <c r="M40" s="10" t="b">
        <v>0</v>
      </c>
      <c r="N40" s="10" t="b">
        <v>0</v>
      </c>
      <c r="O40" s="10" t="b">
        <v>0</v>
      </c>
      <c r="P40" s="10" t="b">
        <v>0</v>
      </c>
      <c r="Q40" s="10" t="b">
        <v>0</v>
      </c>
      <c r="R40" s="10" t="b">
        <v>0</v>
      </c>
      <c r="S40" s="10" t="b">
        <v>0</v>
      </c>
      <c r="T40" s="4"/>
      <c r="U40" s="6"/>
      <c r="V40" s="7"/>
      <c r="W40" s="104" t="b">
        <v>0</v>
      </c>
      <c r="X40" s="9"/>
      <c r="Y40" s="105"/>
      <c r="Z40" s="105"/>
      <c r="AA40" s="4"/>
      <c r="AB40" s="4"/>
      <c r="AC40" s="4"/>
      <c r="AD40" s="4"/>
    </row>
    <row r="41" hidden="1">
      <c r="A41" s="5" t="s">
        <v>22</v>
      </c>
      <c r="B41" s="4"/>
      <c r="C41" s="93"/>
      <c r="D41" s="8"/>
      <c r="E41" s="93"/>
      <c r="F41" s="4"/>
      <c r="G41" s="4"/>
      <c r="H41" s="4"/>
      <c r="I41" s="4"/>
      <c r="J41" s="10" t="b">
        <v>0</v>
      </c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0</v>
      </c>
      <c r="R41" s="10" t="b">
        <v>0</v>
      </c>
      <c r="S41" s="10" t="b">
        <v>0</v>
      </c>
      <c r="T41" s="4"/>
      <c r="U41" s="6"/>
      <c r="V41" s="7"/>
      <c r="W41" s="104" t="b">
        <v>0</v>
      </c>
      <c r="X41" s="9"/>
      <c r="Y41" s="105"/>
      <c r="Z41" s="105"/>
      <c r="AA41" s="4"/>
      <c r="AB41" s="4"/>
      <c r="AC41" s="4"/>
      <c r="AD41" s="4"/>
    </row>
    <row r="42" hidden="1">
      <c r="A42" s="5" t="s">
        <v>22</v>
      </c>
      <c r="B42" s="4"/>
      <c r="C42" s="93"/>
      <c r="D42" s="8"/>
      <c r="E42" s="93"/>
      <c r="F42" s="4"/>
      <c r="G42" s="4"/>
      <c r="H42" s="4"/>
      <c r="I42" s="4"/>
      <c r="J42" s="10" t="b">
        <v>0</v>
      </c>
      <c r="K42" s="10" t="b">
        <v>0</v>
      </c>
      <c r="L42" s="10" t="b">
        <v>0</v>
      </c>
      <c r="M42" s="10" t="b">
        <v>0</v>
      </c>
      <c r="N42" s="10" t="b">
        <v>0</v>
      </c>
      <c r="O42" s="10" t="b">
        <v>0</v>
      </c>
      <c r="P42" s="10" t="b">
        <v>0</v>
      </c>
      <c r="Q42" s="10" t="b">
        <v>0</v>
      </c>
      <c r="R42" s="10" t="b">
        <v>0</v>
      </c>
      <c r="S42" s="10" t="b">
        <v>0</v>
      </c>
      <c r="T42" s="4"/>
      <c r="U42" s="6"/>
      <c r="V42" s="7"/>
      <c r="W42" s="104" t="b">
        <v>0</v>
      </c>
      <c r="X42" s="9"/>
      <c r="Y42" s="105"/>
      <c r="Z42" s="105"/>
      <c r="AA42" s="4"/>
      <c r="AB42" s="4"/>
      <c r="AC42" s="4"/>
      <c r="AD42" s="4"/>
    </row>
    <row r="43" hidden="1">
      <c r="A43" s="5" t="s">
        <v>22</v>
      </c>
      <c r="B43" s="4"/>
      <c r="C43" s="93"/>
      <c r="D43" s="8"/>
      <c r="E43" s="93"/>
      <c r="F43" s="4"/>
      <c r="G43" s="4"/>
      <c r="H43" s="4"/>
      <c r="I43" s="4"/>
      <c r="J43" s="10" t="b">
        <v>0</v>
      </c>
      <c r="K43" s="10" t="b">
        <v>0</v>
      </c>
      <c r="L43" s="10" t="b">
        <v>0</v>
      </c>
      <c r="M43" s="10" t="b">
        <v>0</v>
      </c>
      <c r="N43" s="10" t="b">
        <v>0</v>
      </c>
      <c r="O43" s="10" t="b">
        <v>0</v>
      </c>
      <c r="P43" s="10" t="b">
        <v>0</v>
      </c>
      <c r="Q43" s="10" t="b">
        <v>0</v>
      </c>
      <c r="R43" s="10" t="b">
        <v>0</v>
      </c>
      <c r="S43" s="10" t="b">
        <v>0</v>
      </c>
      <c r="T43" s="4"/>
      <c r="U43" s="6"/>
      <c r="V43" s="7"/>
      <c r="W43" s="104" t="b">
        <v>0</v>
      </c>
      <c r="X43" s="9"/>
      <c r="Y43" s="105"/>
      <c r="Z43" s="105"/>
      <c r="AA43" s="4"/>
      <c r="AB43" s="4"/>
      <c r="AC43" s="4"/>
      <c r="AD43" s="4"/>
    </row>
    <row r="44" hidden="1">
      <c r="A44" s="5" t="s">
        <v>22</v>
      </c>
      <c r="B44" s="4"/>
      <c r="C44" s="93"/>
      <c r="D44" s="8"/>
      <c r="E44" s="93"/>
      <c r="F44" s="4"/>
      <c r="G44" s="4"/>
      <c r="H44" s="4"/>
      <c r="I44" s="4"/>
      <c r="J44" s="10" t="b">
        <v>0</v>
      </c>
      <c r="K44" s="10" t="b">
        <v>0</v>
      </c>
      <c r="L44" s="10" t="b">
        <v>0</v>
      </c>
      <c r="M44" s="10" t="b">
        <v>0</v>
      </c>
      <c r="N44" s="10" t="b">
        <v>0</v>
      </c>
      <c r="O44" s="10" t="b">
        <v>0</v>
      </c>
      <c r="P44" s="10" t="b">
        <v>0</v>
      </c>
      <c r="Q44" s="10" t="b">
        <v>0</v>
      </c>
      <c r="R44" s="10" t="b">
        <v>0</v>
      </c>
      <c r="S44" s="10" t="b">
        <v>0</v>
      </c>
      <c r="T44" s="4"/>
      <c r="U44" s="6"/>
      <c r="V44" s="7"/>
      <c r="W44" s="104" t="b">
        <v>0</v>
      </c>
      <c r="X44" s="9"/>
      <c r="Y44" s="105"/>
      <c r="Z44" s="105"/>
      <c r="AA44" s="4"/>
      <c r="AB44" s="4"/>
      <c r="AC44" s="4"/>
      <c r="AD44" s="4"/>
    </row>
    <row r="45" hidden="1">
      <c r="A45" s="5" t="s">
        <v>22</v>
      </c>
      <c r="B45" s="4"/>
      <c r="C45" s="93"/>
      <c r="D45" s="8"/>
      <c r="E45" s="93"/>
      <c r="F45" s="4"/>
      <c r="G45" s="4"/>
      <c r="H45" s="4"/>
      <c r="I45" s="4"/>
      <c r="J45" s="10" t="b">
        <v>0</v>
      </c>
      <c r="K45" s="10" t="b">
        <v>0</v>
      </c>
      <c r="L45" s="10" t="b">
        <v>0</v>
      </c>
      <c r="M45" s="10" t="b">
        <v>0</v>
      </c>
      <c r="N45" s="10" t="b">
        <v>0</v>
      </c>
      <c r="O45" s="10" t="b">
        <v>0</v>
      </c>
      <c r="P45" s="10" t="b">
        <v>0</v>
      </c>
      <c r="Q45" s="10" t="b">
        <v>0</v>
      </c>
      <c r="R45" s="10" t="b">
        <v>0</v>
      </c>
      <c r="S45" s="10" t="b">
        <v>0</v>
      </c>
      <c r="T45" s="4"/>
      <c r="U45" s="6"/>
      <c r="V45" s="7"/>
      <c r="W45" s="104" t="b">
        <v>0</v>
      </c>
      <c r="X45" s="9"/>
      <c r="Y45" s="105"/>
      <c r="Z45" s="105"/>
      <c r="AA45" s="4"/>
      <c r="AB45" s="4"/>
      <c r="AC45" s="4"/>
      <c r="AD45" s="4"/>
    </row>
    <row r="46" hidden="1">
      <c r="A46" s="5" t="s">
        <v>22</v>
      </c>
      <c r="B46" s="4"/>
      <c r="C46" s="93"/>
      <c r="D46" s="8"/>
      <c r="E46" s="93"/>
      <c r="F46" s="4"/>
      <c r="G46" s="4"/>
      <c r="H46" s="4"/>
      <c r="I46" s="4"/>
      <c r="J46" s="10" t="b">
        <v>0</v>
      </c>
      <c r="K46" s="10" t="b">
        <v>0</v>
      </c>
      <c r="L46" s="10" t="b">
        <v>0</v>
      </c>
      <c r="M46" s="10" t="b">
        <v>0</v>
      </c>
      <c r="N46" s="10" t="b">
        <v>0</v>
      </c>
      <c r="O46" s="10" t="b">
        <v>0</v>
      </c>
      <c r="P46" s="10" t="b">
        <v>0</v>
      </c>
      <c r="Q46" s="10" t="b">
        <v>0</v>
      </c>
      <c r="R46" s="10" t="b">
        <v>0</v>
      </c>
      <c r="S46" s="10" t="b">
        <v>0</v>
      </c>
      <c r="T46" s="4"/>
      <c r="U46" s="6"/>
      <c r="V46" s="7"/>
      <c r="W46" s="104" t="b">
        <v>0</v>
      </c>
      <c r="X46" s="9"/>
      <c r="Y46" s="105"/>
      <c r="Z46" s="105"/>
      <c r="AA46" s="4"/>
      <c r="AB46" s="4"/>
      <c r="AC46" s="4"/>
      <c r="AD46" s="4"/>
    </row>
    <row r="47" hidden="1">
      <c r="A47" s="5" t="s">
        <v>22</v>
      </c>
      <c r="B47" s="4"/>
      <c r="C47" s="93"/>
      <c r="D47" s="8"/>
      <c r="E47" s="93"/>
      <c r="F47" s="4"/>
      <c r="G47" s="4"/>
      <c r="H47" s="4"/>
      <c r="I47" s="4"/>
      <c r="J47" s="10" t="b">
        <v>0</v>
      </c>
      <c r="K47" s="10" t="b">
        <v>0</v>
      </c>
      <c r="L47" s="10" t="b">
        <v>0</v>
      </c>
      <c r="M47" s="10" t="b">
        <v>0</v>
      </c>
      <c r="N47" s="10" t="b">
        <v>0</v>
      </c>
      <c r="O47" s="10" t="b">
        <v>0</v>
      </c>
      <c r="P47" s="10" t="b">
        <v>0</v>
      </c>
      <c r="Q47" s="10" t="b">
        <v>0</v>
      </c>
      <c r="R47" s="10" t="b">
        <v>0</v>
      </c>
      <c r="S47" s="10" t="b">
        <v>0</v>
      </c>
      <c r="T47" s="4"/>
      <c r="U47" s="6"/>
      <c r="V47" s="7"/>
      <c r="W47" s="104" t="b">
        <v>0</v>
      </c>
      <c r="X47" s="9"/>
      <c r="Y47" s="105"/>
      <c r="Z47" s="105"/>
      <c r="AA47" s="4"/>
      <c r="AB47" s="4"/>
      <c r="AC47" s="4"/>
      <c r="AD47" s="4"/>
    </row>
    <row r="48" hidden="1">
      <c r="A48" s="5" t="s">
        <v>22</v>
      </c>
      <c r="B48" s="4"/>
      <c r="C48" s="93"/>
      <c r="D48" s="8"/>
      <c r="E48" s="93"/>
      <c r="F48" s="4"/>
      <c r="G48" s="4"/>
      <c r="H48" s="4"/>
      <c r="I48" s="4"/>
      <c r="J48" s="10" t="b">
        <v>0</v>
      </c>
      <c r="K48" s="10" t="b">
        <v>0</v>
      </c>
      <c r="L48" s="10" t="b">
        <v>0</v>
      </c>
      <c r="M48" s="10" t="b">
        <v>0</v>
      </c>
      <c r="N48" s="10" t="b">
        <v>0</v>
      </c>
      <c r="O48" s="10" t="b">
        <v>0</v>
      </c>
      <c r="P48" s="10" t="b">
        <v>0</v>
      </c>
      <c r="Q48" s="10" t="b">
        <v>0</v>
      </c>
      <c r="R48" s="10" t="b">
        <v>0</v>
      </c>
      <c r="S48" s="10" t="b">
        <v>0</v>
      </c>
      <c r="T48" s="4"/>
      <c r="U48" s="6"/>
      <c r="V48" s="7"/>
      <c r="W48" s="104" t="b">
        <v>0</v>
      </c>
      <c r="X48" s="9"/>
      <c r="Y48" s="105"/>
      <c r="Z48" s="105"/>
      <c r="AA48" s="4"/>
      <c r="AB48" s="4"/>
      <c r="AC48" s="4"/>
      <c r="AD48" s="4"/>
    </row>
    <row r="49" hidden="1">
      <c r="A49" s="5" t="s">
        <v>22</v>
      </c>
      <c r="B49" s="4"/>
      <c r="C49" s="93"/>
      <c r="D49" s="8"/>
      <c r="E49" s="93"/>
      <c r="F49" s="4"/>
      <c r="G49" s="4"/>
      <c r="H49" s="4"/>
      <c r="I49" s="4"/>
      <c r="J49" s="10" t="b">
        <v>0</v>
      </c>
      <c r="K49" s="10" t="b">
        <v>0</v>
      </c>
      <c r="L49" s="10" t="b">
        <v>0</v>
      </c>
      <c r="M49" s="10" t="b">
        <v>0</v>
      </c>
      <c r="N49" s="10" t="b">
        <v>0</v>
      </c>
      <c r="O49" s="10" t="b">
        <v>0</v>
      </c>
      <c r="P49" s="10" t="b">
        <v>0</v>
      </c>
      <c r="Q49" s="10" t="b">
        <v>0</v>
      </c>
      <c r="R49" s="10" t="b">
        <v>0</v>
      </c>
      <c r="S49" s="10" t="b">
        <v>0</v>
      </c>
      <c r="T49" s="4"/>
      <c r="U49" s="6"/>
      <c r="V49" s="7"/>
      <c r="W49" s="104" t="b">
        <v>0</v>
      </c>
      <c r="X49" s="9"/>
      <c r="Y49" s="105"/>
      <c r="Z49" s="105"/>
      <c r="AA49" s="4"/>
      <c r="AB49" s="4"/>
      <c r="AC49" s="4"/>
      <c r="AD49" s="4"/>
    </row>
    <row r="50" hidden="1">
      <c r="A50" s="5" t="s">
        <v>22</v>
      </c>
      <c r="B50" s="4"/>
      <c r="C50" s="93"/>
      <c r="D50" s="8"/>
      <c r="E50" s="93"/>
      <c r="F50" s="4"/>
      <c r="G50" s="4"/>
      <c r="H50" s="4"/>
      <c r="I50" s="4"/>
      <c r="J50" s="10" t="b">
        <v>0</v>
      </c>
      <c r="K50" s="10" t="b">
        <v>0</v>
      </c>
      <c r="L50" s="10" t="b">
        <v>0</v>
      </c>
      <c r="M50" s="10" t="b">
        <v>0</v>
      </c>
      <c r="N50" s="10" t="b">
        <v>0</v>
      </c>
      <c r="O50" s="10" t="b">
        <v>0</v>
      </c>
      <c r="P50" s="10" t="b">
        <v>0</v>
      </c>
      <c r="Q50" s="10" t="b">
        <v>0</v>
      </c>
      <c r="R50" s="10" t="b">
        <v>0</v>
      </c>
      <c r="S50" s="10" t="b">
        <v>0</v>
      </c>
      <c r="T50" s="4"/>
      <c r="U50" s="6"/>
      <c r="V50" s="7"/>
      <c r="W50" s="104" t="b">
        <v>0</v>
      </c>
      <c r="X50" s="9"/>
      <c r="Y50" s="105"/>
      <c r="Z50" s="105"/>
      <c r="AA50" s="4"/>
      <c r="AB50" s="4"/>
      <c r="AC50" s="4"/>
      <c r="AD50" s="4"/>
    </row>
    <row r="51" hidden="1">
      <c r="A51" s="5" t="s">
        <v>22</v>
      </c>
      <c r="B51" s="4"/>
      <c r="C51" s="93"/>
      <c r="D51" s="8"/>
      <c r="E51" s="93"/>
      <c r="F51" s="4"/>
      <c r="G51" s="4"/>
      <c r="H51" s="4"/>
      <c r="I51" s="4"/>
      <c r="J51" s="10" t="b">
        <v>0</v>
      </c>
      <c r="K51" s="10" t="b">
        <v>0</v>
      </c>
      <c r="L51" s="10" t="b">
        <v>0</v>
      </c>
      <c r="M51" s="10" t="b">
        <v>0</v>
      </c>
      <c r="N51" s="10" t="b">
        <v>0</v>
      </c>
      <c r="O51" s="10" t="b">
        <v>0</v>
      </c>
      <c r="P51" s="10" t="b">
        <v>0</v>
      </c>
      <c r="Q51" s="10" t="b">
        <v>0</v>
      </c>
      <c r="R51" s="10" t="b">
        <v>0</v>
      </c>
      <c r="S51" s="10" t="b">
        <v>0</v>
      </c>
      <c r="T51" s="4"/>
      <c r="U51" s="6"/>
      <c r="V51" s="7"/>
      <c r="W51" s="104" t="b">
        <v>0</v>
      </c>
      <c r="X51" s="9"/>
      <c r="Y51" s="105"/>
      <c r="Z51" s="105"/>
      <c r="AA51" s="4"/>
      <c r="AB51" s="4"/>
      <c r="AC51" s="4"/>
      <c r="AD51" s="4"/>
    </row>
    <row r="52" hidden="1">
      <c r="A52" s="5" t="s">
        <v>22</v>
      </c>
      <c r="B52" s="4"/>
      <c r="C52" s="93"/>
      <c r="D52" s="8"/>
      <c r="E52" s="93"/>
      <c r="F52" s="4"/>
      <c r="G52" s="4"/>
      <c r="H52" s="4"/>
      <c r="I52" s="4"/>
      <c r="J52" s="10" t="b">
        <v>0</v>
      </c>
      <c r="K52" s="10" t="b">
        <v>0</v>
      </c>
      <c r="L52" s="10" t="b">
        <v>0</v>
      </c>
      <c r="M52" s="10" t="b">
        <v>0</v>
      </c>
      <c r="N52" s="10" t="b">
        <v>0</v>
      </c>
      <c r="O52" s="10" t="b">
        <v>0</v>
      </c>
      <c r="P52" s="10" t="b">
        <v>0</v>
      </c>
      <c r="Q52" s="10" t="b">
        <v>0</v>
      </c>
      <c r="R52" s="10" t="b">
        <v>0</v>
      </c>
      <c r="S52" s="10" t="b">
        <v>0</v>
      </c>
      <c r="T52" s="4"/>
      <c r="U52" s="6"/>
      <c r="V52" s="7"/>
      <c r="W52" s="104" t="b">
        <v>0</v>
      </c>
      <c r="X52" s="9"/>
      <c r="Y52" s="105"/>
      <c r="Z52" s="105"/>
      <c r="AA52" s="4"/>
      <c r="AB52" s="4"/>
      <c r="AC52" s="4"/>
      <c r="AD52" s="4"/>
    </row>
    <row r="53" hidden="1">
      <c r="A53" s="5" t="s">
        <v>22</v>
      </c>
      <c r="B53" s="4"/>
      <c r="C53" s="93"/>
      <c r="D53" s="8"/>
      <c r="E53" s="93"/>
      <c r="F53" s="4"/>
      <c r="G53" s="4"/>
      <c r="H53" s="4"/>
      <c r="I53" s="4"/>
      <c r="J53" s="10" t="b">
        <v>0</v>
      </c>
      <c r="K53" s="10" t="b">
        <v>0</v>
      </c>
      <c r="L53" s="10" t="b">
        <v>0</v>
      </c>
      <c r="M53" s="10" t="b">
        <v>0</v>
      </c>
      <c r="N53" s="10" t="b">
        <v>0</v>
      </c>
      <c r="O53" s="10" t="b">
        <v>0</v>
      </c>
      <c r="P53" s="10" t="b">
        <v>0</v>
      </c>
      <c r="Q53" s="10" t="b">
        <v>0</v>
      </c>
      <c r="R53" s="10" t="b">
        <v>0</v>
      </c>
      <c r="S53" s="10" t="b">
        <v>0</v>
      </c>
      <c r="T53" s="4"/>
      <c r="U53" s="6"/>
      <c r="V53" s="7"/>
      <c r="W53" s="104" t="b">
        <v>0</v>
      </c>
      <c r="X53" s="9"/>
      <c r="Y53" s="105"/>
      <c r="Z53" s="105"/>
      <c r="AA53" s="4"/>
      <c r="AB53" s="4"/>
      <c r="AC53" s="4"/>
      <c r="AD53" s="4"/>
    </row>
    <row r="54" hidden="1">
      <c r="A54" s="5" t="s">
        <v>22</v>
      </c>
      <c r="B54" s="4"/>
      <c r="C54" s="93"/>
      <c r="D54" s="8"/>
      <c r="E54" s="93"/>
      <c r="F54" s="4"/>
      <c r="G54" s="4"/>
      <c r="H54" s="4"/>
      <c r="I54" s="4"/>
      <c r="J54" s="10" t="b">
        <v>0</v>
      </c>
      <c r="K54" s="10" t="b">
        <v>0</v>
      </c>
      <c r="L54" s="10" t="b">
        <v>0</v>
      </c>
      <c r="M54" s="10" t="b">
        <v>0</v>
      </c>
      <c r="N54" s="10" t="b">
        <v>0</v>
      </c>
      <c r="O54" s="10" t="b">
        <v>0</v>
      </c>
      <c r="P54" s="10" t="b">
        <v>0</v>
      </c>
      <c r="Q54" s="10" t="b">
        <v>0</v>
      </c>
      <c r="R54" s="10" t="b">
        <v>0</v>
      </c>
      <c r="S54" s="10" t="b">
        <v>0</v>
      </c>
      <c r="T54" s="4"/>
      <c r="U54" s="6"/>
      <c r="V54" s="7"/>
      <c r="W54" s="104" t="b">
        <v>0</v>
      </c>
      <c r="X54" s="9"/>
      <c r="Y54" s="105"/>
      <c r="Z54" s="105"/>
      <c r="AA54" s="4"/>
      <c r="AB54" s="4"/>
      <c r="AC54" s="4"/>
      <c r="AD54" s="4"/>
    </row>
    <row r="55" hidden="1">
      <c r="A55" s="5" t="s">
        <v>22</v>
      </c>
      <c r="B55" s="4"/>
      <c r="C55" s="93"/>
      <c r="D55" s="8"/>
      <c r="E55" s="93"/>
      <c r="F55" s="4"/>
      <c r="G55" s="4"/>
      <c r="H55" s="4"/>
      <c r="I55" s="4"/>
      <c r="J55" s="10" t="b">
        <v>0</v>
      </c>
      <c r="K55" s="10" t="b">
        <v>0</v>
      </c>
      <c r="L55" s="10" t="b">
        <v>0</v>
      </c>
      <c r="M55" s="10" t="b">
        <v>0</v>
      </c>
      <c r="N55" s="10" t="b">
        <v>0</v>
      </c>
      <c r="O55" s="10" t="b">
        <v>0</v>
      </c>
      <c r="P55" s="10" t="b">
        <v>0</v>
      </c>
      <c r="Q55" s="10" t="b">
        <v>0</v>
      </c>
      <c r="R55" s="10" t="b">
        <v>0</v>
      </c>
      <c r="S55" s="10" t="b">
        <v>0</v>
      </c>
      <c r="T55" s="4"/>
      <c r="U55" s="6"/>
      <c r="V55" s="7"/>
      <c r="W55" s="104" t="b">
        <v>0</v>
      </c>
      <c r="X55" s="9"/>
      <c r="Y55" s="105"/>
      <c r="Z55" s="105"/>
      <c r="AA55" s="4"/>
      <c r="AB55" s="4"/>
      <c r="AC55" s="4"/>
      <c r="AD55" s="4"/>
    </row>
    <row r="56" hidden="1">
      <c r="A56" s="5" t="s">
        <v>22</v>
      </c>
      <c r="B56" s="4"/>
      <c r="C56" s="93"/>
      <c r="D56" s="8"/>
      <c r="E56" s="93"/>
      <c r="F56" s="4"/>
      <c r="G56" s="4"/>
      <c r="H56" s="4"/>
      <c r="I56" s="4"/>
      <c r="J56" s="10" t="b">
        <v>0</v>
      </c>
      <c r="K56" s="10" t="b">
        <v>0</v>
      </c>
      <c r="L56" s="10" t="b">
        <v>0</v>
      </c>
      <c r="M56" s="10" t="b">
        <v>0</v>
      </c>
      <c r="N56" s="10" t="b">
        <v>0</v>
      </c>
      <c r="O56" s="10" t="b">
        <v>0</v>
      </c>
      <c r="P56" s="10" t="b">
        <v>0</v>
      </c>
      <c r="Q56" s="10" t="b">
        <v>0</v>
      </c>
      <c r="R56" s="10" t="b">
        <v>0</v>
      </c>
      <c r="S56" s="10" t="b">
        <v>0</v>
      </c>
      <c r="T56" s="4"/>
      <c r="U56" s="6"/>
      <c r="V56" s="7"/>
      <c r="W56" s="104" t="b">
        <v>0</v>
      </c>
      <c r="X56" s="9"/>
      <c r="Y56" s="105"/>
      <c r="Z56" s="105"/>
      <c r="AA56" s="4"/>
      <c r="AB56" s="4"/>
      <c r="AC56" s="4"/>
      <c r="AD56" s="4"/>
    </row>
    <row r="57" hidden="1">
      <c r="A57" s="5" t="s">
        <v>22</v>
      </c>
      <c r="B57" s="4"/>
      <c r="C57" s="93"/>
      <c r="D57" s="8"/>
      <c r="E57" s="93"/>
      <c r="F57" s="4"/>
      <c r="G57" s="4"/>
      <c r="H57" s="4"/>
      <c r="I57" s="4"/>
      <c r="J57" s="10" t="b">
        <v>0</v>
      </c>
      <c r="K57" s="10" t="b">
        <v>0</v>
      </c>
      <c r="L57" s="10" t="b">
        <v>0</v>
      </c>
      <c r="M57" s="10" t="b">
        <v>0</v>
      </c>
      <c r="N57" s="10" t="b">
        <v>0</v>
      </c>
      <c r="O57" s="10" t="b">
        <v>0</v>
      </c>
      <c r="P57" s="10" t="b">
        <v>0</v>
      </c>
      <c r="Q57" s="10" t="b">
        <v>0</v>
      </c>
      <c r="R57" s="10" t="b">
        <v>0</v>
      </c>
      <c r="S57" s="10" t="b">
        <v>0</v>
      </c>
      <c r="T57" s="4"/>
      <c r="U57" s="6"/>
      <c r="V57" s="7"/>
      <c r="W57" s="104" t="b">
        <v>0</v>
      </c>
      <c r="X57" s="9"/>
      <c r="Y57" s="105"/>
      <c r="Z57" s="105"/>
      <c r="AA57" s="4"/>
      <c r="AB57" s="4"/>
      <c r="AC57" s="4"/>
      <c r="AD57" s="4"/>
    </row>
    <row r="58" hidden="1">
      <c r="A58" s="5" t="s">
        <v>22</v>
      </c>
      <c r="B58" s="4"/>
      <c r="C58" s="93"/>
      <c r="D58" s="8"/>
      <c r="E58" s="93"/>
      <c r="F58" s="4"/>
      <c r="G58" s="4"/>
      <c r="H58" s="4"/>
      <c r="I58" s="4"/>
      <c r="J58" s="10" t="b">
        <v>0</v>
      </c>
      <c r="K58" s="10" t="b">
        <v>0</v>
      </c>
      <c r="L58" s="10" t="b">
        <v>0</v>
      </c>
      <c r="M58" s="10" t="b">
        <v>0</v>
      </c>
      <c r="N58" s="10" t="b">
        <v>0</v>
      </c>
      <c r="O58" s="10" t="b">
        <v>0</v>
      </c>
      <c r="P58" s="10" t="b">
        <v>0</v>
      </c>
      <c r="Q58" s="10" t="b">
        <v>0</v>
      </c>
      <c r="R58" s="10" t="b">
        <v>0</v>
      </c>
      <c r="S58" s="10" t="b">
        <v>0</v>
      </c>
      <c r="T58" s="4"/>
      <c r="U58" s="6"/>
      <c r="V58" s="7"/>
      <c r="W58" s="104" t="b">
        <v>0</v>
      </c>
      <c r="X58" s="9"/>
      <c r="Y58" s="105"/>
      <c r="Z58" s="105"/>
      <c r="AA58" s="4"/>
      <c r="AB58" s="4"/>
      <c r="AC58" s="4"/>
      <c r="AD58" s="4"/>
    </row>
    <row r="59" hidden="1">
      <c r="A59" s="5" t="s">
        <v>22</v>
      </c>
      <c r="B59" s="4"/>
      <c r="C59" s="93"/>
      <c r="D59" s="8"/>
      <c r="E59" s="93"/>
      <c r="F59" s="4"/>
      <c r="G59" s="4"/>
      <c r="H59" s="4"/>
      <c r="I59" s="4"/>
      <c r="J59" s="10" t="b">
        <v>0</v>
      </c>
      <c r="K59" s="10" t="b">
        <v>0</v>
      </c>
      <c r="L59" s="10" t="b">
        <v>0</v>
      </c>
      <c r="M59" s="10" t="b">
        <v>0</v>
      </c>
      <c r="N59" s="10" t="b">
        <v>0</v>
      </c>
      <c r="O59" s="10" t="b">
        <v>0</v>
      </c>
      <c r="P59" s="10" t="b">
        <v>0</v>
      </c>
      <c r="Q59" s="10" t="b">
        <v>0</v>
      </c>
      <c r="R59" s="10" t="b">
        <v>0</v>
      </c>
      <c r="S59" s="10" t="b">
        <v>0</v>
      </c>
      <c r="T59" s="4"/>
      <c r="U59" s="6"/>
      <c r="V59" s="7"/>
      <c r="W59" s="104" t="b">
        <v>0</v>
      </c>
      <c r="X59" s="9"/>
      <c r="Y59" s="105"/>
      <c r="Z59" s="105"/>
      <c r="AA59" s="4"/>
      <c r="AB59" s="4"/>
      <c r="AC59" s="4"/>
      <c r="AD59" s="4"/>
    </row>
    <row r="60" hidden="1">
      <c r="A60" s="5" t="s">
        <v>22</v>
      </c>
      <c r="B60" s="4"/>
      <c r="C60" s="93"/>
      <c r="D60" s="8"/>
      <c r="E60" s="93"/>
      <c r="F60" s="4"/>
      <c r="G60" s="4"/>
      <c r="H60" s="4"/>
      <c r="I60" s="4"/>
      <c r="J60" s="10" t="b">
        <v>0</v>
      </c>
      <c r="K60" s="10" t="b">
        <v>0</v>
      </c>
      <c r="L60" s="10" t="b">
        <v>0</v>
      </c>
      <c r="M60" s="10" t="b">
        <v>0</v>
      </c>
      <c r="N60" s="10" t="b">
        <v>0</v>
      </c>
      <c r="O60" s="10" t="b">
        <v>0</v>
      </c>
      <c r="P60" s="10" t="b">
        <v>0</v>
      </c>
      <c r="Q60" s="10" t="b">
        <v>0</v>
      </c>
      <c r="R60" s="10" t="b">
        <v>0</v>
      </c>
      <c r="S60" s="10" t="b">
        <v>0</v>
      </c>
      <c r="T60" s="4"/>
      <c r="U60" s="6"/>
      <c r="V60" s="7"/>
      <c r="W60" s="104" t="b">
        <v>0</v>
      </c>
      <c r="X60" s="9"/>
      <c r="Y60" s="105"/>
      <c r="Z60" s="105"/>
      <c r="AA60" s="4"/>
      <c r="AB60" s="4"/>
      <c r="AC60" s="4"/>
      <c r="AD60" s="4"/>
    </row>
    <row r="61" hidden="1">
      <c r="A61" s="5" t="s">
        <v>22</v>
      </c>
      <c r="B61" s="4"/>
      <c r="C61" s="93"/>
      <c r="D61" s="8"/>
      <c r="E61" s="93"/>
      <c r="F61" s="4"/>
      <c r="G61" s="4"/>
      <c r="H61" s="4"/>
      <c r="I61" s="4"/>
      <c r="J61" s="10" t="b">
        <v>0</v>
      </c>
      <c r="K61" s="10" t="b">
        <v>0</v>
      </c>
      <c r="L61" s="10" t="b">
        <v>0</v>
      </c>
      <c r="M61" s="10" t="b">
        <v>0</v>
      </c>
      <c r="N61" s="10" t="b">
        <v>0</v>
      </c>
      <c r="O61" s="10" t="b">
        <v>0</v>
      </c>
      <c r="P61" s="10" t="b">
        <v>0</v>
      </c>
      <c r="Q61" s="10" t="b">
        <v>0</v>
      </c>
      <c r="R61" s="10" t="b">
        <v>0</v>
      </c>
      <c r="S61" s="10" t="b">
        <v>0</v>
      </c>
      <c r="T61" s="4"/>
      <c r="U61" s="6"/>
      <c r="V61" s="7"/>
      <c r="W61" s="104" t="b">
        <v>0</v>
      </c>
      <c r="X61" s="9"/>
      <c r="Y61" s="105"/>
      <c r="Z61" s="105"/>
      <c r="AA61" s="4"/>
      <c r="AB61" s="4"/>
      <c r="AC61" s="4"/>
      <c r="AD61" s="4"/>
    </row>
    <row r="62" hidden="1">
      <c r="A62" s="5" t="s">
        <v>22</v>
      </c>
      <c r="B62" s="4"/>
      <c r="C62" s="93"/>
      <c r="D62" s="8"/>
      <c r="E62" s="93"/>
      <c r="F62" s="4"/>
      <c r="G62" s="4"/>
      <c r="H62" s="4"/>
      <c r="I62" s="4"/>
      <c r="J62" s="10" t="b">
        <v>0</v>
      </c>
      <c r="K62" s="10" t="b">
        <v>0</v>
      </c>
      <c r="L62" s="10" t="b">
        <v>0</v>
      </c>
      <c r="M62" s="10" t="b">
        <v>0</v>
      </c>
      <c r="N62" s="10" t="b">
        <v>0</v>
      </c>
      <c r="O62" s="10" t="b">
        <v>0</v>
      </c>
      <c r="P62" s="10" t="b">
        <v>0</v>
      </c>
      <c r="Q62" s="10" t="b">
        <v>0</v>
      </c>
      <c r="R62" s="10" t="b">
        <v>0</v>
      </c>
      <c r="S62" s="10" t="b">
        <v>0</v>
      </c>
      <c r="T62" s="4"/>
      <c r="U62" s="6"/>
      <c r="V62" s="7"/>
      <c r="W62" s="104" t="b">
        <v>0</v>
      </c>
      <c r="X62" s="9"/>
      <c r="Y62" s="105"/>
      <c r="Z62" s="105"/>
      <c r="AA62" s="4"/>
      <c r="AB62" s="4"/>
      <c r="AC62" s="4"/>
      <c r="AD62" s="4"/>
    </row>
    <row r="63" hidden="1">
      <c r="A63" s="5" t="s">
        <v>22</v>
      </c>
      <c r="B63" s="4"/>
      <c r="C63" s="93"/>
      <c r="D63" s="8"/>
      <c r="E63" s="93"/>
      <c r="F63" s="4"/>
      <c r="G63" s="4"/>
      <c r="H63" s="4"/>
      <c r="I63" s="4"/>
      <c r="J63" s="10" t="b">
        <v>0</v>
      </c>
      <c r="K63" s="10" t="b">
        <v>0</v>
      </c>
      <c r="L63" s="10" t="b">
        <v>0</v>
      </c>
      <c r="M63" s="10" t="b">
        <v>0</v>
      </c>
      <c r="N63" s="10" t="b">
        <v>0</v>
      </c>
      <c r="O63" s="10" t="b">
        <v>0</v>
      </c>
      <c r="P63" s="10" t="b">
        <v>0</v>
      </c>
      <c r="Q63" s="10" t="b">
        <v>0</v>
      </c>
      <c r="R63" s="10" t="b">
        <v>0</v>
      </c>
      <c r="S63" s="10" t="b">
        <v>0</v>
      </c>
      <c r="T63" s="4"/>
      <c r="U63" s="6"/>
      <c r="V63" s="7"/>
      <c r="W63" s="104" t="b">
        <v>0</v>
      </c>
      <c r="X63" s="9"/>
      <c r="Y63" s="105"/>
      <c r="Z63" s="105"/>
      <c r="AA63" s="4"/>
      <c r="AB63" s="4"/>
      <c r="AC63" s="4"/>
      <c r="AD63" s="4"/>
    </row>
    <row r="64" hidden="1">
      <c r="A64" s="5" t="s">
        <v>22</v>
      </c>
      <c r="B64" s="4"/>
      <c r="C64" s="93"/>
      <c r="D64" s="8"/>
      <c r="E64" s="93"/>
      <c r="F64" s="4"/>
      <c r="G64" s="4"/>
      <c r="H64" s="4"/>
      <c r="I64" s="4"/>
      <c r="J64" s="10" t="b">
        <v>0</v>
      </c>
      <c r="K64" s="10" t="b">
        <v>0</v>
      </c>
      <c r="L64" s="10" t="b">
        <v>0</v>
      </c>
      <c r="M64" s="10" t="b">
        <v>0</v>
      </c>
      <c r="N64" s="10" t="b">
        <v>0</v>
      </c>
      <c r="O64" s="10" t="b">
        <v>0</v>
      </c>
      <c r="P64" s="10" t="b">
        <v>0</v>
      </c>
      <c r="Q64" s="10" t="b">
        <v>0</v>
      </c>
      <c r="R64" s="10" t="b">
        <v>0</v>
      </c>
      <c r="S64" s="10" t="b">
        <v>0</v>
      </c>
      <c r="T64" s="4"/>
      <c r="U64" s="6"/>
      <c r="V64" s="7"/>
      <c r="W64" s="104" t="b">
        <v>0</v>
      </c>
      <c r="X64" s="9"/>
      <c r="Y64" s="105"/>
      <c r="Z64" s="105"/>
      <c r="AA64" s="4"/>
      <c r="AB64" s="4"/>
      <c r="AC64" s="4"/>
      <c r="AD64" s="4"/>
    </row>
    <row r="65" hidden="1">
      <c r="A65" s="5" t="s">
        <v>22</v>
      </c>
      <c r="B65" s="4"/>
      <c r="C65" s="93"/>
      <c r="D65" s="8"/>
      <c r="E65" s="93"/>
      <c r="F65" s="4"/>
      <c r="G65" s="4"/>
      <c r="H65" s="4"/>
      <c r="I65" s="4"/>
      <c r="J65" s="10" t="b">
        <v>0</v>
      </c>
      <c r="K65" s="10" t="b">
        <v>0</v>
      </c>
      <c r="L65" s="10" t="b">
        <v>0</v>
      </c>
      <c r="M65" s="10" t="b">
        <v>0</v>
      </c>
      <c r="N65" s="10" t="b">
        <v>0</v>
      </c>
      <c r="O65" s="10" t="b">
        <v>0</v>
      </c>
      <c r="P65" s="10" t="b">
        <v>0</v>
      </c>
      <c r="Q65" s="10" t="b">
        <v>0</v>
      </c>
      <c r="R65" s="10" t="b">
        <v>0</v>
      </c>
      <c r="S65" s="10" t="b">
        <v>0</v>
      </c>
      <c r="T65" s="4"/>
      <c r="U65" s="6"/>
      <c r="V65" s="7"/>
      <c r="W65" s="104" t="b">
        <v>0</v>
      </c>
      <c r="X65" s="9"/>
      <c r="Y65" s="105"/>
      <c r="Z65" s="105"/>
      <c r="AA65" s="4"/>
      <c r="AB65" s="4"/>
      <c r="AC65" s="4"/>
      <c r="AD65" s="4"/>
    </row>
    <row r="66" hidden="1">
      <c r="A66" s="5" t="s">
        <v>22</v>
      </c>
      <c r="B66" s="4"/>
      <c r="C66" s="93"/>
      <c r="D66" s="8"/>
      <c r="E66" s="93"/>
      <c r="F66" s="4"/>
      <c r="G66" s="4"/>
      <c r="H66" s="4"/>
      <c r="I66" s="4"/>
      <c r="J66" s="10" t="b">
        <v>0</v>
      </c>
      <c r="K66" s="10" t="b">
        <v>0</v>
      </c>
      <c r="L66" s="10" t="b">
        <v>0</v>
      </c>
      <c r="M66" s="10" t="b">
        <v>0</v>
      </c>
      <c r="N66" s="10" t="b">
        <v>0</v>
      </c>
      <c r="O66" s="10" t="b">
        <v>0</v>
      </c>
      <c r="P66" s="10" t="b">
        <v>0</v>
      </c>
      <c r="Q66" s="10" t="b">
        <v>0</v>
      </c>
      <c r="R66" s="10" t="b">
        <v>0</v>
      </c>
      <c r="S66" s="10" t="b">
        <v>0</v>
      </c>
      <c r="T66" s="4"/>
      <c r="U66" s="6"/>
      <c r="V66" s="7"/>
      <c r="W66" s="104" t="b">
        <v>0</v>
      </c>
      <c r="X66" s="9"/>
      <c r="Y66" s="105"/>
      <c r="Z66" s="105"/>
      <c r="AA66" s="4"/>
      <c r="AB66" s="4"/>
      <c r="AC66" s="4"/>
      <c r="AD66" s="4"/>
    </row>
    <row r="67" hidden="1">
      <c r="A67" s="5" t="s">
        <v>22</v>
      </c>
      <c r="B67" s="4"/>
      <c r="C67" s="93"/>
      <c r="D67" s="8"/>
      <c r="E67" s="93"/>
      <c r="F67" s="4"/>
      <c r="G67" s="4"/>
      <c r="H67" s="4"/>
      <c r="I67" s="4"/>
      <c r="J67" s="10" t="b">
        <v>0</v>
      </c>
      <c r="K67" s="10" t="b">
        <v>0</v>
      </c>
      <c r="L67" s="10" t="b">
        <v>0</v>
      </c>
      <c r="M67" s="10" t="b">
        <v>0</v>
      </c>
      <c r="N67" s="10" t="b">
        <v>0</v>
      </c>
      <c r="O67" s="10" t="b">
        <v>0</v>
      </c>
      <c r="P67" s="10" t="b">
        <v>0</v>
      </c>
      <c r="Q67" s="10" t="b">
        <v>0</v>
      </c>
      <c r="R67" s="10" t="b">
        <v>0</v>
      </c>
      <c r="S67" s="10" t="b">
        <v>0</v>
      </c>
      <c r="T67" s="4"/>
      <c r="U67" s="6"/>
      <c r="V67" s="7"/>
      <c r="W67" s="104" t="b">
        <v>0</v>
      </c>
      <c r="X67" s="9"/>
      <c r="Y67" s="105"/>
      <c r="Z67" s="105"/>
      <c r="AA67" s="4"/>
      <c r="AB67" s="4"/>
      <c r="AC67" s="4"/>
      <c r="AD67" s="4"/>
    </row>
    <row r="68" hidden="1">
      <c r="A68" s="5" t="s">
        <v>22</v>
      </c>
      <c r="B68" s="4"/>
      <c r="C68" s="93"/>
      <c r="D68" s="8"/>
      <c r="E68" s="93"/>
      <c r="F68" s="4"/>
      <c r="G68" s="4"/>
      <c r="H68" s="4"/>
      <c r="I68" s="4"/>
      <c r="J68" s="10" t="b">
        <v>0</v>
      </c>
      <c r="K68" s="10" t="b">
        <v>0</v>
      </c>
      <c r="L68" s="10" t="b">
        <v>0</v>
      </c>
      <c r="M68" s="10" t="b">
        <v>0</v>
      </c>
      <c r="N68" s="10" t="b">
        <v>0</v>
      </c>
      <c r="O68" s="10" t="b">
        <v>0</v>
      </c>
      <c r="P68" s="10" t="b">
        <v>0</v>
      </c>
      <c r="Q68" s="10" t="b">
        <v>0</v>
      </c>
      <c r="R68" s="10" t="b">
        <v>0</v>
      </c>
      <c r="S68" s="10" t="b">
        <v>0</v>
      </c>
      <c r="T68" s="4"/>
      <c r="U68" s="6"/>
      <c r="V68" s="7"/>
      <c r="W68" s="104" t="b">
        <v>0</v>
      </c>
      <c r="X68" s="9"/>
      <c r="Y68" s="105"/>
      <c r="Z68" s="105"/>
      <c r="AA68" s="4"/>
      <c r="AB68" s="4"/>
      <c r="AC68" s="4"/>
      <c r="AD68" s="4"/>
    </row>
    <row r="69" hidden="1">
      <c r="A69" s="5" t="s">
        <v>22</v>
      </c>
      <c r="B69" s="4"/>
      <c r="C69" s="93"/>
      <c r="D69" s="8"/>
      <c r="E69" s="93"/>
      <c r="F69" s="4"/>
      <c r="G69" s="4"/>
      <c r="H69" s="4"/>
      <c r="I69" s="4"/>
      <c r="J69" s="10" t="b">
        <v>0</v>
      </c>
      <c r="K69" s="10" t="b">
        <v>0</v>
      </c>
      <c r="L69" s="10" t="b">
        <v>0</v>
      </c>
      <c r="M69" s="10" t="b">
        <v>0</v>
      </c>
      <c r="N69" s="10" t="b">
        <v>0</v>
      </c>
      <c r="O69" s="10" t="b">
        <v>0</v>
      </c>
      <c r="P69" s="10" t="b">
        <v>0</v>
      </c>
      <c r="Q69" s="10" t="b">
        <v>0</v>
      </c>
      <c r="R69" s="10" t="b">
        <v>0</v>
      </c>
      <c r="S69" s="10" t="b">
        <v>0</v>
      </c>
      <c r="T69" s="4"/>
      <c r="U69" s="6"/>
      <c r="V69" s="7"/>
      <c r="W69" s="104" t="b">
        <v>0</v>
      </c>
      <c r="X69" s="9"/>
      <c r="Y69" s="105"/>
      <c r="Z69" s="105"/>
      <c r="AA69" s="4"/>
      <c r="AB69" s="4"/>
      <c r="AC69" s="4"/>
      <c r="AD69" s="4"/>
    </row>
    <row r="70" hidden="1">
      <c r="A70" s="5" t="s">
        <v>22</v>
      </c>
      <c r="B70" s="4"/>
      <c r="C70" s="93"/>
      <c r="D70" s="8"/>
      <c r="E70" s="93"/>
      <c r="F70" s="4"/>
      <c r="G70" s="4"/>
      <c r="H70" s="4"/>
      <c r="I70" s="4"/>
      <c r="J70" s="10" t="b">
        <v>0</v>
      </c>
      <c r="K70" s="10" t="b">
        <v>0</v>
      </c>
      <c r="L70" s="10" t="b">
        <v>0</v>
      </c>
      <c r="M70" s="10" t="b">
        <v>0</v>
      </c>
      <c r="N70" s="10" t="b">
        <v>0</v>
      </c>
      <c r="O70" s="10" t="b">
        <v>0</v>
      </c>
      <c r="P70" s="10" t="b">
        <v>0</v>
      </c>
      <c r="Q70" s="10" t="b">
        <v>0</v>
      </c>
      <c r="R70" s="10" t="b">
        <v>0</v>
      </c>
      <c r="S70" s="10" t="b">
        <v>0</v>
      </c>
      <c r="T70" s="4"/>
      <c r="U70" s="6"/>
      <c r="V70" s="7"/>
      <c r="W70" s="104" t="b">
        <v>0</v>
      </c>
      <c r="X70" s="9"/>
      <c r="Y70" s="105"/>
      <c r="Z70" s="105"/>
      <c r="AA70" s="4"/>
      <c r="AB70" s="4"/>
      <c r="AC70" s="4"/>
      <c r="AD70" s="4"/>
    </row>
    <row r="71" hidden="1">
      <c r="A71" s="5" t="s">
        <v>22</v>
      </c>
      <c r="B71" s="4"/>
      <c r="C71" s="93"/>
      <c r="D71" s="8"/>
      <c r="E71" s="93"/>
      <c r="F71" s="4"/>
      <c r="G71" s="4"/>
      <c r="H71" s="4"/>
      <c r="I71" s="4"/>
      <c r="J71" s="10" t="b">
        <v>0</v>
      </c>
      <c r="K71" s="10" t="b">
        <v>0</v>
      </c>
      <c r="L71" s="10" t="b">
        <v>0</v>
      </c>
      <c r="M71" s="10" t="b">
        <v>0</v>
      </c>
      <c r="N71" s="10" t="b">
        <v>0</v>
      </c>
      <c r="O71" s="10" t="b">
        <v>0</v>
      </c>
      <c r="P71" s="10" t="b">
        <v>0</v>
      </c>
      <c r="Q71" s="10" t="b">
        <v>0</v>
      </c>
      <c r="R71" s="10" t="b">
        <v>0</v>
      </c>
      <c r="S71" s="10" t="b">
        <v>0</v>
      </c>
      <c r="T71" s="4"/>
      <c r="U71" s="6"/>
      <c r="V71" s="7"/>
      <c r="W71" s="104" t="b">
        <v>0</v>
      </c>
      <c r="X71" s="9"/>
      <c r="Y71" s="105"/>
      <c r="Z71" s="105"/>
      <c r="AA71" s="4"/>
      <c r="AB71" s="4"/>
      <c r="AC71" s="4"/>
      <c r="AD71" s="4"/>
    </row>
    <row r="72" hidden="1">
      <c r="A72" s="5" t="s">
        <v>22</v>
      </c>
      <c r="B72" s="4"/>
      <c r="C72" s="93"/>
      <c r="D72" s="8"/>
      <c r="E72" s="93"/>
      <c r="F72" s="4"/>
      <c r="G72" s="4"/>
      <c r="H72" s="4"/>
      <c r="I72" s="4"/>
      <c r="J72" s="10" t="b">
        <v>0</v>
      </c>
      <c r="K72" s="10" t="b">
        <v>0</v>
      </c>
      <c r="L72" s="10" t="b">
        <v>0</v>
      </c>
      <c r="M72" s="10" t="b">
        <v>0</v>
      </c>
      <c r="N72" s="10" t="b">
        <v>0</v>
      </c>
      <c r="O72" s="10" t="b">
        <v>0</v>
      </c>
      <c r="P72" s="10" t="b">
        <v>0</v>
      </c>
      <c r="Q72" s="10" t="b">
        <v>0</v>
      </c>
      <c r="R72" s="10" t="b">
        <v>0</v>
      </c>
      <c r="S72" s="10" t="b">
        <v>0</v>
      </c>
      <c r="T72" s="4"/>
      <c r="U72" s="6"/>
      <c r="V72" s="7"/>
      <c r="W72" s="104" t="b">
        <v>0</v>
      </c>
      <c r="X72" s="9"/>
      <c r="Y72" s="105"/>
      <c r="Z72" s="105"/>
      <c r="AA72" s="4"/>
      <c r="AB72" s="4"/>
      <c r="AC72" s="4"/>
      <c r="AD72" s="4"/>
    </row>
    <row r="73" hidden="1">
      <c r="A73" s="5" t="s">
        <v>22</v>
      </c>
      <c r="B73" s="4"/>
      <c r="C73" s="93"/>
      <c r="D73" s="8"/>
      <c r="E73" s="93"/>
      <c r="F73" s="4"/>
      <c r="G73" s="4"/>
      <c r="H73" s="4"/>
      <c r="I73" s="4"/>
      <c r="J73" s="10" t="b">
        <v>0</v>
      </c>
      <c r="K73" s="10" t="b">
        <v>0</v>
      </c>
      <c r="L73" s="10" t="b">
        <v>0</v>
      </c>
      <c r="M73" s="10" t="b">
        <v>0</v>
      </c>
      <c r="N73" s="10" t="b">
        <v>0</v>
      </c>
      <c r="O73" s="10" t="b">
        <v>0</v>
      </c>
      <c r="P73" s="10" t="b">
        <v>0</v>
      </c>
      <c r="Q73" s="10" t="b">
        <v>0</v>
      </c>
      <c r="R73" s="10" t="b">
        <v>0</v>
      </c>
      <c r="S73" s="10" t="b">
        <v>0</v>
      </c>
      <c r="T73" s="4"/>
      <c r="U73" s="6"/>
      <c r="V73" s="7"/>
      <c r="W73" s="104" t="b">
        <v>0</v>
      </c>
      <c r="X73" s="9"/>
      <c r="Y73" s="105"/>
      <c r="Z73" s="105"/>
      <c r="AA73" s="4"/>
      <c r="AB73" s="4"/>
      <c r="AC73" s="4"/>
      <c r="AD73" s="4"/>
    </row>
    <row r="74" hidden="1">
      <c r="A74" s="5" t="s">
        <v>22</v>
      </c>
      <c r="B74" s="4"/>
      <c r="C74" s="93"/>
      <c r="D74" s="8"/>
      <c r="E74" s="93"/>
      <c r="F74" s="4"/>
      <c r="G74" s="4"/>
      <c r="H74" s="4"/>
      <c r="I74" s="4"/>
      <c r="J74" s="10" t="b">
        <v>0</v>
      </c>
      <c r="K74" s="10" t="b">
        <v>0</v>
      </c>
      <c r="L74" s="10" t="b">
        <v>0</v>
      </c>
      <c r="M74" s="10" t="b">
        <v>0</v>
      </c>
      <c r="N74" s="10" t="b">
        <v>0</v>
      </c>
      <c r="O74" s="10" t="b">
        <v>0</v>
      </c>
      <c r="P74" s="10" t="b">
        <v>0</v>
      </c>
      <c r="Q74" s="10" t="b">
        <v>0</v>
      </c>
      <c r="R74" s="10" t="b">
        <v>0</v>
      </c>
      <c r="S74" s="10" t="b">
        <v>0</v>
      </c>
      <c r="T74" s="4"/>
      <c r="U74" s="6"/>
      <c r="V74" s="7"/>
      <c r="W74" s="104" t="b">
        <v>0</v>
      </c>
      <c r="X74" s="9"/>
      <c r="Y74" s="105"/>
      <c r="Z74" s="105"/>
      <c r="AA74" s="4"/>
      <c r="AB74" s="4"/>
      <c r="AC74" s="4"/>
      <c r="AD74" s="4"/>
    </row>
    <row r="75" hidden="1">
      <c r="A75" s="5" t="s">
        <v>22</v>
      </c>
      <c r="B75" s="4"/>
      <c r="C75" s="93"/>
      <c r="D75" s="8"/>
      <c r="E75" s="93"/>
      <c r="F75" s="4"/>
      <c r="G75" s="4"/>
      <c r="H75" s="4"/>
      <c r="I75" s="4"/>
      <c r="J75" s="10" t="b">
        <v>0</v>
      </c>
      <c r="K75" s="10" t="b">
        <v>0</v>
      </c>
      <c r="L75" s="10" t="b">
        <v>0</v>
      </c>
      <c r="M75" s="10" t="b">
        <v>0</v>
      </c>
      <c r="N75" s="10" t="b">
        <v>0</v>
      </c>
      <c r="O75" s="10" t="b">
        <v>0</v>
      </c>
      <c r="P75" s="10" t="b">
        <v>0</v>
      </c>
      <c r="Q75" s="10" t="b">
        <v>0</v>
      </c>
      <c r="R75" s="10" t="b">
        <v>0</v>
      </c>
      <c r="S75" s="10" t="b">
        <v>0</v>
      </c>
      <c r="T75" s="4"/>
      <c r="U75" s="6"/>
      <c r="V75" s="7"/>
      <c r="W75" s="104" t="b">
        <v>0</v>
      </c>
      <c r="X75" s="9"/>
      <c r="Y75" s="105"/>
      <c r="Z75" s="105"/>
      <c r="AA75" s="4"/>
      <c r="AB75" s="4"/>
      <c r="AC75" s="4"/>
      <c r="AD75" s="4"/>
    </row>
    <row r="76" hidden="1">
      <c r="A76" s="5" t="s">
        <v>22</v>
      </c>
      <c r="B76" s="4"/>
      <c r="C76" s="93"/>
      <c r="D76" s="8"/>
      <c r="E76" s="93"/>
      <c r="F76" s="4"/>
      <c r="G76" s="4"/>
      <c r="H76" s="4"/>
      <c r="I76" s="4"/>
      <c r="J76" s="10" t="b">
        <v>0</v>
      </c>
      <c r="K76" s="10" t="b">
        <v>0</v>
      </c>
      <c r="L76" s="10" t="b">
        <v>0</v>
      </c>
      <c r="M76" s="10" t="b">
        <v>0</v>
      </c>
      <c r="N76" s="10" t="b">
        <v>0</v>
      </c>
      <c r="O76" s="10" t="b">
        <v>0</v>
      </c>
      <c r="P76" s="10" t="b">
        <v>0</v>
      </c>
      <c r="Q76" s="10" t="b">
        <v>0</v>
      </c>
      <c r="R76" s="10" t="b">
        <v>0</v>
      </c>
      <c r="S76" s="10" t="b">
        <v>0</v>
      </c>
      <c r="T76" s="4"/>
      <c r="U76" s="6"/>
      <c r="V76" s="7"/>
      <c r="W76" s="104" t="b">
        <v>0</v>
      </c>
      <c r="X76" s="9"/>
      <c r="Y76" s="105"/>
      <c r="Z76" s="105"/>
      <c r="AA76" s="4"/>
      <c r="AB76" s="4"/>
      <c r="AC76" s="4"/>
      <c r="AD76" s="4"/>
    </row>
    <row r="77" hidden="1">
      <c r="A77" s="5" t="s">
        <v>22</v>
      </c>
      <c r="B77" s="4"/>
      <c r="C77" s="93"/>
      <c r="D77" s="8"/>
      <c r="E77" s="93"/>
      <c r="F77" s="4"/>
      <c r="G77" s="4"/>
      <c r="H77" s="4"/>
      <c r="I77" s="4"/>
      <c r="J77" s="10" t="b">
        <v>0</v>
      </c>
      <c r="K77" s="10" t="b">
        <v>0</v>
      </c>
      <c r="L77" s="10" t="b">
        <v>0</v>
      </c>
      <c r="M77" s="10" t="b">
        <v>0</v>
      </c>
      <c r="N77" s="10" t="b">
        <v>0</v>
      </c>
      <c r="O77" s="10" t="b">
        <v>0</v>
      </c>
      <c r="P77" s="10" t="b">
        <v>0</v>
      </c>
      <c r="Q77" s="10" t="b">
        <v>0</v>
      </c>
      <c r="R77" s="10" t="b">
        <v>0</v>
      </c>
      <c r="S77" s="10" t="b">
        <v>0</v>
      </c>
      <c r="T77" s="4"/>
      <c r="U77" s="6"/>
      <c r="V77" s="7"/>
      <c r="W77" s="104" t="b">
        <v>0</v>
      </c>
      <c r="X77" s="9"/>
      <c r="Y77" s="105"/>
      <c r="Z77" s="105"/>
      <c r="AA77" s="4"/>
      <c r="AB77" s="4"/>
      <c r="AC77" s="4"/>
      <c r="AD77" s="4"/>
    </row>
    <row r="78" hidden="1">
      <c r="A78" s="5" t="s">
        <v>22</v>
      </c>
      <c r="B78" s="4"/>
      <c r="C78" s="93"/>
      <c r="D78" s="8"/>
      <c r="E78" s="93"/>
      <c r="F78" s="4"/>
      <c r="G78" s="4"/>
      <c r="H78" s="4"/>
      <c r="I78" s="4"/>
      <c r="J78" s="10" t="b">
        <v>0</v>
      </c>
      <c r="K78" s="10" t="b">
        <v>0</v>
      </c>
      <c r="L78" s="10" t="b">
        <v>0</v>
      </c>
      <c r="M78" s="10" t="b">
        <v>0</v>
      </c>
      <c r="N78" s="10" t="b">
        <v>0</v>
      </c>
      <c r="O78" s="10" t="b">
        <v>0</v>
      </c>
      <c r="P78" s="10" t="b">
        <v>0</v>
      </c>
      <c r="Q78" s="10" t="b">
        <v>0</v>
      </c>
      <c r="R78" s="10" t="b">
        <v>0</v>
      </c>
      <c r="S78" s="10" t="b">
        <v>0</v>
      </c>
      <c r="T78" s="4"/>
      <c r="U78" s="6"/>
      <c r="V78" s="7"/>
      <c r="W78" s="104" t="b">
        <v>0</v>
      </c>
      <c r="X78" s="9"/>
      <c r="Y78" s="105"/>
      <c r="Z78" s="105"/>
      <c r="AA78" s="4"/>
      <c r="AB78" s="4"/>
      <c r="AC78" s="4"/>
      <c r="AD78" s="4"/>
    </row>
    <row r="79" hidden="1">
      <c r="A79" s="5" t="s">
        <v>22</v>
      </c>
      <c r="B79" s="4"/>
      <c r="C79" s="93"/>
      <c r="D79" s="8"/>
      <c r="E79" s="93"/>
      <c r="F79" s="4"/>
      <c r="G79" s="4"/>
      <c r="H79" s="4"/>
      <c r="I79" s="4"/>
      <c r="J79" s="10" t="b">
        <v>0</v>
      </c>
      <c r="K79" s="10" t="b">
        <v>0</v>
      </c>
      <c r="L79" s="10" t="b">
        <v>0</v>
      </c>
      <c r="M79" s="10" t="b">
        <v>0</v>
      </c>
      <c r="N79" s="10" t="b">
        <v>0</v>
      </c>
      <c r="O79" s="10" t="b">
        <v>0</v>
      </c>
      <c r="P79" s="10" t="b">
        <v>0</v>
      </c>
      <c r="Q79" s="10" t="b">
        <v>0</v>
      </c>
      <c r="R79" s="10" t="b">
        <v>0</v>
      </c>
      <c r="S79" s="10" t="b">
        <v>0</v>
      </c>
      <c r="T79" s="4"/>
      <c r="U79" s="6"/>
      <c r="V79" s="7"/>
      <c r="W79" s="104" t="b">
        <v>0</v>
      </c>
      <c r="X79" s="9"/>
      <c r="Y79" s="105"/>
      <c r="Z79" s="105"/>
      <c r="AA79" s="4"/>
      <c r="AB79" s="4"/>
      <c r="AC79" s="4"/>
      <c r="AD79" s="4"/>
    </row>
    <row r="80" hidden="1">
      <c r="A80" s="5" t="s">
        <v>22</v>
      </c>
      <c r="B80" s="4"/>
      <c r="C80" s="93"/>
      <c r="D80" s="8"/>
      <c r="E80" s="93"/>
      <c r="F80" s="4"/>
      <c r="G80" s="4"/>
      <c r="H80" s="4"/>
      <c r="I80" s="4"/>
      <c r="J80" s="10" t="b">
        <v>0</v>
      </c>
      <c r="K80" s="10" t="b">
        <v>0</v>
      </c>
      <c r="L80" s="10" t="b">
        <v>0</v>
      </c>
      <c r="M80" s="10" t="b">
        <v>0</v>
      </c>
      <c r="N80" s="10" t="b">
        <v>0</v>
      </c>
      <c r="O80" s="10" t="b">
        <v>0</v>
      </c>
      <c r="P80" s="10" t="b">
        <v>0</v>
      </c>
      <c r="Q80" s="10" t="b">
        <v>0</v>
      </c>
      <c r="R80" s="10" t="b">
        <v>0</v>
      </c>
      <c r="S80" s="10" t="b">
        <v>0</v>
      </c>
      <c r="T80" s="4"/>
      <c r="U80" s="6"/>
      <c r="V80" s="7"/>
      <c r="W80" s="104" t="b">
        <v>0</v>
      </c>
      <c r="X80" s="9"/>
      <c r="Y80" s="105"/>
      <c r="Z80" s="105"/>
      <c r="AA80" s="4"/>
      <c r="AB80" s="4"/>
      <c r="AC80" s="4"/>
      <c r="AD80" s="4"/>
    </row>
    <row r="81" hidden="1">
      <c r="A81" s="5" t="s">
        <v>22</v>
      </c>
      <c r="B81" s="4"/>
      <c r="C81" s="93"/>
      <c r="D81" s="8"/>
      <c r="E81" s="93"/>
      <c r="F81" s="4"/>
      <c r="G81" s="4"/>
      <c r="H81" s="4"/>
      <c r="I81" s="4"/>
      <c r="J81" s="10" t="b">
        <v>0</v>
      </c>
      <c r="K81" s="10" t="b">
        <v>0</v>
      </c>
      <c r="L81" s="10" t="b">
        <v>0</v>
      </c>
      <c r="M81" s="10" t="b">
        <v>0</v>
      </c>
      <c r="N81" s="10" t="b">
        <v>0</v>
      </c>
      <c r="O81" s="10" t="b">
        <v>0</v>
      </c>
      <c r="P81" s="10" t="b">
        <v>0</v>
      </c>
      <c r="Q81" s="10" t="b">
        <v>0</v>
      </c>
      <c r="R81" s="10" t="b">
        <v>0</v>
      </c>
      <c r="S81" s="10" t="b">
        <v>0</v>
      </c>
      <c r="T81" s="4"/>
      <c r="U81" s="6"/>
      <c r="V81" s="7"/>
      <c r="W81" s="104" t="b">
        <v>0</v>
      </c>
      <c r="X81" s="9"/>
      <c r="Y81" s="105"/>
      <c r="Z81" s="105"/>
      <c r="AA81" s="4"/>
      <c r="AB81" s="4"/>
      <c r="AC81" s="4"/>
      <c r="AD81" s="4"/>
    </row>
    <row r="82" hidden="1">
      <c r="A82" s="5" t="s">
        <v>22</v>
      </c>
      <c r="B82" s="4"/>
      <c r="C82" s="93"/>
      <c r="D82" s="8"/>
      <c r="E82" s="93"/>
      <c r="F82" s="4"/>
      <c r="G82" s="4"/>
      <c r="H82" s="4"/>
      <c r="I82" s="4"/>
      <c r="J82" s="10" t="b">
        <v>0</v>
      </c>
      <c r="K82" s="10" t="b">
        <v>0</v>
      </c>
      <c r="L82" s="10" t="b">
        <v>0</v>
      </c>
      <c r="M82" s="10" t="b">
        <v>0</v>
      </c>
      <c r="N82" s="10" t="b">
        <v>0</v>
      </c>
      <c r="O82" s="10" t="b">
        <v>0</v>
      </c>
      <c r="P82" s="10" t="b">
        <v>0</v>
      </c>
      <c r="Q82" s="10" t="b">
        <v>0</v>
      </c>
      <c r="R82" s="10" t="b">
        <v>0</v>
      </c>
      <c r="S82" s="10" t="b">
        <v>0</v>
      </c>
      <c r="T82" s="4"/>
      <c r="U82" s="6"/>
      <c r="V82" s="7"/>
      <c r="W82" s="104" t="b">
        <v>0</v>
      </c>
      <c r="X82" s="9"/>
      <c r="Y82" s="105"/>
      <c r="Z82" s="105"/>
      <c r="AA82" s="4"/>
      <c r="AB82" s="4"/>
      <c r="AC82" s="4"/>
      <c r="AD82" s="4"/>
    </row>
    <row r="83" hidden="1">
      <c r="A83" s="5" t="s">
        <v>22</v>
      </c>
      <c r="B83" s="4"/>
      <c r="C83" s="93"/>
      <c r="D83" s="8"/>
      <c r="E83" s="93"/>
      <c r="F83" s="4"/>
      <c r="G83" s="4"/>
      <c r="H83" s="4"/>
      <c r="I83" s="4"/>
      <c r="J83" s="10" t="b">
        <v>0</v>
      </c>
      <c r="K83" s="10" t="b">
        <v>0</v>
      </c>
      <c r="L83" s="10" t="b">
        <v>0</v>
      </c>
      <c r="M83" s="10" t="b">
        <v>0</v>
      </c>
      <c r="N83" s="10" t="b">
        <v>0</v>
      </c>
      <c r="O83" s="10" t="b">
        <v>0</v>
      </c>
      <c r="P83" s="10" t="b">
        <v>0</v>
      </c>
      <c r="Q83" s="10" t="b">
        <v>0</v>
      </c>
      <c r="R83" s="10" t="b">
        <v>0</v>
      </c>
      <c r="S83" s="10" t="b">
        <v>0</v>
      </c>
      <c r="T83" s="4"/>
      <c r="U83" s="6"/>
      <c r="V83" s="7"/>
      <c r="W83" s="104" t="b">
        <v>0</v>
      </c>
      <c r="X83" s="9"/>
      <c r="Y83" s="105"/>
      <c r="Z83" s="105"/>
      <c r="AA83" s="4"/>
      <c r="AB83" s="4"/>
      <c r="AC83" s="4"/>
      <c r="AD83" s="4"/>
    </row>
    <row r="84" hidden="1">
      <c r="A84" s="5" t="s">
        <v>22</v>
      </c>
      <c r="B84" s="4"/>
      <c r="C84" s="93"/>
      <c r="D84" s="8"/>
      <c r="E84" s="93"/>
      <c r="F84" s="4"/>
      <c r="G84" s="4"/>
      <c r="H84" s="4"/>
      <c r="I84" s="4"/>
      <c r="J84" s="10" t="b">
        <v>0</v>
      </c>
      <c r="K84" s="10" t="b">
        <v>0</v>
      </c>
      <c r="L84" s="10" t="b">
        <v>0</v>
      </c>
      <c r="M84" s="10" t="b">
        <v>0</v>
      </c>
      <c r="N84" s="10" t="b">
        <v>0</v>
      </c>
      <c r="O84" s="10" t="b">
        <v>0</v>
      </c>
      <c r="P84" s="10" t="b">
        <v>0</v>
      </c>
      <c r="Q84" s="10" t="b">
        <v>0</v>
      </c>
      <c r="R84" s="10" t="b">
        <v>0</v>
      </c>
      <c r="S84" s="10" t="b">
        <v>0</v>
      </c>
      <c r="T84" s="4"/>
      <c r="U84" s="6"/>
      <c r="V84" s="7"/>
      <c r="W84" s="104" t="b">
        <v>0</v>
      </c>
      <c r="X84" s="9"/>
      <c r="Y84" s="105"/>
      <c r="Z84" s="105"/>
      <c r="AA84" s="4"/>
      <c r="AB84" s="4"/>
      <c r="AC84" s="4"/>
      <c r="AD84" s="4"/>
    </row>
    <row r="85" hidden="1">
      <c r="A85" s="5" t="s">
        <v>22</v>
      </c>
      <c r="B85" s="4"/>
      <c r="C85" s="93"/>
      <c r="D85" s="8"/>
      <c r="E85" s="93"/>
      <c r="F85" s="4"/>
      <c r="G85" s="4"/>
      <c r="H85" s="4"/>
      <c r="I85" s="4"/>
      <c r="J85" s="10" t="b">
        <v>0</v>
      </c>
      <c r="K85" s="10" t="b">
        <v>0</v>
      </c>
      <c r="L85" s="10" t="b">
        <v>0</v>
      </c>
      <c r="M85" s="10" t="b">
        <v>0</v>
      </c>
      <c r="N85" s="10" t="b">
        <v>0</v>
      </c>
      <c r="O85" s="10" t="b">
        <v>0</v>
      </c>
      <c r="P85" s="10" t="b">
        <v>0</v>
      </c>
      <c r="Q85" s="10" t="b">
        <v>0</v>
      </c>
      <c r="R85" s="10" t="b">
        <v>0</v>
      </c>
      <c r="S85" s="10" t="b">
        <v>0</v>
      </c>
      <c r="T85" s="4"/>
      <c r="U85" s="6"/>
      <c r="V85" s="7"/>
      <c r="W85" s="104" t="b">
        <v>0</v>
      </c>
      <c r="X85" s="9"/>
      <c r="Y85" s="105"/>
      <c r="Z85" s="105"/>
      <c r="AA85" s="4"/>
      <c r="AB85" s="4"/>
      <c r="AC85" s="4"/>
      <c r="AD85" s="4"/>
    </row>
    <row r="86" hidden="1">
      <c r="A86" s="5" t="s">
        <v>22</v>
      </c>
      <c r="B86" s="4"/>
      <c r="C86" s="93"/>
      <c r="D86" s="8"/>
      <c r="E86" s="93"/>
      <c r="F86" s="4"/>
      <c r="G86" s="4"/>
      <c r="H86" s="4"/>
      <c r="I86" s="4"/>
      <c r="J86" s="10" t="b">
        <v>0</v>
      </c>
      <c r="K86" s="10" t="b">
        <v>0</v>
      </c>
      <c r="L86" s="10" t="b">
        <v>0</v>
      </c>
      <c r="M86" s="10" t="b">
        <v>0</v>
      </c>
      <c r="N86" s="10" t="b">
        <v>0</v>
      </c>
      <c r="O86" s="10" t="b">
        <v>0</v>
      </c>
      <c r="P86" s="10" t="b">
        <v>0</v>
      </c>
      <c r="Q86" s="10" t="b">
        <v>0</v>
      </c>
      <c r="R86" s="10" t="b">
        <v>0</v>
      </c>
      <c r="S86" s="10" t="b">
        <v>0</v>
      </c>
      <c r="T86" s="4"/>
      <c r="U86" s="6"/>
      <c r="V86" s="7"/>
      <c r="W86" s="104" t="b">
        <v>0</v>
      </c>
      <c r="X86" s="9"/>
      <c r="Y86" s="105"/>
      <c r="Z86" s="105"/>
      <c r="AA86" s="4"/>
      <c r="AB86" s="4"/>
      <c r="AC86" s="4"/>
      <c r="AD86" s="4"/>
    </row>
    <row r="87" hidden="1">
      <c r="A87" s="5" t="s">
        <v>22</v>
      </c>
      <c r="B87" s="4"/>
      <c r="C87" s="93"/>
      <c r="D87" s="8"/>
      <c r="E87" s="93"/>
      <c r="F87" s="4"/>
      <c r="G87" s="4"/>
      <c r="H87" s="4"/>
      <c r="I87" s="4"/>
      <c r="J87" s="10" t="b">
        <v>0</v>
      </c>
      <c r="K87" s="10" t="b">
        <v>0</v>
      </c>
      <c r="L87" s="10" t="b">
        <v>0</v>
      </c>
      <c r="M87" s="10" t="b">
        <v>0</v>
      </c>
      <c r="N87" s="10" t="b">
        <v>0</v>
      </c>
      <c r="O87" s="10" t="b">
        <v>0</v>
      </c>
      <c r="P87" s="10" t="b">
        <v>0</v>
      </c>
      <c r="Q87" s="10" t="b">
        <v>0</v>
      </c>
      <c r="R87" s="10" t="b">
        <v>0</v>
      </c>
      <c r="S87" s="10" t="b">
        <v>0</v>
      </c>
      <c r="T87" s="4"/>
      <c r="U87" s="6"/>
      <c r="V87" s="7"/>
      <c r="W87" s="104" t="b">
        <v>0</v>
      </c>
      <c r="X87" s="9"/>
      <c r="Y87" s="105"/>
      <c r="Z87" s="105"/>
      <c r="AA87" s="4"/>
      <c r="AB87" s="4"/>
      <c r="AC87" s="4"/>
      <c r="AD87" s="4"/>
    </row>
    <row r="88" hidden="1">
      <c r="A88" s="5" t="s">
        <v>22</v>
      </c>
      <c r="B88" s="4"/>
      <c r="C88" s="93"/>
      <c r="D88" s="8"/>
      <c r="E88" s="93"/>
      <c r="F88" s="4"/>
      <c r="G88" s="4"/>
      <c r="H88" s="4"/>
      <c r="I88" s="4"/>
      <c r="J88" s="10" t="b">
        <v>0</v>
      </c>
      <c r="K88" s="10" t="b">
        <v>0</v>
      </c>
      <c r="L88" s="10" t="b">
        <v>0</v>
      </c>
      <c r="M88" s="10" t="b">
        <v>0</v>
      </c>
      <c r="N88" s="10" t="b">
        <v>0</v>
      </c>
      <c r="O88" s="10" t="b">
        <v>0</v>
      </c>
      <c r="P88" s="10" t="b">
        <v>0</v>
      </c>
      <c r="Q88" s="10" t="b">
        <v>0</v>
      </c>
      <c r="R88" s="10" t="b">
        <v>0</v>
      </c>
      <c r="S88" s="10" t="b">
        <v>0</v>
      </c>
      <c r="T88" s="4"/>
      <c r="U88" s="6"/>
      <c r="V88" s="7"/>
      <c r="W88" s="104" t="b">
        <v>0</v>
      </c>
      <c r="X88" s="9"/>
      <c r="Y88" s="105"/>
      <c r="Z88" s="105"/>
      <c r="AA88" s="4"/>
      <c r="AB88" s="4"/>
      <c r="AC88" s="4"/>
      <c r="AD88" s="4"/>
    </row>
    <row r="89" hidden="1">
      <c r="A89" s="5" t="s">
        <v>22</v>
      </c>
      <c r="B89" s="4"/>
      <c r="C89" s="93"/>
      <c r="D89" s="8"/>
      <c r="E89" s="93"/>
      <c r="F89" s="4"/>
      <c r="G89" s="4"/>
      <c r="H89" s="4"/>
      <c r="I89" s="4"/>
      <c r="J89" s="10" t="b">
        <v>0</v>
      </c>
      <c r="K89" s="10" t="b">
        <v>0</v>
      </c>
      <c r="L89" s="10" t="b">
        <v>0</v>
      </c>
      <c r="M89" s="10" t="b">
        <v>0</v>
      </c>
      <c r="N89" s="10" t="b">
        <v>0</v>
      </c>
      <c r="O89" s="10" t="b">
        <v>0</v>
      </c>
      <c r="P89" s="10" t="b">
        <v>0</v>
      </c>
      <c r="Q89" s="10" t="b">
        <v>0</v>
      </c>
      <c r="R89" s="10" t="b">
        <v>0</v>
      </c>
      <c r="S89" s="10" t="b">
        <v>0</v>
      </c>
      <c r="T89" s="4"/>
      <c r="U89" s="6"/>
      <c r="V89" s="7"/>
      <c r="W89" s="104" t="b">
        <v>0</v>
      </c>
      <c r="X89" s="9"/>
      <c r="Y89" s="105"/>
      <c r="Z89" s="105"/>
      <c r="AA89" s="4"/>
      <c r="AB89" s="4"/>
      <c r="AC89" s="4"/>
      <c r="AD89" s="4"/>
    </row>
    <row r="90" hidden="1">
      <c r="A90" s="5" t="s">
        <v>22</v>
      </c>
      <c r="B90" s="4"/>
      <c r="C90" s="93"/>
      <c r="D90" s="8"/>
      <c r="E90" s="93"/>
      <c r="F90" s="4"/>
      <c r="G90" s="4"/>
      <c r="H90" s="4"/>
      <c r="I90" s="4"/>
      <c r="J90" s="10" t="b">
        <v>0</v>
      </c>
      <c r="K90" s="10" t="b">
        <v>0</v>
      </c>
      <c r="L90" s="10" t="b">
        <v>0</v>
      </c>
      <c r="M90" s="10" t="b">
        <v>0</v>
      </c>
      <c r="N90" s="10" t="b">
        <v>0</v>
      </c>
      <c r="O90" s="10" t="b">
        <v>0</v>
      </c>
      <c r="P90" s="10" t="b">
        <v>0</v>
      </c>
      <c r="Q90" s="10" t="b">
        <v>0</v>
      </c>
      <c r="R90" s="10" t="b">
        <v>0</v>
      </c>
      <c r="S90" s="10" t="b">
        <v>0</v>
      </c>
      <c r="T90" s="4"/>
      <c r="U90" s="6"/>
      <c r="V90" s="7"/>
      <c r="W90" s="104" t="b">
        <v>0</v>
      </c>
      <c r="X90" s="9"/>
      <c r="Y90" s="105"/>
      <c r="Z90" s="105"/>
      <c r="AA90" s="4"/>
      <c r="AB90" s="4"/>
      <c r="AC90" s="4"/>
      <c r="AD90" s="4"/>
    </row>
    <row r="91" hidden="1">
      <c r="A91" s="5" t="s">
        <v>22</v>
      </c>
      <c r="B91" s="4"/>
      <c r="C91" s="93"/>
      <c r="D91" s="8"/>
      <c r="E91" s="93"/>
      <c r="F91" s="4"/>
      <c r="G91" s="4"/>
      <c r="H91" s="4"/>
      <c r="I91" s="4"/>
      <c r="J91" s="10" t="b">
        <v>0</v>
      </c>
      <c r="K91" s="10" t="b">
        <v>0</v>
      </c>
      <c r="L91" s="10" t="b">
        <v>0</v>
      </c>
      <c r="M91" s="10" t="b">
        <v>0</v>
      </c>
      <c r="N91" s="10" t="b">
        <v>0</v>
      </c>
      <c r="O91" s="10" t="b">
        <v>0</v>
      </c>
      <c r="P91" s="10" t="b">
        <v>0</v>
      </c>
      <c r="Q91" s="10" t="b">
        <v>0</v>
      </c>
      <c r="R91" s="10" t="b">
        <v>0</v>
      </c>
      <c r="S91" s="10" t="b">
        <v>0</v>
      </c>
      <c r="T91" s="4"/>
      <c r="U91" s="6"/>
      <c r="V91" s="7"/>
      <c r="W91" s="104" t="b">
        <v>0</v>
      </c>
      <c r="X91" s="9"/>
      <c r="Y91" s="105"/>
      <c r="Z91" s="105"/>
      <c r="AA91" s="4"/>
      <c r="AB91" s="4"/>
      <c r="AC91" s="4"/>
      <c r="AD91" s="4"/>
    </row>
    <row r="92" hidden="1">
      <c r="A92" s="5" t="s">
        <v>22</v>
      </c>
      <c r="B92" s="4"/>
      <c r="C92" s="93"/>
      <c r="D92" s="8"/>
      <c r="E92" s="93"/>
      <c r="F92" s="4"/>
      <c r="G92" s="4"/>
      <c r="H92" s="4"/>
      <c r="I92" s="4"/>
      <c r="J92" s="10" t="b">
        <v>0</v>
      </c>
      <c r="K92" s="10" t="b">
        <v>0</v>
      </c>
      <c r="L92" s="10" t="b">
        <v>0</v>
      </c>
      <c r="M92" s="10" t="b">
        <v>0</v>
      </c>
      <c r="N92" s="10" t="b">
        <v>0</v>
      </c>
      <c r="O92" s="10" t="b">
        <v>0</v>
      </c>
      <c r="P92" s="10" t="b">
        <v>0</v>
      </c>
      <c r="Q92" s="10" t="b">
        <v>0</v>
      </c>
      <c r="R92" s="10" t="b">
        <v>0</v>
      </c>
      <c r="S92" s="10" t="b">
        <v>0</v>
      </c>
      <c r="T92" s="4"/>
      <c r="U92" s="6"/>
      <c r="V92" s="7"/>
      <c r="W92" s="104" t="b">
        <v>0</v>
      </c>
      <c r="X92" s="9"/>
      <c r="Y92" s="105"/>
      <c r="Z92" s="105"/>
      <c r="AA92" s="4"/>
      <c r="AB92" s="4"/>
      <c r="AC92" s="4"/>
      <c r="AD92" s="4"/>
    </row>
    <row r="93" hidden="1">
      <c r="A93" s="5" t="s">
        <v>22</v>
      </c>
      <c r="B93" s="4"/>
      <c r="C93" s="93"/>
      <c r="D93" s="8"/>
      <c r="E93" s="93"/>
      <c r="F93" s="4"/>
      <c r="G93" s="4"/>
      <c r="H93" s="4"/>
      <c r="I93" s="4"/>
      <c r="J93" s="10" t="b">
        <v>0</v>
      </c>
      <c r="K93" s="10" t="b">
        <v>0</v>
      </c>
      <c r="L93" s="10" t="b">
        <v>0</v>
      </c>
      <c r="M93" s="10" t="b">
        <v>0</v>
      </c>
      <c r="N93" s="10" t="b">
        <v>0</v>
      </c>
      <c r="O93" s="10" t="b">
        <v>0</v>
      </c>
      <c r="P93" s="10" t="b">
        <v>0</v>
      </c>
      <c r="Q93" s="10" t="b">
        <v>0</v>
      </c>
      <c r="R93" s="10" t="b">
        <v>0</v>
      </c>
      <c r="S93" s="10" t="b">
        <v>0</v>
      </c>
      <c r="T93" s="4"/>
      <c r="U93" s="6"/>
      <c r="V93" s="7"/>
      <c r="W93" s="104" t="b">
        <v>0</v>
      </c>
      <c r="X93" s="9"/>
      <c r="Y93" s="105"/>
      <c r="Z93" s="105"/>
      <c r="AA93" s="4"/>
      <c r="AB93" s="4"/>
      <c r="AC93" s="4"/>
      <c r="AD93" s="4"/>
    </row>
    <row r="94" hidden="1">
      <c r="A94" s="5" t="s">
        <v>22</v>
      </c>
      <c r="B94" s="4"/>
      <c r="C94" s="93"/>
      <c r="D94" s="8"/>
      <c r="E94" s="93"/>
      <c r="F94" s="4"/>
      <c r="G94" s="4"/>
      <c r="H94" s="4"/>
      <c r="I94" s="4"/>
      <c r="J94" s="10" t="b">
        <v>0</v>
      </c>
      <c r="K94" s="10" t="b">
        <v>0</v>
      </c>
      <c r="L94" s="10" t="b">
        <v>0</v>
      </c>
      <c r="M94" s="10" t="b">
        <v>0</v>
      </c>
      <c r="N94" s="10" t="b">
        <v>0</v>
      </c>
      <c r="O94" s="10" t="b">
        <v>0</v>
      </c>
      <c r="P94" s="10" t="b">
        <v>0</v>
      </c>
      <c r="Q94" s="10" t="b">
        <v>0</v>
      </c>
      <c r="R94" s="10" t="b">
        <v>0</v>
      </c>
      <c r="S94" s="10" t="b">
        <v>0</v>
      </c>
      <c r="T94" s="4"/>
      <c r="U94" s="6"/>
      <c r="V94" s="7"/>
      <c r="W94" s="104" t="b">
        <v>0</v>
      </c>
      <c r="X94" s="9"/>
      <c r="Y94" s="105"/>
      <c r="Z94" s="105"/>
      <c r="AA94" s="4"/>
      <c r="AB94" s="4"/>
      <c r="AC94" s="4"/>
      <c r="AD94" s="4"/>
    </row>
    <row r="95" hidden="1">
      <c r="A95" s="5" t="s">
        <v>22</v>
      </c>
      <c r="B95" s="4"/>
      <c r="C95" s="93"/>
      <c r="D95" s="8"/>
      <c r="E95" s="93"/>
      <c r="F95" s="4"/>
      <c r="G95" s="4"/>
      <c r="H95" s="4"/>
      <c r="I95" s="4"/>
      <c r="J95" s="10" t="b">
        <v>0</v>
      </c>
      <c r="K95" s="10" t="b">
        <v>0</v>
      </c>
      <c r="L95" s="10" t="b">
        <v>0</v>
      </c>
      <c r="M95" s="10" t="b">
        <v>0</v>
      </c>
      <c r="N95" s="10" t="b">
        <v>0</v>
      </c>
      <c r="O95" s="10" t="b">
        <v>0</v>
      </c>
      <c r="P95" s="10" t="b">
        <v>0</v>
      </c>
      <c r="Q95" s="10" t="b">
        <v>0</v>
      </c>
      <c r="R95" s="10" t="b">
        <v>0</v>
      </c>
      <c r="S95" s="10" t="b">
        <v>0</v>
      </c>
      <c r="T95" s="4"/>
      <c r="U95" s="6"/>
      <c r="V95" s="7"/>
      <c r="W95" s="104" t="b">
        <v>0</v>
      </c>
      <c r="X95" s="9"/>
      <c r="Y95" s="105"/>
      <c r="Z95" s="105"/>
      <c r="AA95" s="4"/>
      <c r="AB95" s="4"/>
      <c r="AC95" s="4"/>
      <c r="AD95" s="4"/>
    </row>
    <row r="96" hidden="1">
      <c r="A96" s="5" t="s">
        <v>22</v>
      </c>
      <c r="B96" s="4"/>
      <c r="C96" s="93"/>
      <c r="D96" s="8"/>
      <c r="E96" s="93"/>
      <c r="F96" s="4"/>
      <c r="G96" s="4"/>
      <c r="H96" s="4"/>
      <c r="I96" s="4"/>
      <c r="J96" s="10" t="b">
        <v>0</v>
      </c>
      <c r="K96" s="10" t="b">
        <v>0</v>
      </c>
      <c r="L96" s="10" t="b">
        <v>0</v>
      </c>
      <c r="M96" s="10" t="b">
        <v>0</v>
      </c>
      <c r="N96" s="10" t="b">
        <v>0</v>
      </c>
      <c r="O96" s="10" t="b">
        <v>0</v>
      </c>
      <c r="P96" s="10" t="b">
        <v>0</v>
      </c>
      <c r="Q96" s="10" t="b">
        <v>0</v>
      </c>
      <c r="R96" s="10" t="b">
        <v>0</v>
      </c>
      <c r="S96" s="10" t="b">
        <v>0</v>
      </c>
      <c r="T96" s="4"/>
      <c r="U96" s="6"/>
      <c r="V96" s="7"/>
      <c r="W96" s="104" t="b">
        <v>0</v>
      </c>
      <c r="X96" s="9"/>
      <c r="Y96" s="105"/>
      <c r="Z96" s="105"/>
      <c r="AA96" s="4"/>
      <c r="AB96" s="4"/>
      <c r="AC96" s="4"/>
      <c r="AD96" s="4"/>
    </row>
    <row r="97" hidden="1">
      <c r="A97" s="5" t="s">
        <v>22</v>
      </c>
      <c r="B97" s="4"/>
      <c r="C97" s="93"/>
      <c r="D97" s="8"/>
      <c r="E97" s="93"/>
      <c r="F97" s="4"/>
      <c r="G97" s="4"/>
      <c r="H97" s="4"/>
      <c r="I97" s="4"/>
      <c r="J97" s="10" t="b">
        <v>0</v>
      </c>
      <c r="K97" s="10" t="b">
        <v>0</v>
      </c>
      <c r="L97" s="10" t="b">
        <v>0</v>
      </c>
      <c r="M97" s="10" t="b">
        <v>0</v>
      </c>
      <c r="N97" s="10" t="b">
        <v>0</v>
      </c>
      <c r="O97" s="10" t="b">
        <v>0</v>
      </c>
      <c r="P97" s="10" t="b">
        <v>0</v>
      </c>
      <c r="Q97" s="10" t="b">
        <v>0</v>
      </c>
      <c r="R97" s="10" t="b">
        <v>0</v>
      </c>
      <c r="S97" s="10" t="b">
        <v>0</v>
      </c>
      <c r="T97" s="4"/>
      <c r="U97" s="6"/>
      <c r="V97" s="7"/>
      <c r="W97" s="104" t="b">
        <v>0</v>
      </c>
      <c r="X97" s="9"/>
      <c r="Y97" s="105"/>
      <c r="Z97" s="105"/>
      <c r="AA97" s="4"/>
      <c r="AB97" s="4"/>
      <c r="AC97" s="4"/>
      <c r="AD97" s="4"/>
    </row>
    <row r="98" hidden="1">
      <c r="A98" s="5" t="s">
        <v>22</v>
      </c>
      <c r="B98" s="4"/>
      <c r="C98" s="93"/>
      <c r="D98" s="8"/>
      <c r="E98" s="93"/>
      <c r="F98" s="4"/>
      <c r="G98" s="4"/>
      <c r="H98" s="4"/>
      <c r="I98" s="4"/>
      <c r="J98" s="10" t="b">
        <v>0</v>
      </c>
      <c r="K98" s="10" t="b">
        <v>0</v>
      </c>
      <c r="L98" s="10" t="b">
        <v>0</v>
      </c>
      <c r="M98" s="10" t="b">
        <v>0</v>
      </c>
      <c r="N98" s="10" t="b">
        <v>0</v>
      </c>
      <c r="O98" s="10" t="b">
        <v>0</v>
      </c>
      <c r="P98" s="10" t="b">
        <v>0</v>
      </c>
      <c r="Q98" s="10" t="b">
        <v>0</v>
      </c>
      <c r="R98" s="10" t="b">
        <v>0</v>
      </c>
      <c r="S98" s="10" t="b">
        <v>0</v>
      </c>
      <c r="T98" s="4"/>
      <c r="U98" s="6"/>
      <c r="V98" s="7"/>
      <c r="W98" s="104" t="b">
        <v>0</v>
      </c>
      <c r="X98" s="9"/>
      <c r="Y98" s="105"/>
      <c r="Z98" s="105"/>
      <c r="AA98" s="4"/>
      <c r="AB98" s="4"/>
      <c r="AC98" s="4"/>
      <c r="AD98" s="4"/>
    </row>
    <row r="99">
      <c r="A99" s="4"/>
      <c r="B99" s="4"/>
      <c r="C99" s="93"/>
      <c r="D99" s="4"/>
      <c r="E99" s="9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93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93"/>
      <c r="D100" s="4"/>
      <c r="E100" s="9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93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93"/>
      <c r="D101" s="4"/>
      <c r="E101" s="9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93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93"/>
      <c r="D102" s="4"/>
      <c r="E102" s="9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93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93"/>
      <c r="D103" s="4"/>
      <c r="E103" s="9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93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93"/>
      <c r="D104" s="4"/>
      <c r="E104" s="9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93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93"/>
      <c r="D105" s="4"/>
      <c r="E105" s="9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93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93"/>
      <c r="D106" s="4"/>
      <c r="E106" s="9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93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93"/>
      <c r="D107" s="4"/>
      <c r="E107" s="9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93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93"/>
      <c r="D108" s="4"/>
      <c r="E108" s="9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93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93"/>
      <c r="D109" s="4"/>
      <c r="E109" s="9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93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93"/>
      <c r="D110" s="4"/>
      <c r="E110" s="9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93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93"/>
      <c r="D111" s="4"/>
      <c r="E111" s="9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93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93"/>
      <c r="D112" s="4"/>
      <c r="E112" s="9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93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93"/>
      <c r="D113" s="4"/>
      <c r="E113" s="9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93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93"/>
      <c r="D114" s="4"/>
      <c r="E114" s="9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93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93"/>
      <c r="D115" s="4"/>
      <c r="E115" s="9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93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93"/>
      <c r="D116" s="4"/>
      <c r="E116" s="9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93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93"/>
      <c r="D117" s="4"/>
      <c r="E117" s="9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93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93"/>
      <c r="D118" s="4"/>
      <c r="E118" s="9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93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93"/>
      <c r="D119" s="4"/>
      <c r="E119" s="9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93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93"/>
      <c r="D120" s="4"/>
      <c r="E120" s="9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93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93"/>
      <c r="D121" s="4"/>
      <c r="E121" s="9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93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93"/>
      <c r="D122" s="4"/>
      <c r="E122" s="9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93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93"/>
      <c r="D123" s="4"/>
      <c r="E123" s="9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93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93"/>
      <c r="D124" s="4"/>
      <c r="E124" s="9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93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93"/>
      <c r="D125" s="4"/>
      <c r="E125" s="9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93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93"/>
      <c r="D126" s="4"/>
      <c r="E126" s="9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93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93"/>
      <c r="D127" s="4"/>
      <c r="E127" s="9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93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93"/>
      <c r="D128" s="4"/>
      <c r="E128" s="9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93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93"/>
      <c r="D129" s="4"/>
      <c r="E129" s="9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93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93"/>
      <c r="D130" s="4"/>
      <c r="E130" s="9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93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93"/>
      <c r="D131" s="4"/>
      <c r="E131" s="9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93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93"/>
      <c r="D132" s="4"/>
      <c r="E132" s="9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93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93"/>
      <c r="D133" s="4"/>
      <c r="E133" s="9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93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93"/>
      <c r="D134" s="4"/>
      <c r="E134" s="9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93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93"/>
      <c r="D135" s="4"/>
      <c r="E135" s="9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93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93"/>
      <c r="D136" s="4"/>
      <c r="E136" s="9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93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93"/>
      <c r="D137" s="4"/>
      <c r="E137" s="9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93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93"/>
      <c r="D138" s="4"/>
      <c r="E138" s="9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93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93"/>
      <c r="D139" s="4"/>
      <c r="E139" s="9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93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93"/>
      <c r="D140" s="4"/>
      <c r="E140" s="9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93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93"/>
      <c r="D141" s="4"/>
      <c r="E141" s="9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93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93"/>
      <c r="D142" s="4"/>
      <c r="E142" s="9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93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93"/>
      <c r="D143" s="4"/>
      <c r="E143" s="9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93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93"/>
      <c r="D144" s="4"/>
      <c r="E144" s="9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93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93"/>
      <c r="D145" s="4"/>
      <c r="E145" s="9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93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93"/>
      <c r="D146" s="4"/>
      <c r="E146" s="9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93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93"/>
      <c r="D147" s="4"/>
      <c r="E147" s="9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93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93"/>
      <c r="D148" s="4"/>
      <c r="E148" s="9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93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93"/>
      <c r="D149" s="4"/>
      <c r="E149" s="9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93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93"/>
      <c r="D150" s="4"/>
      <c r="E150" s="9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93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93"/>
      <c r="D151" s="4"/>
      <c r="E151" s="9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93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93"/>
      <c r="D152" s="4"/>
      <c r="E152" s="9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93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93"/>
      <c r="D153" s="4"/>
      <c r="E153" s="9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93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93"/>
      <c r="D154" s="4"/>
      <c r="E154" s="9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93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93"/>
      <c r="D155" s="4"/>
      <c r="E155" s="9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93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93"/>
      <c r="D156" s="4"/>
      <c r="E156" s="9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93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93"/>
      <c r="D157" s="4"/>
      <c r="E157" s="9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93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93"/>
      <c r="D158" s="4"/>
      <c r="E158" s="9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93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93"/>
      <c r="D159" s="4"/>
      <c r="E159" s="9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93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93"/>
      <c r="D160" s="4"/>
      <c r="E160" s="9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93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93"/>
      <c r="D161" s="4"/>
      <c r="E161" s="9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93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93"/>
      <c r="D162" s="4"/>
      <c r="E162" s="9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93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93"/>
      <c r="D163" s="4"/>
      <c r="E163" s="9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93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93"/>
      <c r="D164" s="4"/>
      <c r="E164" s="9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93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93"/>
      <c r="D165" s="4"/>
      <c r="E165" s="9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93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93"/>
      <c r="D166" s="4"/>
      <c r="E166" s="9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93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93"/>
      <c r="D167" s="4"/>
      <c r="E167" s="9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93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93"/>
      <c r="D168" s="4"/>
      <c r="E168" s="9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93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93"/>
      <c r="D169" s="4"/>
      <c r="E169" s="9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93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93"/>
      <c r="D170" s="4"/>
      <c r="E170" s="9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93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93"/>
      <c r="D171" s="4"/>
      <c r="E171" s="9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93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93"/>
      <c r="D172" s="4"/>
      <c r="E172" s="9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93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93"/>
      <c r="D173" s="4"/>
      <c r="E173" s="9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93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93"/>
      <c r="D174" s="4"/>
      <c r="E174" s="9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93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93"/>
      <c r="D175" s="4"/>
      <c r="E175" s="9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93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93"/>
      <c r="D176" s="4"/>
      <c r="E176" s="9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93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93"/>
      <c r="D177" s="4"/>
      <c r="E177" s="9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93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93"/>
      <c r="D178" s="4"/>
      <c r="E178" s="9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93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93"/>
      <c r="D179" s="4"/>
      <c r="E179" s="9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93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93"/>
      <c r="D180" s="4"/>
      <c r="E180" s="9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93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93"/>
      <c r="D181" s="4"/>
      <c r="E181" s="9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93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93"/>
      <c r="D182" s="4"/>
      <c r="E182" s="9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93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93"/>
      <c r="D183" s="4"/>
      <c r="E183" s="9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93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93"/>
      <c r="D184" s="4"/>
      <c r="E184" s="9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93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93"/>
      <c r="D185" s="4"/>
      <c r="E185" s="9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93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93"/>
      <c r="D186" s="4"/>
      <c r="E186" s="9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93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93"/>
      <c r="D187" s="4"/>
      <c r="E187" s="9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93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93"/>
      <c r="D188" s="4"/>
      <c r="E188" s="9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93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93"/>
      <c r="D189" s="4"/>
      <c r="E189" s="9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93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93"/>
      <c r="D190" s="4"/>
      <c r="E190" s="9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93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93"/>
      <c r="D191" s="4"/>
      <c r="E191" s="9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93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93"/>
      <c r="D192" s="4"/>
      <c r="E192" s="9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93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93"/>
      <c r="D193" s="4"/>
      <c r="E193" s="9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93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93"/>
      <c r="D194" s="4"/>
      <c r="E194" s="9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93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93"/>
      <c r="D195" s="4"/>
      <c r="E195" s="9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93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93"/>
      <c r="D196" s="4"/>
      <c r="E196" s="9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93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93"/>
      <c r="D197" s="4"/>
      <c r="E197" s="9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93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93"/>
      <c r="D198" s="4"/>
      <c r="E198" s="9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93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93"/>
      <c r="D199" s="4"/>
      <c r="E199" s="9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93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93"/>
      <c r="D200" s="4"/>
      <c r="E200" s="9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93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93"/>
      <c r="D201" s="4"/>
      <c r="E201" s="9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93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93"/>
      <c r="D202" s="4"/>
      <c r="E202" s="9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93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93"/>
      <c r="D203" s="4"/>
      <c r="E203" s="9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93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93"/>
      <c r="D204" s="4"/>
      <c r="E204" s="9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93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93"/>
      <c r="D205" s="4"/>
      <c r="E205" s="9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93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93"/>
      <c r="D206" s="4"/>
      <c r="E206" s="9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93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93"/>
      <c r="D207" s="4"/>
      <c r="E207" s="9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93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93"/>
      <c r="D208" s="4"/>
      <c r="E208" s="9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93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93"/>
      <c r="D209" s="4"/>
      <c r="E209" s="9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93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93"/>
      <c r="D210" s="4"/>
      <c r="E210" s="9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93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93"/>
      <c r="D211" s="4"/>
      <c r="E211" s="9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93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93"/>
      <c r="D212" s="4"/>
      <c r="E212" s="9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93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93"/>
      <c r="D213" s="4"/>
      <c r="E213" s="9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93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93"/>
      <c r="D214" s="4"/>
      <c r="E214" s="9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93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93"/>
      <c r="D215" s="4"/>
      <c r="E215" s="9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93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93"/>
      <c r="D216" s="4"/>
      <c r="E216" s="9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93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93"/>
      <c r="D217" s="4"/>
      <c r="E217" s="9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93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93"/>
      <c r="D218" s="4"/>
      <c r="E218" s="9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93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93"/>
      <c r="D219" s="4"/>
      <c r="E219" s="9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93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93"/>
      <c r="D220" s="4"/>
      <c r="E220" s="9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93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93"/>
      <c r="D221" s="4"/>
      <c r="E221" s="9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93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93"/>
      <c r="D222" s="4"/>
      <c r="E222" s="9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93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93"/>
      <c r="D223" s="4"/>
      <c r="E223" s="9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93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93"/>
      <c r="D224" s="4"/>
      <c r="E224" s="9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93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93"/>
      <c r="D225" s="4"/>
      <c r="E225" s="9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93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93"/>
      <c r="D226" s="4"/>
      <c r="E226" s="9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93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93"/>
      <c r="D227" s="4"/>
      <c r="E227" s="9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93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93"/>
      <c r="D228" s="4"/>
      <c r="E228" s="9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93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93"/>
      <c r="D229" s="4"/>
      <c r="E229" s="9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93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93"/>
      <c r="D230" s="4"/>
      <c r="E230" s="9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93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93"/>
      <c r="D231" s="4"/>
      <c r="E231" s="9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93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93"/>
      <c r="D232" s="4"/>
      <c r="E232" s="9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93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93"/>
      <c r="D233" s="4"/>
      <c r="E233" s="9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93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93"/>
      <c r="D234" s="4"/>
      <c r="E234" s="9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93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93"/>
      <c r="D235" s="4"/>
      <c r="E235" s="9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93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93"/>
      <c r="D236" s="4"/>
      <c r="E236" s="9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93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93"/>
      <c r="D237" s="4"/>
      <c r="E237" s="9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93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93"/>
      <c r="D238" s="4"/>
      <c r="E238" s="9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93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93"/>
      <c r="D239" s="4"/>
      <c r="E239" s="9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93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93"/>
      <c r="D240" s="4"/>
      <c r="E240" s="9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93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93"/>
      <c r="D241" s="4"/>
      <c r="E241" s="9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93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93"/>
      <c r="D242" s="4"/>
      <c r="E242" s="9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93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93"/>
      <c r="D243" s="4"/>
      <c r="E243" s="9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93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93"/>
      <c r="D244" s="4"/>
      <c r="E244" s="9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93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93"/>
      <c r="D245" s="4"/>
      <c r="E245" s="9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93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93"/>
      <c r="D246" s="4"/>
      <c r="E246" s="9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93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93"/>
      <c r="D247" s="4"/>
      <c r="E247" s="9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93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93"/>
      <c r="D248" s="4"/>
      <c r="E248" s="9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93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93"/>
      <c r="D249" s="4"/>
      <c r="E249" s="9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93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93"/>
      <c r="D250" s="4"/>
      <c r="E250" s="9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93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93"/>
      <c r="D251" s="4"/>
      <c r="E251" s="9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93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93"/>
      <c r="D252" s="4"/>
      <c r="E252" s="9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93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93"/>
      <c r="D253" s="4"/>
      <c r="E253" s="9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93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93"/>
      <c r="D254" s="4"/>
      <c r="E254" s="9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93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93"/>
      <c r="D255" s="4"/>
      <c r="E255" s="9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93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93"/>
      <c r="D256" s="4"/>
      <c r="E256" s="9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93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93"/>
      <c r="D257" s="4"/>
      <c r="E257" s="9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93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93"/>
      <c r="D258" s="4"/>
      <c r="E258" s="9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93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93"/>
      <c r="D259" s="4"/>
      <c r="E259" s="9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93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93"/>
      <c r="D260" s="4"/>
      <c r="E260" s="9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93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93"/>
      <c r="D261" s="4"/>
      <c r="E261" s="9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93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93"/>
      <c r="D262" s="4"/>
      <c r="E262" s="9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93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93"/>
      <c r="D263" s="4"/>
      <c r="E263" s="9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93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93"/>
      <c r="D264" s="4"/>
      <c r="E264" s="9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93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93"/>
      <c r="D265" s="4"/>
      <c r="E265" s="9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93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93"/>
      <c r="D266" s="4"/>
      <c r="E266" s="9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93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93"/>
      <c r="D267" s="4"/>
      <c r="E267" s="9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93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93"/>
      <c r="D268" s="4"/>
      <c r="E268" s="9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93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93"/>
      <c r="D269" s="4"/>
      <c r="E269" s="9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93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93"/>
      <c r="D270" s="4"/>
      <c r="E270" s="9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93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93"/>
      <c r="D271" s="4"/>
      <c r="E271" s="9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93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93"/>
      <c r="D272" s="4"/>
      <c r="E272" s="9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93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93"/>
      <c r="D273" s="4"/>
      <c r="E273" s="9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93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93"/>
      <c r="D274" s="4"/>
      <c r="E274" s="9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93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93"/>
      <c r="D275" s="4"/>
      <c r="E275" s="9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93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93"/>
      <c r="D276" s="4"/>
      <c r="E276" s="9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93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93"/>
      <c r="D277" s="4"/>
      <c r="E277" s="9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93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93"/>
      <c r="D278" s="4"/>
      <c r="E278" s="9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93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93"/>
      <c r="D279" s="4"/>
      <c r="E279" s="9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93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93"/>
      <c r="D280" s="4"/>
      <c r="E280" s="9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93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93"/>
      <c r="D281" s="4"/>
      <c r="E281" s="9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93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93"/>
      <c r="D282" s="4"/>
      <c r="E282" s="9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93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93"/>
      <c r="D283" s="4"/>
      <c r="E283" s="9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93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93"/>
      <c r="D284" s="4"/>
      <c r="E284" s="9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93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93"/>
      <c r="D285" s="4"/>
      <c r="E285" s="9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93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93"/>
      <c r="D286" s="4"/>
      <c r="E286" s="9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93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93"/>
      <c r="D287" s="4"/>
      <c r="E287" s="9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93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93"/>
      <c r="D288" s="4"/>
      <c r="E288" s="9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93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93"/>
      <c r="D289" s="4"/>
      <c r="E289" s="9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93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93"/>
      <c r="D290" s="4"/>
      <c r="E290" s="9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93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93"/>
      <c r="D291" s="4"/>
      <c r="E291" s="9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93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93"/>
      <c r="D292" s="4"/>
      <c r="E292" s="9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93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93"/>
      <c r="D293" s="4"/>
      <c r="E293" s="9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93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93"/>
      <c r="D294" s="4"/>
      <c r="E294" s="9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93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93"/>
      <c r="D295" s="4"/>
      <c r="E295" s="9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93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93"/>
      <c r="D296" s="4"/>
      <c r="E296" s="9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93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93"/>
      <c r="D297" s="4"/>
      <c r="E297" s="9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93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93"/>
      <c r="D298" s="4"/>
      <c r="E298" s="9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93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93"/>
      <c r="D299" s="4"/>
      <c r="E299" s="9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93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93"/>
      <c r="D300" s="4"/>
      <c r="E300" s="9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93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93"/>
      <c r="D301" s="4"/>
      <c r="E301" s="9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93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93"/>
      <c r="D302" s="4"/>
      <c r="E302" s="9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93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93"/>
      <c r="D303" s="4"/>
      <c r="E303" s="9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93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93"/>
      <c r="D304" s="4"/>
      <c r="E304" s="9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93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93"/>
      <c r="D305" s="4"/>
      <c r="E305" s="9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93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93"/>
      <c r="D306" s="4"/>
      <c r="E306" s="9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93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93"/>
      <c r="D307" s="4"/>
      <c r="E307" s="9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93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93"/>
      <c r="D308" s="4"/>
      <c r="E308" s="9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93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93"/>
      <c r="D309" s="4"/>
      <c r="E309" s="9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93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93"/>
      <c r="D310" s="4"/>
      <c r="E310" s="9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93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93"/>
      <c r="D311" s="4"/>
      <c r="E311" s="9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93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93"/>
      <c r="D312" s="4"/>
      <c r="E312" s="9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93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93"/>
      <c r="D313" s="4"/>
      <c r="E313" s="9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93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93"/>
      <c r="D314" s="4"/>
      <c r="E314" s="9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93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93"/>
      <c r="D315" s="4"/>
      <c r="E315" s="9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93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93"/>
      <c r="D316" s="4"/>
      <c r="E316" s="9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93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93"/>
      <c r="D317" s="4"/>
      <c r="E317" s="9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93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93"/>
      <c r="D318" s="4"/>
      <c r="E318" s="9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93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93"/>
      <c r="D319" s="4"/>
      <c r="E319" s="9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93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93"/>
      <c r="D320" s="4"/>
      <c r="E320" s="9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93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93"/>
      <c r="D321" s="4"/>
      <c r="E321" s="9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93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93"/>
      <c r="D322" s="4"/>
      <c r="E322" s="9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93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93"/>
      <c r="D323" s="4"/>
      <c r="E323" s="9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93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93"/>
      <c r="D324" s="4"/>
      <c r="E324" s="9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93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93"/>
      <c r="D325" s="4"/>
      <c r="E325" s="9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93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93"/>
      <c r="D326" s="4"/>
      <c r="E326" s="9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93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93"/>
      <c r="D327" s="4"/>
      <c r="E327" s="9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93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93"/>
      <c r="D328" s="4"/>
      <c r="E328" s="9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93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93"/>
      <c r="D329" s="4"/>
      <c r="E329" s="9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93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93"/>
      <c r="D330" s="4"/>
      <c r="E330" s="9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93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93"/>
      <c r="D331" s="4"/>
      <c r="E331" s="9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93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93"/>
      <c r="D332" s="4"/>
      <c r="E332" s="9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93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93"/>
      <c r="D333" s="4"/>
      <c r="E333" s="9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93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93"/>
      <c r="D334" s="4"/>
      <c r="E334" s="9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93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93"/>
      <c r="D335" s="4"/>
      <c r="E335" s="9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93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93"/>
      <c r="D336" s="4"/>
      <c r="E336" s="9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93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93"/>
      <c r="D337" s="4"/>
      <c r="E337" s="9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93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93"/>
      <c r="D338" s="4"/>
      <c r="E338" s="9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93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93"/>
      <c r="D339" s="4"/>
      <c r="E339" s="9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93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93"/>
      <c r="D340" s="4"/>
      <c r="E340" s="9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93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93"/>
      <c r="D341" s="4"/>
      <c r="E341" s="9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93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93"/>
      <c r="D342" s="4"/>
      <c r="E342" s="9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93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93"/>
      <c r="D343" s="4"/>
      <c r="E343" s="9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93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93"/>
      <c r="D344" s="4"/>
      <c r="E344" s="9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93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93"/>
      <c r="D345" s="4"/>
      <c r="E345" s="9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93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93"/>
      <c r="D346" s="4"/>
      <c r="E346" s="9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93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93"/>
      <c r="D347" s="4"/>
      <c r="E347" s="9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93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93"/>
      <c r="D348" s="4"/>
      <c r="E348" s="9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93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93"/>
      <c r="D349" s="4"/>
      <c r="E349" s="9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93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93"/>
      <c r="D350" s="4"/>
      <c r="E350" s="9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93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93"/>
      <c r="D351" s="4"/>
      <c r="E351" s="9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93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93"/>
      <c r="D352" s="4"/>
      <c r="E352" s="9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93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93"/>
      <c r="D353" s="4"/>
      <c r="E353" s="9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93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93"/>
      <c r="D354" s="4"/>
      <c r="E354" s="9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93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93"/>
      <c r="D355" s="4"/>
      <c r="E355" s="9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93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93"/>
      <c r="D356" s="4"/>
      <c r="E356" s="9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93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93"/>
      <c r="D357" s="4"/>
      <c r="E357" s="9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93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93"/>
      <c r="D358" s="4"/>
      <c r="E358" s="9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93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93"/>
      <c r="D359" s="4"/>
      <c r="E359" s="9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93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93"/>
      <c r="D360" s="4"/>
      <c r="E360" s="9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93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93"/>
      <c r="D361" s="4"/>
      <c r="E361" s="9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93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93"/>
      <c r="D362" s="4"/>
      <c r="E362" s="9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93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93"/>
      <c r="D363" s="4"/>
      <c r="E363" s="9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93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93"/>
      <c r="D364" s="4"/>
      <c r="E364" s="9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93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93"/>
      <c r="D365" s="4"/>
      <c r="E365" s="9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93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93"/>
      <c r="D366" s="4"/>
      <c r="E366" s="9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93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93"/>
      <c r="D367" s="4"/>
      <c r="E367" s="9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93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93"/>
      <c r="D368" s="4"/>
      <c r="E368" s="9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93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93"/>
      <c r="D369" s="4"/>
      <c r="E369" s="9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93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93"/>
      <c r="D370" s="4"/>
      <c r="E370" s="9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93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93"/>
      <c r="D371" s="4"/>
      <c r="E371" s="9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93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93"/>
      <c r="D372" s="4"/>
      <c r="E372" s="9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93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93"/>
      <c r="D373" s="4"/>
      <c r="E373" s="9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93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93"/>
      <c r="D374" s="4"/>
      <c r="E374" s="9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93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93"/>
      <c r="D375" s="4"/>
      <c r="E375" s="9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93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93"/>
      <c r="D376" s="4"/>
      <c r="E376" s="9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93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93"/>
      <c r="D377" s="4"/>
      <c r="E377" s="9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93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93"/>
      <c r="D378" s="4"/>
      <c r="E378" s="9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93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93"/>
      <c r="D379" s="4"/>
      <c r="E379" s="9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93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93"/>
      <c r="D380" s="4"/>
      <c r="E380" s="9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93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93"/>
      <c r="D381" s="4"/>
      <c r="E381" s="9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93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93"/>
      <c r="D382" s="4"/>
      <c r="E382" s="9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93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93"/>
      <c r="D383" s="4"/>
      <c r="E383" s="9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93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93"/>
      <c r="D384" s="4"/>
      <c r="E384" s="9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93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93"/>
      <c r="D385" s="4"/>
      <c r="E385" s="9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93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93"/>
      <c r="D386" s="4"/>
      <c r="E386" s="9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93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93"/>
      <c r="D387" s="4"/>
      <c r="E387" s="9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93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93"/>
      <c r="D388" s="4"/>
      <c r="E388" s="9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93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93"/>
      <c r="D389" s="4"/>
      <c r="E389" s="9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93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93"/>
      <c r="D390" s="4"/>
      <c r="E390" s="9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93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93"/>
      <c r="D391" s="4"/>
      <c r="E391" s="9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93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93"/>
      <c r="D392" s="4"/>
      <c r="E392" s="9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93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93"/>
      <c r="D393" s="4"/>
      <c r="E393" s="9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93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93"/>
      <c r="D394" s="4"/>
      <c r="E394" s="9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93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93"/>
      <c r="D395" s="4"/>
      <c r="E395" s="9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93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93"/>
      <c r="D396" s="4"/>
      <c r="E396" s="9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93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93"/>
      <c r="D397" s="4"/>
      <c r="E397" s="9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93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93"/>
      <c r="D398" s="4"/>
      <c r="E398" s="9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93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93"/>
      <c r="D399" s="4"/>
      <c r="E399" s="9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93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93"/>
      <c r="D400" s="4"/>
      <c r="E400" s="9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93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93"/>
      <c r="D401" s="4"/>
      <c r="E401" s="9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93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93"/>
      <c r="D402" s="4"/>
      <c r="E402" s="9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93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93"/>
      <c r="D403" s="4"/>
      <c r="E403" s="9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93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93"/>
      <c r="D404" s="4"/>
      <c r="E404" s="9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93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93"/>
      <c r="D405" s="4"/>
      <c r="E405" s="9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93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93"/>
      <c r="D406" s="4"/>
      <c r="E406" s="9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93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93"/>
      <c r="D407" s="4"/>
      <c r="E407" s="9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93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93"/>
      <c r="D408" s="4"/>
      <c r="E408" s="9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93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93"/>
      <c r="D409" s="4"/>
      <c r="E409" s="9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93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93"/>
      <c r="D410" s="4"/>
      <c r="E410" s="9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93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93"/>
      <c r="D411" s="4"/>
      <c r="E411" s="9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93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93"/>
      <c r="D412" s="4"/>
      <c r="E412" s="9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93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93"/>
      <c r="D413" s="4"/>
      <c r="E413" s="9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93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93"/>
      <c r="D414" s="4"/>
      <c r="E414" s="9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93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93"/>
      <c r="D415" s="4"/>
      <c r="E415" s="9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93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93"/>
      <c r="D416" s="4"/>
      <c r="E416" s="9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93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93"/>
      <c r="D417" s="4"/>
      <c r="E417" s="9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93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93"/>
      <c r="D418" s="4"/>
      <c r="E418" s="9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93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93"/>
      <c r="D419" s="4"/>
      <c r="E419" s="9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93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93"/>
      <c r="D420" s="4"/>
      <c r="E420" s="9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93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93"/>
      <c r="D421" s="4"/>
      <c r="E421" s="9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93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93"/>
      <c r="D422" s="4"/>
      <c r="E422" s="9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93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93"/>
      <c r="D423" s="4"/>
      <c r="E423" s="9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93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93"/>
      <c r="D424" s="4"/>
      <c r="E424" s="9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93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93"/>
      <c r="D425" s="4"/>
      <c r="E425" s="9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93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93"/>
      <c r="D426" s="4"/>
      <c r="E426" s="9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93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93"/>
      <c r="D427" s="4"/>
      <c r="E427" s="9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93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93"/>
      <c r="D428" s="4"/>
      <c r="E428" s="9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93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93"/>
      <c r="D429" s="4"/>
      <c r="E429" s="9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93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93"/>
      <c r="D430" s="4"/>
      <c r="E430" s="9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93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93"/>
      <c r="D431" s="4"/>
      <c r="E431" s="9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93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93"/>
      <c r="D432" s="4"/>
      <c r="E432" s="9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93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93"/>
      <c r="D433" s="4"/>
      <c r="E433" s="9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93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93"/>
      <c r="D434" s="4"/>
      <c r="E434" s="9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93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93"/>
      <c r="D435" s="4"/>
      <c r="E435" s="9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93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93"/>
      <c r="D436" s="4"/>
      <c r="E436" s="9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93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93"/>
      <c r="D437" s="4"/>
      <c r="E437" s="9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93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93"/>
      <c r="D438" s="4"/>
      <c r="E438" s="9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93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93"/>
      <c r="D439" s="4"/>
      <c r="E439" s="9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93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93"/>
      <c r="D440" s="4"/>
      <c r="E440" s="9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93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93"/>
      <c r="D441" s="4"/>
      <c r="E441" s="9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93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93"/>
      <c r="D442" s="4"/>
      <c r="E442" s="9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93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93"/>
      <c r="D443" s="4"/>
      <c r="E443" s="9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93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93"/>
      <c r="D444" s="4"/>
      <c r="E444" s="9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93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93"/>
      <c r="D445" s="4"/>
      <c r="E445" s="9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93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93"/>
      <c r="D446" s="4"/>
      <c r="E446" s="9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93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93"/>
      <c r="D447" s="4"/>
      <c r="E447" s="9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93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93"/>
      <c r="D448" s="4"/>
      <c r="E448" s="9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93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93"/>
      <c r="D449" s="4"/>
      <c r="E449" s="9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93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93"/>
      <c r="D450" s="4"/>
      <c r="E450" s="9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93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93"/>
      <c r="D451" s="4"/>
      <c r="E451" s="9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93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93"/>
      <c r="D452" s="4"/>
      <c r="E452" s="9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93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93"/>
      <c r="D453" s="4"/>
      <c r="E453" s="9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93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93"/>
      <c r="D454" s="4"/>
      <c r="E454" s="9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93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93"/>
      <c r="D455" s="4"/>
      <c r="E455" s="9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93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93"/>
      <c r="D456" s="4"/>
      <c r="E456" s="9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93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93"/>
      <c r="D457" s="4"/>
      <c r="E457" s="9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93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93"/>
      <c r="D458" s="4"/>
      <c r="E458" s="9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93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93"/>
      <c r="D459" s="4"/>
      <c r="E459" s="9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93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93"/>
      <c r="D460" s="4"/>
      <c r="E460" s="9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93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93"/>
      <c r="D461" s="4"/>
      <c r="E461" s="9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93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93"/>
      <c r="D462" s="4"/>
      <c r="E462" s="9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93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93"/>
      <c r="D463" s="4"/>
      <c r="E463" s="9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93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93"/>
      <c r="D464" s="4"/>
      <c r="E464" s="9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93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93"/>
      <c r="D465" s="4"/>
      <c r="E465" s="9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93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93"/>
      <c r="D466" s="4"/>
      <c r="E466" s="9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93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93"/>
      <c r="D467" s="4"/>
      <c r="E467" s="9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93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93"/>
      <c r="D468" s="4"/>
      <c r="E468" s="9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93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93"/>
      <c r="D469" s="4"/>
      <c r="E469" s="9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93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93"/>
      <c r="D470" s="4"/>
      <c r="E470" s="9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93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93"/>
      <c r="D471" s="4"/>
      <c r="E471" s="9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93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93"/>
      <c r="D472" s="4"/>
      <c r="E472" s="9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93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93"/>
      <c r="D473" s="4"/>
      <c r="E473" s="9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93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93"/>
      <c r="D474" s="4"/>
      <c r="E474" s="9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93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93"/>
      <c r="D475" s="4"/>
      <c r="E475" s="9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93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93"/>
      <c r="D476" s="4"/>
      <c r="E476" s="9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93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93"/>
      <c r="D477" s="4"/>
      <c r="E477" s="9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93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93"/>
      <c r="D478" s="4"/>
      <c r="E478" s="9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93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93"/>
      <c r="D479" s="4"/>
      <c r="E479" s="9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93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93"/>
      <c r="D480" s="4"/>
      <c r="E480" s="9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93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93"/>
      <c r="D481" s="4"/>
      <c r="E481" s="9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93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93"/>
      <c r="D482" s="4"/>
      <c r="E482" s="9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93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93"/>
      <c r="D483" s="4"/>
      <c r="E483" s="9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93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93"/>
      <c r="D484" s="4"/>
      <c r="E484" s="9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93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93"/>
      <c r="D485" s="4"/>
      <c r="E485" s="9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93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93"/>
      <c r="D486" s="4"/>
      <c r="E486" s="9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93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93"/>
      <c r="D487" s="4"/>
      <c r="E487" s="9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93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93"/>
      <c r="D488" s="4"/>
      <c r="E488" s="9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93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93"/>
      <c r="D489" s="4"/>
      <c r="E489" s="9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93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93"/>
      <c r="D490" s="4"/>
      <c r="E490" s="9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93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93"/>
      <c r="D491" s="4"/>
      <c r="E491" s="9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93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93"/>
      <c r="D492" s="4"/>
      <c r="E492" s="9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93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93"/>
      <c r="D493" s="4"/>
      <c r="E493" s="9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93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93"/>
      <c r="D494" s="4"/>
      <c r="E494" s="9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93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93"/>
      <c r="D495" s="4"/>
      <c r="E495" s="9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93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93"/>
      <c r="D496" s="4"/>
      <c r="E496" s="9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93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93"/>
      <c r="D497" s="4"/>
      <c r="E497" s="9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93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93"/>
      <c r="D498" s="4"/>
      <c r="E498" s="9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93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93"/>
      <c r="D499" s="4"/>
      <c r="E499" s="9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93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93"/>
      <c r="D500" s="4"/>
      <c r="E500" s="9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93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93"/>
      <c r="D501" s="4"/>
      <c r="E501" s="9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93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93"/>
      <c r="D502" s="4"/>
      <c r="E502" s="9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93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93"/>
      <c r="D503" s="4"/>
      <c r="E503" s="9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93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93"/>
      <c r="D504" s="4"/>
      <c r="E504" s="9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93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93"/>
      <c r="D505" s="4"/>
      <c r="E505" s="9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93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93"/>
      <c r="D506" s="4"/>
      <c r="E506" s="9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93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93"/>
      <c r="D507" s="4"/>
      <c r="E507" s="9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93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93"/>
      <c r="D508" s="4"/>
      <c r="E508" s="9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93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93"/>
      <c r="D509" s="4"/>
      <c r="E509" s="9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93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93"/>
      <c r="D510" s="4"/>
      <c r="E510" s="9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93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93"/>
      <c r="D511" s="4"/>
      <c r="E511" s="9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93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93"/>
      <c r="D512" s="4"/>
      <c r="E512" s="9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93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93"/>
      <c r="D513" s="4"/>
      <c r="E513" s="9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93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93"/>
      <c r="D514" s="4"/>
      <c r="E514" s="9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93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93"/>
      <c r="D515" s="4"/>
      <c r="E515" s="9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93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93"/>
      <c r="D516" s="4"/>
      <c r="E516" s="9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93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93"/>
      <c r="D517" s="4"/>
      <c r="E517" s="9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93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93"/>
      <c r="D518" s="4"/>
      <c r="E518" s="9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93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93"/>
      <c r="D519" s="4"/>
      <c r="E519" s="9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93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93"/>
      <c r="D520" s="4"/>
      <c r="E520" s="9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93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93"/>
      <c r="D521" s="4"/>
      <c r="E521" s="9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93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93"/>
      <c r="D522" s="4"/>
      <c r="E522" s="9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93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93"/>
      <c r="D523" s="4"/>
      <c r="E523" s="9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93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93"/>
      <c r="D524" s="4"/>
      <c r="E524" s="9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93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93"/>
      <c r="D525" s="4"/>
      <c r="E525" s="9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93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93"/>
      <c r="D526" s="4"/>
      <c r="E526" s="9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93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93"/>
      <c r="D527" s="4"/>
      <c r="E527" s="9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93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93"/>
      <c r="D528" s="4"/>
      <c r="E528" s="9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93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93"/>
      <c r="D529" s="4"/>
      <c r="E529" s="9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93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93"/>
      <c r="D530" s="4"/>
      <c r="E530" s="9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93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93"/>
      <c r="D531" s="4"/>
      <c r="E531" s="9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93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93"/>
      <c r="D532" s="4"/>
      <c r="E532" s="9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93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93"/>
      <c r="D533" s="4"/>
      <c r="E533" s="9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93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93"/>
      <c r="D534" s="4"/>
      <c r="E534" s="9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93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93"/>
      <c r="D535" s="4"/>
      <c r="E535" s="9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93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93"/>
      <c r="D536" s="4"/>
      <c r="E536" s="9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93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93"/>
      <c r="D537" s="4"/>
      <c r="E537" s="9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93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93"/>
      <c r="D538" s="4"/>
      <c r="E538" s="9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93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93"/>
      <c r="D539" s="4"/>
      <c r="E539" s="9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93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93"/>
      <c r="D540" s="4"/>
      <c r="E540" s="9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93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93"/>
      <c r="D541" s="4"/>
      <c r="E541" s="9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93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93"/>
      <c r="D542" s="4"/>
      <c r="E542" s="9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93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93"/>
      <c r="D543" s="4"/>
      <c r="E543" s="9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93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93"/>
      <c r="D544" s="4"/>
      <c r="E544" s="9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93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93"/>
      <c r="D545" s="4"/>
      <c r="E545" s="9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93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93"/>
      <c r="D546" s="4"/>
      <c r="E546" s="9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93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93"/>
      <c r="D547" s="4"/>
      <c r="E547" s="9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93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93"/>
      <c r="D548" s="4"/>
      <c r="E548" s="9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93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93"/>
      <c r="D549" s="4"/>
      <c r="E549" s="9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93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93"/>
      <c r="D550" s="4"/>
      <c r="E550" s="9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93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93"/>
      <c r="D551" s="4"/>
      <c r="E551" s="9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93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93"/>
      <c r="D552" s="4"/>
      <c r="E552" s="9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93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93"/>
      <c r="D553" s="4"/>
      <c r="E553" s="9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93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93"/>
      <c r="D554" s="4"/>
      <c r="E554" s="9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93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93"/>
      <c r="D555" s="4"/>
      <c r="E555" s="9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93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93"/>
      <c r="D556" s="4"/>
      <c r="E556" s="9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93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93"/>
      <c r="D557" s="4"/>
      <c r="E557" s="9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93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93"/>
      <c r="D558" s="4"/>
      <c r="E558" s="9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93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93"/>
      <c r="D559" s="4"/>
      <c r="E559" s="9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93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93"/>
      <c r="D560" s="4"/>
      <c r="E560" s="9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93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93"/>
      <c r="D561" s="4"/>
      <c r="E561" s="9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93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93"/>
      <c r="D562" s="4"/>
      <c r="E562" s="9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93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93"/>
      <c r="D563" s="4"/>
      <c r="E563" s="9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93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93"/>
      <c r="D564" s="4"/>
      <c r="E564" s="9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93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93"/>
      <c r="D565" s="4"/>
      <c r="E565" s="9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93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93"/>
      <c r="D566" s="4"/>
      <c r="E566" s="9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93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93"/>
      <c r="D567" s="4"/>
      <c r="E567" s="9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93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93"/>
      <c r="D568" s="4"/>
      <c r="E568" s="9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93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93"/>
      <c r="D569" s="4"/>
      <c r="E569" s="9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93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93"/>
      <c r="D570" s="4"/>
      <c r="E570" s="9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93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93"/>
      <c r="D571" s="4"/>
      <c r="E571" s="9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93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93"/>
      <c r="D572" s="4"/>
      <c r="E572" s="9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93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93"/>
      <c r="D573" s="4"/>
      <c r="E573" s="9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93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93"/>
      <c r="D574" s="4"/>
      <c r="E574" s="9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93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93"/>
      <c r="D575" s="4"/>
      <c r="E575" s="9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93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93"/>
      <c r="D576" s="4"/>
      <c r="E576" s="9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93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93"/>
      <c r="D577" s="4"/>
      <c r="E577" s="9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93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93"/>
      <c r="D578" s="4"/>
      <c r="E578" s="9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93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93"/>
      <c r="D579" s="4"/>
      <c r="E579" s="9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93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93"/>
      <c r="D580" s="4"/>
      <c r="E580" s="9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93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93"/>
      <c r="D581" s="4"/>
      <c r="E581" s="9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93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93"/>
      <c r="D582" s="4"/>
      <c r="E582" s="9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93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93"/>
      <c r="D583" s="4"/>
      <c r="E583" s="9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93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93"/>
      <c r="D584" s="4"/>
      <c r="E584" s="9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93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93"/>
      <c r="D585" s="4"/>
      <c r="E585" s="9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93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93"/>
      <c r="D586" s="4"/>
      <c r="E586" s="9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93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93"/>
      <c r="D587" s="4"/>
      <c r="E587" s="9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93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93"/>
      <c r="D588" s="4"/>
      <c r="E588" s="9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93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93"/>
      <c r="D589" s="4"/>
      <c r="E589" s="9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93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93"/>
      <c r="D590" s="4"/>
      <c r="E590" s="9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93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93"/>
      <c r="D591" s="4"/>
      <c r="E591" s="9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93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93"/>
      <c r="D592" s="4"/>
      <c r="E592" s="9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93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93"/>
      <c r="D593" s="4"/>
      <c r="E593" s="9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93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93"/>
      <c r="D594" s="4"/>
      <c r="E594" s="9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93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93"/>
      <c r="D595" s="4"/>
      <c r="E595" s="9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93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93"/>
      <c r="D596" s="4"/>
      <c r="E596" s="9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93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93"/>
      <c r="D597" s="4"/>
      <c r="E597" s="9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93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93"/>
      <c r="D598" s="4"/>
      <c r="E598" s="9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93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93"/>
      <c r="D599" s="4"/>
      <c r="E599" s="9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93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93"/>
      <c r="D600" s="4"/>
      <c r="E600" s="9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93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93"/>
      <c r="D601" s="4"/>
      <c r="E601" s="9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93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93"/>
      <c r="D602" s="4"/>
      <c r="E602" s="9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93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93"/>
      <c r="D603" s="4"/>
      <c r="E603" s="9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93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93"/>
      <c r="D604" s="4"/>
      <c r="E604" s="9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93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93"/>
      <c r="D605" s="4"/>
      <c r="E605" s="9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93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93"/>
      <c r="D606" s="4"/>
      <c r="E606" s="9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93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93"/>
      <c r="D607" s="4"/>
      <c r="E607" s="9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93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93"/>
      <c r="D608" s="4"/>
      <c r="E608" s="9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93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93"/>
      <c r="D609" s="4"/>
      <c r="E609" s="9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93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93"/>
      <c r="D610" s="4"/>
      <c r="E610" s="9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93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93"/>
      <c r="D611" s="4"/>
      <c r="E611" s="9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93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93"/>
      <c r="D612" s="4"/>
      <c r="E612" s="9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93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93"/>
      <c r="D613" s="4"/>
      <c r="E613" s="9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93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93"/>
      <c r="D614" s="4"/>
      <c r="E614" s="9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93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93"/>
      <c r="D615" s="4"/>
      <c r="E615" s="9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93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93"/>
      <c r="D616" s="4"/>
      <c r="E616" s="9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93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93"/>
      <c r="D617" s="4"/>
      <c r="E617" s="9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93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93"/>
      <c r="D618" s="4"/>
      <c r="E618" s="9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93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93"/>
      <c r="D619" s="4"/>
      <c r="E619" s="9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93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93"/>
      <c r="D620" s="4"/>
      <c r="E620" s="9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93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93"/>
      <c r="D621" s="4"/>
      <c r="E621" s="9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93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93"/>
      <c r="D622" s="4"/>
      <c r="E622" s="9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93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93"/>
      <c r="D623" s="4"/>
      <c r="E623" s="9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93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93"/>
      <c r="D624" s="4"/>
      <c r="E624" s="9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93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93"/>
      <c r="D625" s="4"/>
      <c r="E625" s="9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93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93"/>
      <c r="D626" s="4"/>
      <c r="E626" s="9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93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93"/>
      <c r="D627" s="4"/>
      <c r="E627" s="9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93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93"/>
      <c r="D628" s="4"/>
      <c r="E628" s="9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93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93"/>
      <c r="D629" s="4"/>
      <c r="E629" s="9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93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93"/>
      <c r="D630" s="4"/>
      <c r="E630" s="9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93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93"/>
      <c r="D631" s="4"/>
      <c r="E631" s="9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93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93"/>
      <c r="D632" s="4"/>
      <c r="E632" s="9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93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93"/>
      <c r="D633" s="4"/>
      <c r="E633" s="9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93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93"/>
      <c r="D634" s="4"/>
      <c r="E634" s="9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93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93"/>
      <c r="D635" s="4"/>
      <c r="E635" s="9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93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93"/>
      <c r="D636" s="4"/>
      <c r="E636" s="9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93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93"/>
      <c r="D637" s="4"/>
      <c r="E637" s="9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93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93"/>
      <c r="D638" s="4"/>
      <c r="E638" s="9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93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93"/>
      <c r="D639" s="4"/>
      <c r="E639" s="9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93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93"/>
      <c r="D640" s="4"/>
      <c r="E640" s="9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93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93"/>
      <c r="D641" s="4"/>
      <c r="E641" s="9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93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93"/>
      <c r="D642" s="4"/>
      <c r="E642" s="9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93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93"/>
      <c r="D643" s="4"/>
      <c r="E643" s="9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93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93"/>
      <c r="D644" s="4"/>
      <c r="E644" s="9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93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93"/>
      <c r="D645" s="4"/>
      <c r="E645" s="9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93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93"/>
      <c r="D646" s="4"/>
      <c r="E646" s="9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93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93"/>
      <c r="D647" s="4"/>
      <c r="E647" s="9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93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93"/>
      <c r="D648" s="4"/>
      <c r="E648" s="9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93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93"/>
      <c r="D649" s="4"/>
      <c r="E649" s="9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93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93"/>
      <c r="D650" s="4"/>
      <c r="E650" s="9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93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93"/>
      <c r="D651" s="4"/>
      <c r="E651" s="9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93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93"/>
      <c r="D652" s="4"/>
      <c r="E652" s="9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93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93"/>
      <c r="D653" s="4"/>
      <c r="E653" s="9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93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93"/>
      <c r="D654" s="4"/>
      <c r="E654" s="9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93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93"/>
      <c r="D655" s="4"/>
      <c r="E655" s="9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93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93"/>
      <c r="D656" s="4"/>
      <c r="E656" s="9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93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93"/>
      <c r="D657" s="4"/>
      <c r="E657" s="9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93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93"/>
      <c r="D658" s="4"/>
      <c r="E658" s="9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93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93"/>
      <c r="D659" s="4"/>
      <c r="E659" s="9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93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93"/>
      <c r="D660" s="4"/>
      <c r="E660" s="9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93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93"/>
      <c r="D661" s="4"/>
      <c r="E661" s="9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93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93"/>
      <c r="D662" s="4"/>
      <c r="E662" s="9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93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93"/>
      <c r="D663" s="4"/>
      <c r="E663" s="9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93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93"/>
      <c r="D664" s="4"/>
      <c r="E664" s="9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93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93"/>
      <c r="D665" s="4"/>
      <c r="E665" s="9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93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93"/>
      <c r="D666" s="4"/>
      <c r="E666" s="9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93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93"/>
      <c r="D667" s="4"/>
      <c r="E667" s="9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93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93"/>
      <c r="D668" s="4"/>
      <c r="E668" s="9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93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93"/>
      <c r="D669" s="4"/>
      <c r="E669" s="9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93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93"/>
      <c r="D670" s="4"/>
      <c r="E670" s="9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93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93"/>
      <c r="D671" s="4"/>
      <c r="E671" s="9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93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93"/>
      <c r="D672" s="4"/>
      <c r="E672" s="9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93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93"/>
      <c r="D673" s="4"/>
      <c r="E673" s="9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93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93"/>
      <c r="D674" s="4"/>
      <c r="E674" s="9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93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93"/>
      <c r="D675" s="4"/>
      <c r="E675" s="9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93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93"/>
      <c r="D676" s="4"/>
      <c r="E676" s="9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93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93"/>
      <c r="D677" s="4"/>
      <c r="E677" s="9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93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93"/>
      <c r="D678" s="4"/>
      <c r="E678" s="9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93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93"/>
      <c r="D679" s="4"/>
      <c r="E679" s="9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93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93"/>
      <c r="D680" s="4"/>
      <c r="E680" s="9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93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93"/>
      <c r="D681" s="4"/>
      <c r="E681" s="9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93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93"/>
      <c r="D682" s="4"/>
      <c r="E682" s="9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93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93"/>
      <c r="D683" s="4"/>
      <c r="E683" s="9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93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93"/>
      <c r="D684" s="4"/>
      <c r="E684" s="9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93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93"/>
      <c r="D685" s="4"/>
      <c r="E685" s="9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93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93"/>
      <c r="D686" s="4"/>
      <c r="E686" s="9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93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93"/>
      <c r="D687" s="4"/>
      <c r="E687" s="9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93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93"/>
      <c r="D688" s="4"/>
      <c r="E688" s="9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93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93"/>
      <c r="D689" s="4"/>
      <c r="E689" s="9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93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93"/>
      <c r="D690" s="4"/>
      <c r="E690" s="9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93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93"/>
      <c r="D691" s="4"/>
      <c r="E691" s="9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93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93"/>
      <c r="D692" s="4"/>
      <c r="E692" s="9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93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93"/>
      <c r="D693" s="4"/>
      <c r="E693" s="9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93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93"/>
      <c r="D694" s="4"/>
      <c r="E694" s="9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93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93"/>
      <c r="D695" s="4"/>
      <c r="E695" s="9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93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93"/>
      <c r="D696" s="4"/>
      <c r="E696" s="9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93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93"/>
      <c r="D697" s="4"/>
      <c r="E697" s="9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93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93"/>
      <c r="D698" s="4"/>
      <c r="E698" s="9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93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93"/>
      <c r="D699" s="4"/>
      <c r="E699" s="9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93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93"/>
      <c r="D700" s="4"/>
      <c r="E700" s="9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93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93"/>
      <c r="D701" s="4"/>
      <c r="E701" s="9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93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93"/>
      <c r="D702" s="4"/>
      <c r="E702" s="9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93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93"/>
      <c r="D703" s="4"/>
      <c r="E703" s="9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93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93"/>
      <c r="D704" s="4"/>
      <c r="E704" s="9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93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93"/>
      <c r="D705" s="4"/>
      <c r="E705" s="9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93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93"/>
      <c r="D706" s="4"/>
      <c r="E706" s="9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93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93"/>
      <c r="D707" s="4"/>
      <c r="E707" s="9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93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93"/>
      <c r="D708" s="4"/>
      <c r="E708" s="9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93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93"/>
      <c r="D709" s="4"/>
      <c r="E709" s="9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93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93"/>
      <c r="D710" s="4"/>
      <c r="E710" s="9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93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93"/>
      <c r="D711" s="4"/>
      <c r="E711" s="9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93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93"/>
      <c r="D712" s="4"/>
      <c r="E712" s="9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93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93"/>
      <c r="D713" s="4"/>
      <c r="E713" s="9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93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93"/>
      <c r="D714" s="4"/>
      <c r="E714" s="9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93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93"/>
      <c r="D715" s="4"/>
      <c r="E715" s="9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93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93"/>
      <c r="D716" s="4"/>
      <c r="E716" s="9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93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93"/>
      <c r="D717" s="4"/>
      <c r="E717" s="9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93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93"/>
      <c r="D718" s="4"/>
      <c r="E718" s="9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93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93"/>
      <c r="D719" s="4"/>
      <c r="E719" s="9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93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93"/>
      <c r="D720" s="4"/>
      <c r="E720" s="9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93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93"/>
      <c r="D721" s="4"/>
      <c r="E721" s="9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93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93"/>
      <c r="D722" s="4"/>
      <c r="E722" s="9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93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93"/>
      <c r="D723" s="4"/>
      <c r="E723" s="9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93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93"/>
      <c r="D724" s="4"/>
      <c r="E724" s="9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93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93"/>
      <c r="D725" s="4"/>
      <c r="E725" s="9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93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93"/>
      <c r="D726" s="4"/>
      <c r="E726" s="9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93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93"/>
      <c r="D727" s="4"/>
      <c r="E727" s="9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93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93"/>
      <c r="D728" s="4"/>
      <c r="E728" s="9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93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93"/>
      <c r="D729" s="4"/>
      <c r="E729" s="9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93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93"/>
      <c r="D730" s="4"/>
      <c r="E730" s="9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93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93"/>
      <c r="D731" s="4"/>
      <c r="E731" s="9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93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93"/>
      <c r="D732" s="4"/>
      <c r="E732" s="9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93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93"/>
      <c r="D733" s="4"/>
      <c r="E733" s="9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93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93"/>
      <c r="D734" s="4"/>
      <c r="E734" s="9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93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93"/>
      <c r="D735" s="4"/>
      <c r="E735" s="9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93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93"/>
      <c r="D736" s="4"/>
      <c r="E736" s="9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93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93"/>
      <c r="D737" s="4"/>
      <c r="E737" s="9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93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93"/>
      <c r="D738" s="4"/>
      <c r="E738" s="9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93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93"/>
      <c r="D739" s="4"/>
      <c r="E739" s="9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93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93"/>
      <c r="D740" s="4"/>
      <c r="E740" s="9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93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93"/>
      <c r="D741" s="4"/>
      <c r="E741" s="9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93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93"/>
      <c r="D742" s="4"/>
      <c r="E742" s="9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93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93"/>
      <c r="D743" s="4"/>
      <c r="E743" s="9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93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93"/>
      <c r="D744" s="4"/>
      <c r="E744" s="9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93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93"/>
      <c r="D745" s="4"/>
      <c r="E745" s="9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93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93"/>
      <c r="D746" s="4"/>
      <c r="E746" s="9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93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93"/>
      <c r="D747" s="4"/>
      <c r="E747" s="9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93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93"/>
      <c r="D748" s="4"/>
      <c r="E748" s="9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93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93"/>
      <c r="D749" s="4"/>
      <c r="E749" s="9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93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93"/>
      <c r="D750" s="4"/>
      <c r="E750" s="9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93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93"/>
      <c r="D751" s="4"/>
      <c r="E751" s="9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93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93"/>
      <c r="D752" s="4"/>
      <c r="E752" s="9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93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93"/>
      <c r="D753" s="4"/>
      <c r="E753" s="9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93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93"/>
      <c r="D754" s="4"/>
      <c r="E754" s="9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93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93"/>
      <c r="D755" s="4"/>
      <c r="E755" s="9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93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93"/>
      <c r="D756" s="4"/>
      <c r="E756" s="9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93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93"/>
      <c r="D757" s="4"/>
      <c r="E757" s="9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93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93"/>
      <c r="D758" s="4"/>
      <c r="E758" s="9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93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93"/>
      <c r="D759" s="4"/>
      <c r="E759" s="9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93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93"/>
      <c r="D760" s="4"/>
      <c r="E760" s="9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93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93"/>
      <c r="D761" s="4"/>
      <c r="E761" s="9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93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93"/>
      <c r="D762" s="4"/>
      <c r="E762" s="9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93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93"/>
      <c r="D763" s="4"/>
      <c r="E763" s="9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93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93"/>
      <c r="D764" s="4"/>
      <c r="E764" s="9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93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93"/>
      <c r="D765" s="4"/>
      <c r="E765" s="9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93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93"/>
      <c r="D766" s="4"/>
      <c r="E766" s="9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93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93"/>
      <c r="D767" s="4"/>
      <c r="E767" s="9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93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93"/>
      <c r="D768" s="4"/>
      <c r="E768" s="9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93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93"/>
      <c r="D769" s="4"/>
      <c r="E769" s="9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93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93"/>
      <c r="D770" s="4"/>
      <c r="E770" s="9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93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93"/>
      <c r="D771" s="4"/>
      <c r="E771" s="9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93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93"/>
      <c r="D772" s="4"/>
      <c r="E772" s="9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93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93"/>
      <c r="D773" s="4"/>
      <c r="E773" s="9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93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93"/>
      <c r="D774" s="4"/>
      <c r="E774" s="9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93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93"/>
      <c r="D775" s="4"/>
      <c r="E775" s="9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93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93"/>
      <c r="D776" s="4"/>
      <c r="E776" s="9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93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93"/>
      <c r="D777" s="4"/>
      <c r="E777" s="9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93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93"/>
      <c r="D778" s="4"/>
      <c r="E778" s="9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93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93"/>
      <c r="D779" s="4"/>
      <c r="E779" s="9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93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93"/>
      <c r="D780" s="4"/>
      <c r="E780" s="9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93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93"/>
      <c r="D781" s="4"/>
      <c r="E781" s="9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93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93"/>
      <c r="D782" s="4"/>
      <c r="E782" s="9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93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93"/>
      <c r="D783" s="4"/>
      <c r="E783" s="9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93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93"/>
      <c r="D784" s="4"/>
      <c r="E784" s="9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93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93"/>
      <c r="D785" s="4"/>
      <c r="E785" s="9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93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93"/>
      <c r="D786" s="4"/>
      <c r="E786" s="9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93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93"/>
      <c r="D787" s="4"/>
      <c r="E787" s="9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93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93"/>
      <c r="D788" s="4"/>
      <c r="E788" s="9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93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93"/>
      <c r="D789" s="4"/>
      <c r="E789" s="9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93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93"/>
      <c r="D790" s="4"/>
      <c r="E790" s="9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93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93"/>
      <c r="D791" s="4"/>
      <c r="E791" s="9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93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93"/>
      <c r="D792" s="4"/>
      <c r="E792" s="9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93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93"/>
      <c r="D793" s="4"/>
      <c r="E793" s="9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93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93"/>
      <c r="D794" s="4"/>
      <c r="E794" s="9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93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93"/>
      <c r="D795" s="4"/>
      <c r="E795" s="9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93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93"/>
      <c r="D796" s="4"/>
      <c r="E796" s="9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93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93"/>
      <c r="D797" s="4"/>
      <c r="E797" s="9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93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93"/>
      <c r="D798" s="4"/>
      <c r="E798" s="9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93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93"/>
      <c r="D799" s="4"/>
      <c r="E799" s="9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93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93"/>
      <c r="D800" s="4"/>
      <c r="E800" s="9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93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93"/>
      <c r="D801" s="4"/>
      <c r="E801" s="9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93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93"/>
      <c r="D802" s="4"/>
      <c r="E802" s="9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93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93"/>
      <c r="D803" s="4"/>
      <c r="E803" s="9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93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93"/>
      <c r="D804" s="4"/>
      <c r="E804" s="9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93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93"/>
      <c r="D805" s="4"/>
      <c r="E805" s="9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93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93"/>
      <c r="D806" s="4"/>
      <c r="E806" s="9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93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93"/>
      <c r="D807" s="4"/>
      <c r="E807" s="9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93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93"/>
      <c r="D808" s="4"/>
      <c r="E808" s="9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93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93"/>
      <c r="D809" s="4"/>
      <c r="E809" s="9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93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93"/>
      <c r="D810" s="4"/>
      <c r="E810" s="9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93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93"/>
      <c r="D811" s="4"/>
      <c r="E811" s="9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93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93"/>
      <c r="D812" s="4"/>
      <c r="E812" s="9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93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93"/>
      <c r="D813" s="4"/>
      <c r="E813" s="9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93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93"/>
      <c r="D814" s="4"/>
      <c r="E814" s="9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93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93"/>
      <c r="D815" s="4"/>
      <c r="E815" s="9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93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93"/>
      <c r="D816" s="4"/>
      <c r="E816" s="9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93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93"/>
      <c r="D817" s="4"/>
      <c r="E817" s="9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93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93"/>
      <c r="D818" s="4"/>
      <c r="E818" s="9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93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93"/>
      <c r="D819" s="4"/>
      <c r="E819" s="9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93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93"/>
      <c r="D820" s="4"/>
      <c r="E820" s="9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93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93"/>
      <c r="D821" s="4"/>
      <c r="E821" s="9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93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93"/>
      <c r="D822" s="4"/>
      <c r="E822" s="9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93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93"/>
      <c r="D823" s="4"/>
      <c r="E823" s="9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93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93"/>
      <c r="D824" s="4"/>
      <c r="E824" s="9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93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93"/>
      <c r="D825" s="4"/>
      <c r="E825" s="9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93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93"/>
      <c r="D826" s="4"/>
      <c r="E826" s="9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93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93"/>
      <c r="D827" s="4"/>
      <c r="E827" s="9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93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93"/>
      <c r="D828" s="4"/>
      <c r="E828" s="9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93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93"/>
      <c r="D829" s="4"/>
      <c r="E829" s="9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93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93"/>
      <c r="D830" s="4"/>
      <c r="E830" s="9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93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93"/>
      <c r="D831" s="4"/>
      <c r="E831" s="9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93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93"/>
      <c r="D832" s="4"/>
      <c r="E832" s="9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93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93"/>
      <c r="D833" s="4"/>
      <c r="E833" s="9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93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93"/>
      <c r="D834" s="4"/>
      <c r="E834" s="9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93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93"/>
      <c r="D835" s="4"/>
      <c r="E835" s="9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93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93"/>
      <c r="D836" s="4"/>
      <c r="E836" s="9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93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93"/>
      <c r="D837" s="4"/>
      <c r="E837" s="9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93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93"/>
      <c r="D838" s="4"/>
      <c r="E838" s="9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93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93"/>
      <c r="D839" s="4"/>
      <c r="E839" s="9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93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93"/>
      <c r="D840" s="4"/>
      <c r="E840" s="9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93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93"/>
      <c r="D841" s="4"/>
      <c r="E841" s="9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93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93"/>
      <c r="D842" s="4"/>
      <c r="E842" s="9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93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93"/>
      <c r="D843" s="4"/>
      <c r="E843" s="9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93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93"/>
      <c r="D844" s="4"/>
      <c r="E844" s="9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93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93"/>
      <c r="D845" s="4"/>
      <c r="E845" s="9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93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93"/>
      <c r="D846" s="4"/>
      <c r="E846" s="9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93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93"/>
      <c r="D847" s="4"/>
      <c r="E847" s="9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93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93"/>
      <c r="D848" s="4"/>
      <c r="E848" s="9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93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93"/>
      <c r="D849" s="4"/>
      <c r="E849" s="9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93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93"/>
      <c r="D850" s="4"/>
      <c r="E850" s="9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93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93"/>
      <c r="D851" s="4"/>
      <c r="E851" s="9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93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93"/>
      <c r="D852" s="4"/>
      <c r="E852" s="9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93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93"/>
      <c r="D853" s="4"/>
      <c r="E853" s="9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93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93"/>
      <c r="D854" s="4"/>
      <c r="E854" s="9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93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93"/>
      <c r="D855" s="4"/>
      <c r="E855" s="9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93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93"/>
      <c r="D856" s="4"/>
      <c r="E856" s="9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93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93"/>
      <c r="D857" s="4"/>
      <c r="E857" s="9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93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93"/>
      <c r="D858" s="4"/>
      <c r="E858" s="9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93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93"/>
      <c r="D859" s="4"/>
      <c r="E859" s="9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93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93"/>
      <c r="D860" s="4"/>
      <c r="E860" s="9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93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93"/>
      <c r="D861" s="4"/>
      <c r="E861" s="9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93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93"/>
      <c r="D862" s="4"/>
      <c r="E862" s="9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93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93"/>
      <c r="D863" s="4"/>
      <c r="E863" s="9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93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93"/>
      <c r="D864" s="4"/>
      <c r="E864" s="9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93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93"/>
      <c r="D865" s="4"/>
      <c r="E865" s="9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93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93"/>
      <c r="D866" s="4"/>
      <c r="E866" s="9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93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93"/>
      <c r="D867" s="4"/>
      <c r="E867" s="9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93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93"/>
      <c r="D868" s="4"/>
      <c r="E868" s="9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93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93"/>
      <c r="D869" s="4"/>
      <c r="E869" s="9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93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93"/>
      <c r="D870" s="4"/>
      <c r="E870" s="9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93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93"/>
      <c r="D871" s="4"/>
      <c r="E871" s="9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93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93"/>
      <c r="D872" s="4"/>
      <c r="E872" s="9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93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93"/>
      <c r="D873" s="4"/>
      <c r="E873" s="9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93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93"/>
      <c r="D874" s="4"/>
      <c r="E874" s="9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93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93"/>
      <c r="D875" s="4"/>
      <c r="E875" s="9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93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93"/>
      <c r="D876" s="4"/>
      <c r="E876" s="9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93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93"/>
      <c r="D877" s="4"/>
      <c r="E877" s="9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93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93"/>
      <c r="D878" s="4"/>
      <c r="E878" s="9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93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93"/>
      <c r="D879" s="4"/>
      <c r="E879" s="9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93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93"/>
      <c r="D880" s="4"/>
      <c r="E880" s="9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93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93"/>
      <c r="D881" s="4"/>
      <c r="E881" s="9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93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93"/>
      <c r="D882" s="4"/>
      <c r="E882" s="9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93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93"/>
      <c r="D883" s="4"/>
      <c r="E883" s="9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93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93"/>
      <c r="D884" s="4"/>
      <c r="E884" s="9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93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93"/>
      <c r="D885" s="4"/>
      <c r="E885" s="9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93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93"/>
      <c r="D886" s="4"/>
      <c r="E886" s="9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93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93"/>
      <c r="D887" s="4"/>
      <c r="E887" s="9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93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93"/>
      <c r="D888" s="4"/>
      <c r="E888" s="9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93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93"/>
      <c r="D889" s="4"/>
      <c r="E889" s="9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93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93"/>
      <c r="D890" s="4"/>
      <c r="E890" s="9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93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93"/>
      <c r="D891" s="4"/>
      <c r="E891" s="9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93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93"/>
      <c r="D892" s="4"/>
      <c r="E892" s="9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93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93"/>
      <c r="D893" s="4"/>
      <c r="E893" s="9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93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93"/>
      <c r="D894" s="4"/>
      <c r="E894" s="9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93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93"/>
      <c r="D895" s="4"/>
      <c r="E895" s="9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93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93"/>
      <c r="D896" s="4"/>
      <c r="E896" s="9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93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93"/>
      <c r="D897" s="4"/>
      <c r="E897" s="9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93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93"/>
      <c r="D898" s="4"/>
      <c r="E898" s="9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93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93"/>
      <c r="D899" s="4"/>
      <c r="E899" s="9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93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93"/>
      <c r="D900" s="4"/>
      <c r="E900" s="9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93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93"/>
      <c r="D901" s="4"/>
      <c r="E901" s="9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93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93"/>
      <c r="D902" s="4"/>
      <c r="E902" s="9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93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93"/>
      <c r="D903" s="4"/>
      <c r="E903" s="9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93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93"/>
      <c r="D904" s="4"/>
      <c r="E904" s="9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93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93"/>
      <c r="D905" s="4"/>
      <c r="E905" s="9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93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93"/>
      <c r="D906" s="4"/>
      <c r="E906" s="9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93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93"/>
      <c r="D907" s="4"/>
      <c r="E907" s="9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93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93"/>
      <c r="D908" s="4"/>
      <c r="E908" s="9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93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93"/>
      <c r="D909" s="4"/>
      <c r="E909" s="9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93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93"/>
      <c r="D910" s="4"/>
      <c r="E910" s="9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93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93"/>
      <c r="D911" s="4"/>
      <c r="E911" s="9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93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93"/>
      <c r="D912" s="4"/>
      <c r="E912" s="9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93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93"/>
      <c r="D913" s="4"/>
      <c r="E913" s="9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93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93"/>
      <c r="D914" s="4"/>
      <c r="E914" s="9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93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93"/>
      <c r="D915" s="4"/>
      <c r="E915" s="9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93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93"/>
      <c r="D916" s="4"/>
      <c r="E916" s="9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93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93"/>
      <c r="D917" s="4"/>
      <c r="E917" s="9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93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93"/>
      <c r="D918" s="4"/>
      <c r="E918" s="9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93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93"/>
      <c r="D919" s="4"/>
      <c r="E919" s="9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93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93"/>
      <c r="D920" s="4"/>
      <c r="E920" s="9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93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93"/>
      <c r="D921" s="4"/>
      <c r="E921" s="9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93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93"/>
      <c r="D922" s="4"/>
      <c r="E922" s="9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93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93"/>
      <c r="D923" s="4"/>
      <c r="E923" s="9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93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93"/>
      <c r="D924" s="4"/>
      <c r="E924" s="9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93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93"/>
      <c r="D925" s="4"/>
      <c r="E925" s="9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93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93"/>
      <c r="D926" s="4"/>
      <c r="E926" s="9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93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93"/>
      <c r="D927" s="4"/>
      <c r="E927" s="9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93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93"/>
      <c r="D928" s="4"/>
      <c r="E928" s="9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93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93"/>
      <c r="D929" s="4"/>
      <c r="E929" s="9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93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93"/>
      <c r="D930" s="4"/>
      <c r="E930" s="9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93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93"/>
      <c r="D931" s="4"/>
      <c r="E931" s="9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93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93"/>
      <c r="D932" s="4"/>
      <c r="E932" s="9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93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93"/>
      <c r="D933" s="4"/>
      <c r="E933" s="9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93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93"/>
      <c r="D934" s="4"/>
      <c r="E934" s="9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93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93"/>
      <c r="D935" s="4"/>
      <c r="E935" s="9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93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93"/>
      <c r="D936" s="4"/>
      <c r="E936" s="9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93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93"/>
      <c r="D937" s="4"/>
      <c r="E937" s="9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93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93"/>
      <c r="D938" s="4"/>
      <c r="E938" s="9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93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93"/>
      <c r="D939" s="4"/>
      <c r="E939" s="9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93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93"/>
      <c r="D940" s="4"/>
      <c r="E940" s="9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93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93"/>
      <c r="D941" s="4"/>
      <c r="E941" s="9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93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93"/>
      <c r="D942" s="4"/>
      <c r="E942" s="9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93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93"/>
      <c r="D943" s="4"/>
      <c r="E943" s="9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93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93"/>
      <c r="D944" s="4"/>
      <c r="E944" s="9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93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93"/>
      <c r="D945" s="4"/>
      <c r="E945" s="9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93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93"/>
      <c r="D946" s="4"/>
      <c r="E946" s="9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93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93"/>
      <c r="D947" s="4"/>
      <c r="E947" s="9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93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93"/>
      <c r="D948" s="4"/>
      <c r="E948" s="9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93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93"/>
      <c r="D949" s="4"/>
      <c r="E949" s="9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93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93"/>
      <c r="D950" s="4"/>
      <c r="E950" s="9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93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93"/>
      <c r="D951" s="4"/>
      <c r="E951" s="9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93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93"/>
      <c r="D952" s="4"/>
      <c r="E952" s="9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93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93"/>
      <c r="D953" s="4"/>
      <c r="E953" s="9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93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93"/>
      <c r="D954" s="4"/>
      <c r="E954" s="9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93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93"/>
      <c r="D955" s="4"/>
      <c r="E955" s="9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93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93"/>
      <c r="D956" s="4"/>
      <c r="E956" s="9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93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93"/>
      <c r="D957" s="4"/>
      <c r="E957" s="9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93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93"/>
      <c r="D958" s="4"/>
      <c r="E958" s="9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93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93"/>
      <c r="D959" s="4"/>
      <c r="E959" s="9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93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93"/>
      <c r="D960" s="4"/>
      <c r="E960" s="9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93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93"/>
      <c r="D961" s="4"/>
      <c r="E961" s="9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93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93"/>
      <c r="D962" s="4"/>
      <c r="E962" s="9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93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93"/>
      <c r="D963" s="4"/>
      <c r="E963" s="9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93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93"/>
      <c r="D964" s="4"/>
      <c r="E964" s="9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93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93"/>
      <c r="D965" s="4"/>
      <c r="E965" s="9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93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93"/>
      <c r="D966" s="4"/>
      <c r="E966" s="9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93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93"/>
      <c r="D967" s="4"/>
      <c r="E967" s="9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93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93"/>
      <c r="D968" s="4"/>
      <c r="E968" s="9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93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93"/>
      <c r="D969" s="4"/>
      <c r="E969" s="9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93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93"/>
      <c r="D970" s="4"/>
      <c r="E970" s="9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93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93"/>
      <c r="D971" s="4"/>
      <c r="E971" s="9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93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93"/>
      <c r="D972" s="4"/>
      <c r="E972" s="9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93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93"/>
      <c r="D973" s="4"/>
      <c r="E973" s="9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93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93"/>
      <c r="D974" s="4"/>
      <c r="E974" s="9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93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93"/>
      <c r="D975" s="4"/>
      <c r="E975" s="9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93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93"/>
      <c r="D976" s="4"/>
      <c r="E976" s="9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93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93"/>
      <c r="D977" s="4"/>
      <c r="E977" s="9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93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93"/>
      <c r="D978" s="4"/>
      <c r="E978" s="9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93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93"/>
      <c r="D979" s="4"/>
      <c r="E979" s="9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93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93"/>
      <c r="D980" s="4"/>
      <c r="E980" s="9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93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93"/>
      <c r="D981" s="4"/>
      <c r="E981" s="9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93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93"/>
      <c r="D982" s="4"/>
      <c r="E982" s="9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93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93"/>
      <c r="D983" s="4"/>
      <c r="E983" s="9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93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93"/>
      <c r="D984" s="4"/>
      <c r="E984" s="9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93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93"/>
      <c r="D985" s="4"/>
      <c r="E985" s="9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93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93"/>
      <c r="D986" s="4"/>
      <c r="E986" s="9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93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93"/>
      <c r="D987" s="4"/>
      <c r="E987" s="9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93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93"/>
      <c r="D988" s="4"/>
      <c r="E988" s="9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93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93"/>
      <c r="D989" s="4"/>
      <c r="E989" s="9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93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93"/>
      <c r="D990" s="4"/>
      <c r="E990" s="9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93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93"/>
      <c r="D991" s="4"/>
      <c r="E991" s="9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93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93"/>
      <c r="D992" s="4"/>
      <c r="E992" s="9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93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93"/>
      <c r="D993" s="4"/>
      <c r="E993" s="9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93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93"/>
      <c r="D994" s="4"/>
      <c r="E994" s="9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93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93"/>
      <c r="D995" s="4"/>
      <c r="E995" s="9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93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93"/>
      <c r="D996" s="4"/>
      <c r="E996" s="9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93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93"/>
      <c r="D997" s="4"/>
      <c r="E997" s="9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93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93"/>
      <c r="D998" s="4"/>
      <c r="E998" s="9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93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93"/>
      <c r="D999" s="4"/>
      <c r="E999" s="9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93"/>
      <c r="W999" s="4"/>
      <c r="X999" s="4"/>
      <c r="Y999" s="4"/>
      <c r="Z999" s="4"/>
      <c r="AA999" s="4"/>
      <c r="AB999" s="4"/>
      <c r="AC999" s="4"/>
      <c r="AD999" s="4"/>
    </row>
  </sheetData>
  <autoFilter ref="$A$1:$AA$98">
    <filterColumn colId="3">
      <filters>
        <filter val="CIVIL"/>
        <filter val="AutoCAD"/>
        <filter val="Mech Combo"/>
      </filters>
    </filterColumn>
  </autoFilter>
  <dataValidations>
    <dataValidation type="list" allowBlank="1" showErrorMessage="1" sqref="Y2:Y98">
      <formula1>"EMI doc shared,EMI Rejected,Interested,Enrolled,Not Interested, Not Interested_Fees High,Plan Dropped,Joined Elsewhere,EMI Approved,FPL,Not Answering,Gone Cold,Switchedoff,Not Reachable,Disconnecting the call,EMI Applied,Doc Pending,Call Busy,Call back re"&amp;"quested"</formula1>
    </dataValidation>
    <dataValidation type="list" allowBlank="1" showErrorMessage="1" sqref="V2:V98 Z2:Z98">
      <formula1>"Cold,Warm,Hot,Super Hot,Lost,Not Connected,Won,Connected,Approved,Rejected"</formula1>
    </dataValidation>
    <dataValidation type="list" allowBlank="1" showErrorMessage="1" sqref="U2:U98">
      <formula1>"Not Answering,Not Interested,Interested,Demo Scheduled,Demo Completed,Enrolled,EMI Rejected,Interested_DNP,Wrong Number,Not Reachable,Joined Elsewhere,Followup,Call Back Requested,Call Busy,Future Prospect Leads,Disconnecting the call,Switchedoff,Looking "&amp;"for job,No Incoming,EMI Process"</formula1>
    </dataValidation>
    <dataValidation type="list" allowBlank="1" showErrorMessage="1" sqref="D2:D98">
      <formula1>"Mech Combo,AutoCAD,CATIA,CREO,SOLIDWORKS,CIVIL ,DA,P-FSD,J-FSD,DM,DS,DADS,ST,CYBER-S,EMBEDDED,Others"</formula1>
    </dataValidation>
    <dataValidation type="list" allowBlank="1" showErrorMessage="1" sqref="A2:A98">
      <formula1>"Sasi,Brindha,Dustin"</formula1>
    </dataValidation>
    <dataValidation type="custom" allowBlank="1" showDropDown="1" sqref="E13:E33 E35 T2:T36">
      <formula1>OR(NOT(ISERROR(DATEVALUE(E2))), AND(ISNUMBER(E2), LEFT(CELL("format", E2))="D"))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3" max="3" width="11.0"/>
    <col customWidth="1" min="5" max="5" width="11.88"/>
    <col customWidth="1" min="6" max="6" width="10.63"/>
    <col customWidth="1" min="7" max="7" width="3.38"/>
    <col customWidth="1" min="8" max="8" width="7.63"/>
    <col customWidth="1" min="9" max="9" width="8.75"/>
    <col customWidth="1" min="10" max="11" width="2.63"/>
    <col customWidth="1" min="12" max="12" width="2.5"/>
    <col customWidth="1" min="13" max="13" width="2.38"/>
    <col customWidth="1" min="14" max="14" width="2.5"/>
    <col customWidth="1" min="15" max="15" width="2.63"/>
    <col customWidth="1" min="16" max="16" width="2.13"/>
    <col customWidth="1" min="17" max="17" width="2.75"/>
    <col customWidth="1" min="18" max="18" width="2.5"/>
    <col customWidth="1" min="19" max="19" width="2.38"/>
    <col customWidth="1" min="20" max="20" width="8.63"/>
    <col customWidth="1" min="21" max="22" width="16.38"/>
    <col customWidth="1" min="23" max="23" width="2.75"/>
    <col customWidth="1" min="24" max="24" width="44.75"/>
    <col customWidth="1" min="25" max="25" width="14.5"/>
    <col customWidth="1" min="26" max="26" width="14.13"/>
    <col customWidth="1" min="27" max="27" width="70.5"/>
  </cols>
  <sheetData>
    <row r="1">
      <c r="A1" s="1" t="s">
        <v>1016</v>
      </c>
      <c r="B1" s="50" t="s">
        <v>157</v>
      </c>
      <c r="C1" s="50" t="s">
        <v>334</v>
      </c>
      <c r="D1" s="88" t="s">
        <v>335</v>
      </c>
      <c r="E1" s="50" t="s">
        <v>336</v>
      </c>
      <c r="F1" s="50" t="s">
        <v>337</v>
      </c>
      <c r="G1" s="88" t="s">
        <v>338</v>
      </c>
      <c r="H1" s="88" t="s">
        <v>339</v>
      </c>
      <c r="I1" s="88" t="s">
        <v>340</v>
      </c>
      <c r="J1" s="50">
        <v>1.0</v>
      </c>
      <c r="K1" s="50">
        <v>2.0</v>
      </c>
      <c r="L1" s="50">
        <v>3.0</v>
      </c>
      <c r="M1" s="50">
        <v>4.0</v>
      </c>
      <c r="N1" s="50">
        <v>5.0</v>
      </c>
      <c r="O1" s="50">
        <v>6.0</v>
      </c>
      <c r="P1" s="50">
        <v>7.0</v>
      </c>
      <c r="Q1" s="1">
        <v>8.0</v>
      </c>
      <c r="R1" s="1">
        <v>9.0</v>
      </c>
      <c r="S1" s="1">
        <v>10.0</v>
      </c>
      <c r="T1" s="1" t="s">
        <v>341</v>
      </c>
      <c r="U1" s="1" t="s">
        <v>1017</v>
      </c>
      <c r="V1" s="51" t="s">
        <v>342</v>
      </c>
      <c r="W1" s="1" t="s">
        <v>343</v>
      </c>
      <c r="X1" s="52" t="s">
        <v>344</v>
      </c>
      <c r="Y1" s="51" t="s">
        <v>345</v>
      </c>
      <c r="Z1" s="3" t="s">
        <v>342</v>
      </c>
      <c r="AA1" s="3" t="s">
        <v>346</v>
      </c>
      <c r="AB1" s="69"/>
      <c r="AC1" s="69"/>
      <c r="AD1" s="69"/>
    </row>
    <row r="2">
      <c r="A2" s="121" t="s">
        <v>22</v>
      </c>
      <c r="B2" s="122" t="s">
        <v>1424</v>
      </c>
      <c r="C2" s="123">
        <v>9.025420254E9</v>
      </c>
      <c r="D2" s="124" t="s">
        <v>365</v>
      </c>
      <c r="E2" s="125" t="s">
        <v>1425</v>
      </c>
      <c r="F2" s="126" t="s">
        <v>1123</v>
      </c>
      <c r="G2" s="126" t="s">
        <v>716</v>
      </c>
      <c r="H2" s="126" t="s">
        <v>400</v>
      </c>
      <c r="I2" s="126" t="s">
        <v>380</v>
      </c>
      <c r="J2" s="127" t="b">
        <v>1</v>
      </c>
      <c r="K2" s="127" t="b">
        <v>1</v>
      </c>
      <c r="L2" s="127" t="b">
        <v>1</v>
      </c>
      <c r="M2" s="127" t="b">
        <v>1</v>
      </c>
      <c r="N2" s="94" t="b">
        <v>1</v>
      </c>
      <c r="O2" s="128" t="b">
        <v>1</v>
      </c>
      <c r="P2" s="127" t="b">
        <v>0</v>
      </c>
      <c r="Q2" s="127" t="b">
        <v>0</v>
      </c>
      <c r="R2" s="127" t="b">
        <v>0</v>
      </c>
      <c r="S2" s="127" t="b">
        <v>0</v>
      </c>
      <c r="T2" s="91">
        <v>46105.0</v>
      </c>
      <c r="U2" s="126" t="s">
        <v>357</v>
      </c>
      <c r="V2" s="129" t="s">
        <v>358</v>
      </c>
      <c r="W2" s="70" t="b">
        <v>0</v>
      </c>
      <c r="X2" s="126" t="s">
        <v>1426</v>
      </c>
      <c r="Y2" s="64" t="s">
        <v>361</v>
      </c>
      <c r="Z2" s="129" t="s">
        <v>362</v>
      </c>
      <c r="AA2" s="126" t="s">
        <v>1427</v>
      </c>
      <c r="AB2" s="69"/>
      <c r="AC2" s="69"/>
      <c r="AD2" s="69"/>
    </row>
    <row r="3">
      <c r="A3" s="121" t="s">
        <v>22</v>
      </c>
      <c r="B3" s="126" t="s">
        <v>1428</v>
      </c>
      <c r="C3" s="127">
        <v>9.677328889E9</v>
      </c>
      <c r="D3" s="124" t="s">
        <v>351</v>
      </c>
      <c r="E3" s="125" t="s">
        <v>1429</v>
      </c>
      <c r="F3" s="126" t="s">
        <v>409</v>
      </c>
      <c r="G3" s="126" t="s">
        <v>716</v>
      </c>
      <c r="H3" s="126" t="s">
        <v>355</v>
      </c>
      <c r="I3" s="126" t="s">
        <v>356</v>
      </c>
      <c r="J3" s="127" t="b">
        <v>1</v>
      </c>
      <c r="K3" s="127" t="b">
        <v>1</v>
      </c>
      <c r="L3" s="94" t="b">
        <v>1</v>
      </c>
      <c r="M3" s="128" t="b">
        <v>1</v>
      </c>
      <c r="N3" s="127" t="b">
        <v>0</v>
      </c>
      <c r="O3" s="127" t="b">
        <v>0</v>
      </c>
      <c r="P3" s="127" t="b">
        <v>0</v>
      </c>
      <c r="Q3" s="127" t="b">
        <v>0</v>
      </c>
      <c r="R3" s="127" t="b">
        <v>0</v>
      </c>
      <c r="S3" s="127" t="b">
        <v>0</v>
      </c>
      <c r="T3" s="91">
        <v>46105.0</v>
      </c>
      <c r="U3" s="126" t="s">
        <v>357</v>
      </c>
      <c r="V3" s="129" t="s">
        <v>358</v>
      </c>
      <c r="W3" s="70" t="b">
        <v>0</v>
      </c>
      <c r="X3" s="126" t="s">
        <v>1430</v>
      </c>
      <c r="Y3" s="64" t="s">
        <v>361</v>
      </c>
      <c r="Z3" s="129" t="s">
        <v>362</v>
      </c>
      <c r="AA3" s="126" t="s">
        <v>1427</v>
      </c>
      <c r="AB3" s="69"/>
      <c r="AC3" s="69"/>
      <c r="AD3" s="69"/>
    </row>
    <row r="4">
      <c r="A4" s="121" t="s">
        <v>22</v>
      </c>
      <c r="B4" s="126" t="s">
        <v>1431</v>
      </c>
      <c r="C4" s="127">
        <v>8.438379755E9</v>
      </c>
      <c r="D4" s="124" t="s">
        <v>351</v>
      </c>
      <c r="E4" s="125" t="s">
        <v>1432</v>
      </c>
      <c r="F4" s="126" t="s">
        <v>465</v>
      </c>
      <c r="G4" s="126" t="s">
        <v>716</v>
      </c>
      <c r="H4" s="126" t="s">
        <v>368</v>
      </c>
      <c r="I4" s="126" t="s">
        <v>380</v>
      </c>
      <c r="J4" s="70" t="b">
        <v>1</v>
      </c>
      <c r="K4" s="128" t="b">
        <v>1</v>
      </c>
      <c r="L4" s="128" t="b">
        <v>1</v>
      </c>
      <c r="M4" s="128" t="b">
        <v>1</v>
      </c>
      <c r="N4" s="128" t="b">
        <v>1</v>
      </c>
      <c r="O4" s="128" t="b">
        <v>1</v>
      </c>
      <c r="P4" s="94" t="b">
        <v>1</v>
      </c>
      <c r="Q4" s="94" t="b">
        <v>1</v>
      </c>
      <c r="R4" s="127" t="b">
        <v>0</v>
      </c>
      <c r="S4" s="127" t="b">
        <v>0</v>
      </c>
      <c r="T4" s="91">
        <v>46105.0</v>
      </c>
      <c r="U4" s="126" t="s">
        <v>357</v>
      </c>
      <c r="V4" s="129" t="s">
        <v>358</v>
      </c>
      <c r="W4" s="94" t="b">
        <v>1</v>
      </c>
      <c r="X4" s="126" t="s">
        <v>1433</v>
      </c>
      <c r="Y4" s="64" t="s">
        <v>382</v>
      </c>
      <c r="Z4" s="129" t="s">
        <v>358</v>
      </c>
      <c r="AA4" s="126" t="s">
        <v>1434</v>
      </c>
      <c r="AB4" s="69"/>
      <c r="AC4" s="69"/>
      <c r="AD4" s="69"/>
    </row>
    <row r="5">
      <c r="A5" s="121" t="s">
        <v>22</v>
      </c>
      <c r="B5" s="130" t="s">
        <v>1435</v>
      </c>
      <c r="C5" s="131">
        <v>9.600478179E9</v>
      </c>
      <c r="D5" s="130" t="s">
        <v>1436</v>
      </c>
      <c r="E5" s="132">
        <v>46032.86005423611</v>
      </c>
      <c r="F5" s="69" t="s">
        <v>1437</v>
      </c>
      <c r="G5" s="126" t="s">
        <v>1438</v>
      </c>
      <c r="H5" s="69" t="s">
        <v>1439</v>
      </c>
      <c r="I5" s="69" t="s">
        <v>1440</v>
      </c>
      <c r="J5" s="70" t="b">
        <v>1</v>
      </c>
      <c r="K5" s="70" t="b">
        <v>1</v>
      </c>
      <c r="L5" s="70" t="b">
        <v>1</v>
      </c>
      <c r="M5" s="94" t="b">
        <v>1</v>
      </c>
      <c r="N5" s="128" t="b">
        <v>1</v>
      </c>
      <c r="O5" s="128" t="b">
        <v>1</v>
      </c>
      <c r="P5" s="128" t="b">
        <v>1</v>
      </c>
      <c r="Q5" s="128" t="b">
        <v>1</v>
      </c>
      <c r="R5" s="128" t="b">
        <v>1</v>
      </c>
      <c r="S5" s="128" t="b">
        <v>1</v>
      </c>
      <c r="T5" s="91">
        <v>46120.0</v>
      </c>
      <c r="U5" s="126" t="s">
        <v>890</v>
      </c>
      <c r="V5" s="129" t="s">
        <v>891</v>
      </c>
      <c r="W5" s="70" t="b">
        <v>1</v>
      </c>
      <c r="X5" s="126" t="s">
        <v>1441</v>
      </c>
      <c r="Y5" s="64" t="s">
        <v>890</v>
      </c>
      <c r="Z5" s="129" t="s">
        <v>891</v>
      </c>
      <c r="AA5" s="126" t="s">
        <v>1442</v>
      </c>
      <c r="AB5" s="69"/>
      <c r="AC5" s="69"/>
      <c r="AD5" s="69"/>
    </row>
    <row r="6">
      <c r="A6" s="121" t="s">
        <v>22</v>
      </c>
      <c r="B6" s="130" t="s">
        <v>1018</v>
      </c>
      <c r="C6" s="131">
        <v>7.200941388E9</v>
      </c>
      <c r="D6" s="130" t="s">
        <v>1436</v>
      </c>
      <c r="E6" s="132">
        <v>46032.934804942124</v>
      </c>
      <c r="F6" s="69" t="s">
        <v>399</v>
      </c>
      <c r="G6" s="126" t="s">
        <v>1443</v>
      </c>
      <c r="H6" s="69" t="s">
        <v>1444</v>
      </c>
      <c r="I6" s="69" t="s">
        <v>1445</v>
      </c>
      <c r="J6" s="127" t="b">
        <v>1</v>
      </c>
      <c r="K6" s="127" t="b">
        <v>1</v>
      </c>
      <c r="L6" s="127" t="b">
        <v>1</v>
      </c>
      <c r="M6" s="127" t="b">
        <v>1</v>
      </c>
      <c r="N6" s="94" t="b">
        <v>1</v>
      </c>
      <c r="O6" s="70" t="b">
        <v>1</v>
      </c>
      <c r="P6" s="127" t="b">
        <v>0</v>
      </c>
      <c r="Q6" s="127" t="b">
        <v>0</v>
      </c>
      <c r="R6" s="127" t="b">
        <v>0</v>
      </c>
      <c r="S6" s="127" t="b">
        <v>0</v>
      </c>
      <c r="T6" s="91">
        <v>46105.0</v>
      </c>
      <c r="U6" s="126" t="s">
        <v>357</v>
      </c>
      <c r="V6" s="129" t="s">
        <v>358</v>
      </c>
      <c r="W6" s="70" t="b">
        <v>0</v>
      </c>
      <c r="X6" s="126" t="s">
        <v>1446</v>
      </c>
      <c r="Y6" s="63"/>
      <c r="Z6" s="133"/>
      <c r="AA6" s="126" t="s">
        <v>1427</v>
      </c>
      <c r="AB6" s="69"/>
      <c r="AC6" s="69"/>
      <c r="AD6" s="69"/>
    </row>
    <row r="7">
      <c r="A7" s="121" t="s">
        <v>22</v>
      </c>
      <c r="B7" s="130" t="s">
        <v>1447</v>
      </c>
      <c r="C7" s="131">
        <v>6.381029483E9</v>
      </c>
      <c r="D7" s="130" t="s">
        <v>169</v>
      </c>
      <c r="E7" s="132">
        <v>46033.07669339121</v>
      </c>
      <c r="F7" s="69" t="s">
        <v>1448</v>
      </c>
      <c r="G7" s="126" t="s">
        <v>1443</v>
      </c>
      <c r="H7" s="69" t="s">
        <v>1444</v>
      </c>
      <c r="I7" s="69" t="s">
        <v>1440</v>
      </c>
      <c r="J7" s="127" t="b">
        <v>1</v>
      </c>
      <c r="K7" s="70" t="b">
        <v>1</v>
      </c>
      <c r="L7" s="70" t="b">
        <v>1</v>
      </c>
      <c r="M7" s="128" t="b">
        <v>1</v>
      </c>
      <c r="N7" s="128" t="b">
        <v>1</v>
      </c>
      <c r="O7" s="128" t="b">
        <v>1</v>
      </c>
      <c r="P7" s="94" t="b">
        <v>1</v>
      </c>
      <c r="Q7" s="128" t="b">
        <v>1</v>
      </c>
      <c r="R7" s="128" t="b">
        <v>1</v>
      </c>
      <c r="S7" s="94" t="b">
        <v>1</v>
      </c>
      <c r="T7" s="91">
        <v>46112.0</v>
      </c>
      <c r="U7" s="126" t="s">
        <v>357</v>
      </c>
      <c r="V7" s="129" t="s">
        <v>358</v>
      </c>
      <c r="W7" s="94" t="b">
        <v>1</v>
      </c>
      <c r="X7" s="126" t="s">
        <v>1449</v>
      </c>
      <c r="Y7" s="64" t="s">
        <v>661</v>
      </c>
      <c r="Z7" s="129" t="s">
        <v>358</v>
      </c>
      <c r="AA7" s="9" t="s">
        <v>1450</v>
      </c>
      <c r="AB7" s="69"/>
      <c r="AC7" s="69"/>
      <c r="AD7" s="69"/>
    </row>
    <row r="8">
      <c r="A8" s="121" t="s">
        <v>22</v>
      </c>
      <c r="B8" s="130" t="s">
        <v>1451</v>
      </c>
      <c r="C8" s="131">
        <v>9.751139094E9</v>
      </c>
      <c r="D8" s="130" t="s">
        <v>1452</v>
      </c>
      <c r="E8" s="132">
        <v>46033.534908726855</v>
      </c>
      <c r="F8" s="69" t="s">
        <v>1437</v>
      </c>
      <c r="G8" s="126" t="s">
        <v>1453</v>
      </c>
      <c r="H8" s="69" t="s">
        <v>1444</v>
      </c>
      <c r="I8" s="69" t="s">
        <v>1440</v>
      </c>
      <c r="J8" s="94" t="b">
        <v>1</v>
      </c>
      <c r="K8" s="127" t="b">
        <v>0</v>
      </c>
      <c r="L8" s="127" t="b">
        <v>0</v>
      </c>
      <c r="M8" s="127" t="b">
        <v>0</v>
      </c>
      <c r="N8" s="127" t="b">
        <v>0</v>
      </c>
      <c r="O8" s="127" t="b">
        <v>0</v>
      </c>
      <c r="P8" s="127" t="b">
        <v>0</v>
      </c>
      <c r="Q8" s="127" t="b">
        <v>0</v>
      </c>
      <c r="R8" s="127" t="b">
        <v>0</v>
      </c>
      <c r="S8" s="127" t="b">
        <v>0</v>
      </c>
      <c r="T8" s="91">
        <v>46034.0</v>
      </c>
      <c r="U8" s="126" t="s">
        <v>375</v>
      </c>
      <c r="V8" s="129" t="s">
        <v>358</v>
      </c>
      <c r="W8" s="70" t="b">
        <v>0</v>
      </c>
      <c r="X8" s="126" t="s">
        <v>1454</v>
      </c>
      <c r="Y8" s="63"/>
      <c r="Z8" s="133"/>
      <c r="AA8" s="69"/>
      <c r="AB8" s="69"/>
      <c r="AC8" s="69"/>
      <c r="AD8" s="69"/>
    </row>
    <row r="9">
      <c r="A9" s="121" t="s">
        <v>22</v>
      </c>
      <c r="B9" s="130" t="s">
        <v>1455</v>
      </c>
      <c r="C9" s="131">
        <v>9.791459216E9</v>
      </c>
      <c r="D9" s="130" t="s">
        <v>169</v>
      </c>
      <c r="E9" s="132">
        <v>46033.61206762731</v>
      </c>
      <c r="F9" s="69" t="s">
        <v>1456</v>
      </c>
      <c r="G9" s="126" t="s">
        <v>1453</v>
      </c>
      <c r="H9" s="69" t="s">
        <v>1444</v>
      </c>
      <c r="I9" s="69" t="s">
        <v>1457</v>
      </c>
      <c r="J9" s="127" t="b">
        <v>1</v>
      </c>
      <c r="K9" s="70" t="b">
        <v>1</v>
      </c>
      <c r="L9" s="94" t="b">
        <v>1</v>
      </c>
      <c r="M9" s="127" t="b">
        <v>0</v>
      </c>
      <c r="N9" s="127" t="b">
        <v>0</v>
      </c>
      <c r="O9" s="127" t="b">
        <v>0</v>
      </c>
      <c r="P9" s="127" t="b">
        <v>0</v>
      </c>
      <c r="Q9" s="127" t="b">
        <v>0</v>
      </c>
      <c r="R9" s="127" t="b">
        <v>0</v>
      </c>
      <c r="S9" s="127" t="b">
        <v>0</v>
      </c>
      <c r="T9" s="91">
        <v>46041.0</v>
      </c>
      <c r="U9" s="126" t="s">
        <v>357</v>
      </c>
      <c r="V9" s="129" t="s">
        <v>358</v>
      </c>
      <c r="W9" s="70" t="b">
        <v>0</v>
      </c>
      <c r="X9" s="126" t="s">
        <v>1458</v>
      </c>
      <c r="Y9" s="63"/>
      <c r="Z9" s="133"/>
      <c r="AA9" s="69"/>
      <c r="AB9" s="69"/>
      <c r="AC9" s="69"/>
      <c r="AD9" s="69"/>
    </row>
    <row r="10">
      <c r="A10" s="121" t="s">
        <v>22</v>
      </c>
      <c r="B10" s="130" t="s">
        <v>1459</v>
      </c>
      <c r="C10" s="131">
        <v>7.708268947E9</v>
      </c>
      <c r="D10" s="130" t="s">
        <v>1452</v>
      </c>
      <c r="E10" s="132">
        <v>46033.70117460648</v>
      </c>
      <c r="F10" s="69" t="s">
        <v>465</v>
      </c>
      <c r="G10" s="126" t="s">
        <v>1453</v>
      </c>
      <c r="H10" s="69" t="s">
        <v>1439</v>
      </c>
      <c r="I10" s="69" t="s">
        <v>1460</v>
      </c>
      <c r="J10" s="70" t="b">
        <v>1</v>
      </c>
      <c r="K10" s="128" t="b">
        <v>1</v>
      </c>
      <c r="L10" s="128" t="b">
        <v>1</v>
      </c>
      <c r="M10" s="128" t="b">
        <v>1</v>
      </c>
      <c r="N10" s="128" t="b">
        <v>1</v>
      </c>
      <c r="O10" s="94" t="b">
        <v>1</v>
      </c>
      <c r="P10" s="127" t="b">
        <v>0</v>
      </c>
      <c r="Q10" s="127" t="b">
        <v>0</v>
      </c>
      <c r="R10" s="127" t="b">
        <v>0</v>
      </c>
      <c r="S10" s="127" t="b">
        <v>0</v>
      </c>
      <c r="T10" s="91">
        <v>46092.0</v>
      </c>
      <c r="U10" s="126" t="s">
        <v>357</v>
      </c>
      <c r="V10" s="129" t="s">
        <v>358</v>
      </c>
      <c r="W10" s="94" t="b">
        <v>1</v>
      </c>
      <c r="X10" s="126" t="s">
        <v>1461</v>
      </c>
      <c r="Y10" s="64" t="s">
        <v>357</v>
      </c>
      <c r="Z10" s="129" t="s">
        <v>358</v>
      </c>
      <c r="AA10" s="126" t="s">
        <v>1462</v>
      </c>
      <c r="AB10" s="69"/>
      <c r="AC10" s="69"/>
      <c r="AD10" s="69"/>
    </row>
    <row r="11">
      <c r="A11" s="121" t="s">
        <v>22</v>
      </c>
      <c r="B11" s="130" t="s">
        <v>1463</v>
      </c>
      <c r="C11" s="131">
        <v>8.940536391E9</v>
      </c>
      <c r="D11" s="130" t="s">
        <v>1452</v>
      </c>
      <c r="E11" s="132">
        <v>46033.94232614583</v>
      </c>
      <c r="F11" s="69" t="s">
        <v>1437</v>
      </c>
      <c r="G11" s="126" t="s">
        <v>1453</v>
      </c>
      <c r="H11" s="69" t="s">
        <v>1444</v>
      </c>
      <c r="I11" s="69" t="s">
        <v>1457</v>
      </c>
      <c r="J11" s="127" t="b">
        <v>1</v>
      </c>
      <c r="K11" s="127" t="b">
        <v>1</v>
      </c>
      <c r="L11" s="127" t="b">
        <v>1</v>
      </c>
      <c r="M11" s="127" t="b">
        <v>1</v>
      </c>
      <c r="N11" s="70" t="b">
        <v>1</v>
      </c>
      <c r="O11" s="128" t="b">
        <v>1</v>
      </c>
      <c r="P11" s="134" t="b">
        <v>1</v>
      </c>
      <c r="Q11" s="94" t="b">
        <v>1</v>
      </c>
      <c r="R11" s="134" t="b">
        <v>1</v>
      </c>
      <c r="S11" s="94" t="b">
        <v>1</v>
      </c>
      <c r="T11" s="91">
        <v>46104.0</v>
      </c>
      <c r="U11" s="126" t="s">
        <v>357</v>
      </c>
      <c r="V11" s="129" t="s">
        <v>358</v>
      </c>
      <c r="W11" s="94" t="b">
        <v>1</v>
      </c>
      <c r="X11" s="126" t="s">
        <v>1464</v>
      </c>
      <c r="Y11" s="64" t="s">
        <v>357</v>
      </c>
      <c r="Z11" s="129" t="s">
        <v>358</v>
      </c>
      <c r="AA11" s="126" t="s">
        <v>1465</v>
      </c>
      <c r="AB11" s="69"/>
      <c r="AC11" s="69"/>
      <c r="AD11" s="69"/>
    </row>
    <row r="12">
      <c r="A12" s="121" t="s">
        <v>22</v>
      </c>
      <c r="B12" s="130" t="s">
        <v>1466</v>
      </c>
      <c r="C12" s="135">
        <f>+918270532824</f>
        <v>918270532824</v>
      </c>
      <c r="D12" s="136" t="s">
        <v>1467</v>
      </c>
      <c r="E12" s="137" t="s">
        <v>1468</v>
      </c>
      <c r="F12" s="126" t="s">
        <v>1469</v>
      </c>
      <c r="G12" s="126" t="s">
        <v>716</v>
      </c>
      <c r="H12" s="126" t="s">
        <v>1470</v>
      </c>
      <c r="I12" s="126" t="s">
        <v>1332</v>
      </c>
      <c r="J12" s="94" t="b">
        <v>1</v>
      </c>
      <c r="K12" s="127" t="b">
        <v>0</v>
      </c>
      <c r="L12" s="127" t="b">
        <v>0</v>
      </c>
      <c r="M12" s="127" t="b">
        <v>0</v>
      </c>
      <c r="N12" s="127" t="b">
        <v>0</v>
      </c>
      <c r="O12" s="127" t="b">
        <v>0</v>
      </c>
      <c r="P12" s="127" t="b">
        <v>0</v>
      </c>
      <c r="Q12" s="127" t="b">
        <v>0</v>
      </c>
      <c r="R12" s="127" t="b">
        <v>0</v>
      </c>
      <c r="S12" s="127" t="b">
        <v>0</v>
      </c>
      <c r="T12" s="91">
        <v>46034.0</v>
      </c>
      <c r="U12" s="126" t="s">
        <v>357</v>
      </c>
      <c r="V12" s="129" t="s">
        <v>358</v>
      </c>
      <c r="W12" s="70" t="b">
        <v>0</v>
      </c>
      <c r="X12" s="126" t="s">
        <v>1471</v>
      </c>
      <c r="Y12" s="63"/>
      <c r="Z12" s="133"/>
      <c r="AA12" s="69"/>
      <c r="AB12" s="69"/>
      <c r="AC12" s="69"/>
      <c r="AD12" s="69"/>
    </row>
    <row r="13">
      <c r="A13" s="121" t="s">
        <v>22</v>
      </c>
      <c r="B13" s="130" t="s">
        <v>1472</v>
      </c>
      <c r="C13" s="131">
        <v>8.428833042E9</v>
      </c>
      <c r="D13" s="136" t="s">
        <v>1473</v>
      </c>
      <c r="E13" s="138" t="s">
        <v>1474</v>
      </c>
      <c r="F13" s="136" t="s">
        <v>1069</v>
      </c>
      <c r="G13" s="126" t="s">
        <v>716</v>
      </c>
      <c r="H13" s="136" t="s">
        <v>1475</v>
      </c>
      <c r="I13" s="126" t="s">
        <v>1476</v>
      </c>
      <c r="J13" s="127" t="b">
        <v>1</v>
      </c>
      <c r="K13" s="70" t="b">
        <v>1</v>
      </c>
      <c r="L13" s="70" t="b">
        <v>1</v>
      </c>
      <c r="M13" s="94" t="b">
        <v>1</v>
      </c>
      <c r="N13" s="127" t="b">
        <v>0</v>
      </c>
      <c r="O13" s="127" t="b">
        <v>0</v>
      </c>
      <c r="P13" s="127" t="b">
        <v>0</v>
      </c>
      <c r="Q13" s="127" t="b">
        <v>0</v>
      </c>
      <c r="R13" s="127" t="b">
        <v>0</v>
      </c>
      <c r="S13" s="127" t="b">
        <v>0</v>
      </c>
      <c r="T13" s="91">
        <v>46043.0</v>
      </c>
      <c r="U13" s="126" t="s">
        <v>357</v>
      </c>
      <c r="V13" s="129" t="s">
        <v>358</v>
      </c>
      <c r="W13" s="70" t="b">
        <v>0</v>
      </c>
      <c r="X13" s="126" t="s">
        <v>1477</v>
      </c>
      <c r="Y13" s="64" t="s">
        <v>357</v>
      </c>
      <c r="Z13" s="129" t="s">
        <v>358</v>
      </c>
      <c r="AA13" s="126" t="s">
        <v>1090</v>
      </c>
      <c r="AB13" s="69"/>
      <c r="AC13" s="69"/>
      <c r="AD13" s="69"/>
    </row>
    <row r="14">
      <c r="A14" s="121" t="s">
        <v>22</v>
      </c>
      <c r="B14" s="130" t="s">
        <v>1478</v>
      </c>
      <c r="C14" s="139">
        <v>9.626348822E9</v>
      </c>
      <c r="D14" s="136" t="s">
        <v>1473</v>
      </c>
      <c r="E14" s="138" t="s">
        <v>1479</v>
      </c>
      <c r="F14" s="136" t="s">
        <v>1480</v>
      </c>
      <c r="G14" s="126" t="s">
        <v>716</v>
      </c>
      <c r="H14" s="136" t="s">
        <v>1481</v>
      </c>
      <c r="I14" s="136" t="s">
        <v>1476</v>
      </c>
      <c r="J14" s="127" t="b">
        <v>1</v>
      </c>
      <c r="K14" s="70" t="b">
        <v>1</v>
      </c>
      <c r="L14" s="128" t="b">
        <v>1</v>
      </c>
      <c r="M14" s="128" t="b">
        <v>1</v>
      </c>
      <c r="N14" s="94" t="b">
        <v>1</v>
      </c>
      <c r="O14" s="127" t="b">
        <v>0</v>
      </c>
      <c r="P14" s="127" t="b">
        <v>0</v>
      </c>
      <c r="Q14" s="127" t="b">
        <v>0</v>
      </c>
      <c r="R14" s="127" t="b">
        <v>0</v>
      </c>
      <c r="S14" s="127" t="b">
        <v>0</v>
      </c>
      <c r="T14" s="91">
        <v>46046.0</v>
      </c>
      <c r="U14" s="126" t="s">
        <v>357</v>
      </c>
      <c r="V14" s="129" t="s">
        <v>358</v>
      </c>
      <c r="W14" s="94" t="b">
        <v>1</v>
      </c>
      <c r="X14" s="126" t="s">
        <v>1482</v>
      </c>
      <c r="Y14" s="64" t="s">
        <v>357</v>
      </c>
      <c r="Z14" s="129" t="s">
        <v>358</v>
      </c>
      <c r="AA14" s="126" t="s">
        <v>1483</v>
      </c>
      <c r="AB14" s="69"/>
      <c r="AC14" s="69"/>
      <c r="AD14" s="69"/>
    </row>
    <row r="15">
      <c r="A15" s="121" t="s">
        <v>22</v>
      </c>
      <c r="B15" s="130" t="s">
        <v>1484</v>
      </c>
      <c r="C15" s="139">
        <v>8.122861386E9</v>
      </c>
      <c r="D15" s="130" t="s">
        <v>1467</v>
      </c>
      <c r="E15" s="138" t="s">
        <v>1485</v>
      </c>
      <c r="F15" s="136" t="s">
        <v>465</v>
      </c>
      <c r="G15" s="126" t="s">
        <v>716</v>
      </c>
      <c r="H15" s="136" t="s">
        <v>1475</v>
      </c>
      <c r="I15" s="136" t="s">
        <v>1332</v>
      </c>
      <c r="J15" s="127" t="b">
        <v>1</v>
      </c>
      <c r="K15" s="127" t="b">
        <v>1</v>
      </c>
      <c r="L15" s="127" t="b">
        <v>1</v>
      </c>
      <c r="M15" s="94" t="b">
        <v>1</v>
      </c>
      <c r="N15" s="127" t="b">
        <v>0</v>
      </c>
      <c r="O15" s="127" t="b">
        <v>0</v>
      </c>
      <c r="P15" s="127" t="b">
        <v>0</v>
      </c>
      <c r="Q15" s="127" t="b">
        <v>0</v>
      </c>
      <c r="R15" s="127" t="b">
        <v>0</v>
      </c>
      <c r="S15" s="127" t="b">
        <v>0</v>
      </c>
      <c r="T15" s="91">
        <v>46044.0</v>
      </c>
      <c r="U15" s="126" t="s">
        <v>357</v>
      </c>
      <c r="V15" s="129" t="s">
        <v>358</v>
      </c>
      <c r="W15" s="70" t="b">
        <v>0</v>
      </c>
      <c r="X15" s="126" t="s">
        <v>1486</v>
      </c>
      <c r="Y15" s="63"/>
      <c r="Z15" s="133"/>
      <c r="AA15" s="69"/>
      <c r="AB15" s="69"/>
      <c r="AC15" s="69"/>
      <c r="AD15" s="69"/>
    </row>
    <row r="16">
      <c r="A16" s="121" t="s">
        <v>22</v>
      </c>
      <c r="B16" s="140" t="s">
        <v>1487</v>
      </c>
      <c r="C16" s="141">
        <v>8.248958977E9</v>
      </c>
      <c r="D16" s="142" t="s">
        <v>1452</v>
      </c>
      <c r="E16" s="143">
        <v>46034.87806300926</v>
      </c>
      <c r="F16" s="136" t="s">
        <v>465</v>
      </c>
      <c r="G16" s="126" t="s">
        <v>1453</v>
      </c>
      <c r="H16" s="142" t="s">
        <v>1488</v>
      </c>
      <c r="I16" s="142" t="s">
        <v>1445</v>
      </c>
      <c r="J16" s="127" t="b">
        <v>1</v>
      </c>
      <c r="K16" s="127" t="b">
        <v>1</v>
      </c>
      <c r="L16" s="127" t="b">
        <v>1</v>
      </c>
      <c r="M16" s="144" t="b">
        <v>1</v>
      </c>
      <c r="N16" s="127" t="b">
        <v>0</v>
      </c>
      <c r="O16" s="127" t="b">
        <v>0</v>
      </c>
      <c r="P16" s="127" t="b">
        <v>0</v>
      </c>
      <c r="Q16" s="127" t="b">
        <v>0</v>
      </c>
      <c r="R16" s="127" t="b">
        <v>0</v>
      </c>
      <c r="S16" s="127" t="b">
        <v>0</v>
      </c>
      <c r="T16" s="91">
        <v>46046.0</v>
      </c>
      <c r="U16" s="126" t="s">
        <v>357</v>
      </c>
      <c r="V16" s="129" t="s">
        <v>358</v>
      </c>
      <c r="W16" s="70" t="b">
        <v>0</v>
      </c>
      <c r="X16" s="126" t="s">
        <v>1489</v>
      </c>
      <c r="Y16" s="63"/>
      <c r="Z16" s="133"/>
      <c r="AA16" s="69"/>
      <c r="AB16" s="69"/>
      <c r="AC16" s="69"/>
      <c r="AD16" s="69"/>
    </row>
    <row r="17">
      <c r="A17" s="121" t="s">
        <v>22</v>
      </c>
      <c r="B17" s="8" t="s">
        <v>1490</v>
      </c>
      <c r="C17" s="145">
        <v>9.360910568E9</v>
      </c>
      <c r="D17" s="8" t="s">
        <v>1467</v>
      </c>
      <c r="E17" s="28" t="s">
        <v>1491</v>
      </c>
      <c r="F17" s="8" t="s">
        <v>399</v>
      </c>
      <c r="G17" s="126" t="s">
        <v>716</v>
      </c>
      <c r="H17" s="126" t="s">
        <v>1475</v>
      </c>
      <c r="I17" s="8" t="s">
        <v>1332</v>
      </c>
      <c r="J17" s="127" t="b">
        <v>1</v>
      </c>
      <c r="K17" s="127" t="b">
        <v>1</v>
      </c>
      <c r="L17" s="127" t="b">
        <v>1</v>
      </c>
      <c r="M17" s="127" t="b">
        <v>1</v>
      </c>
      <c r="N17" s="127" t="b">
        <v>1</v>
      </c>
      <c r="O17" s="94" t="b">
        <v>1</v>
      </c>
      <c r="P17" s="127" t="b">
        <v>0</v>
      </c>
      <c r="Q17" s="127" t="b">
        <v>0</v>
      </c>
      <c r="R17" s="127" t="b">
        <v>0</v>
      </c>
      <c r="S17" s="127" t="b">
        <v>0</v>
      </c>
      <c r="T17" s="91">
        <v>46049.0</v>
      </c>
      <c r="U17" s="126" t="s">
        <v>357</v>
      </c>
      <c r="V17" s="129" t="s">
        <v>358</v>
      </c>
      <c r="W17" s="70" t="b">
        <v>0</v>
      </c>
      <c r="X17" s="126" t="s">
        <v>1492</v>
      </c>
      <c r="Y17" s="63"/>
      <c r="Z17" s="133"/>
      <c r="AA17" s="69"/>
      <c r="AB17" s="69"/>
      <c r="AC17" s="69"/>
      <c r="AD17" s="69"/>
    </row>
    <row r="18">
      <c r="A18" s="121" t="s">
        <v>22</v>
      </c>
      <c r="B18" s="140" t="s">
        <v>1493</v>
      </c>
      <c r="C18" s="146">
        <v>8.124547707E9</v>
      </c>
      <c r="D18" s="140" t="s">
        <v>1452</v>
      </c>
      <c r="E18" s="147">
        <v>46035.91634956018</v>
      </c>
      <c r="F18" s="148" t="s">
        <v>1437</v>
      </c>
      <c r="G18" s="149" t="s">
        <v>1453</v>
      </c>
      <c r="H18" s="148" t="s">
        <v>1494</v>
      </c>
      <c r="I18" s="148" t="s">
        <v>1440</v>
      </c>
      <c r="J18" s="127" t="b">
        <v>1</v>
      </c>
      <c r="K18" s="70" t="b">
        <v>1</v>
      </c>
      <c r="L18" s="70" t="b">
        <v>1</v>
      </c>
      <c r="M18" s="94" t="b">
        <v>1</v>
      </c>
      <c r="N18" s="127" t="b">
        <v>0</v>
      </c>
      <c r="O18" s="127" t="b">
        <v>0</v>
      </c>
      <c r="P18" s="127" t="b">
        <v>0</v>
      </c>
      <c r="Q18" s="127" t="b">
        <v>0</v>
      </c>
      <c r="R18" s="127" t="b">
        <v>0</v>
      </c>
      <c r="S18" s="127" t="b">
        <v>0</v>
      </c>
      <c r="T18" s="91">
        <v>46044.0</v>
      </c>
      <c r="U18" s="126" t="s">
        <v>357</v>
      </c>
      <c r="V18" s="129" t="s">
        <v>358</v>
      </c>
      <c r="W18" s="70" t="b">
        <v>0</v>
      </c>
      <c r="X18" s="126" t="s">
        <v>1495</v>
      </c>
      <c r="Y18" s="64" t="s">
        <v>684</v>
      </c>
      <c r="Z18" s="129" t="s">
        <v>358</v>
      </c>
      <c r="AA18" s="126" t="s">
        <v>1496</v>
      </c>
      <c r="AB18" s="69"/>
      <c r="AC18" s="69"/>
      <c r="AD18" s="69"/>
    </row>
    <row r="19">
      <c r="A19" s="121" t="s">
        <v>22</v>
      </c>
      <c r="B19" s="140" t="s">
        <v>1497</v>
      </c>
      <c r="C19" s="141">
        <v>8.778445968E9</v>
      </c>
      <c r="D19" s="140" t="s">
        <v>1452</v>
      </c>
      <c r="E19" s="147">
        <v>46036.4946347338</v>
      </c>
      <c r="F19" s="150" t="s">
        <v>1498</v>
      </c>
      <c r="G19" s="151" t="s">
        <v>1453</v>
      </c>
      <c r="H19" s="150" t="s">
        <v>1488</v>
      </c>
      <c r="I19" s="150" t="s">
        <v>1440</v>
      </c>
      <c r="J19" s="70" t="b">
        <v>1</v>
      </c>
      <c r="K19" s="128" t="b">
        <v>1</v>
      </c>
      <c r="L19" s="128" t="b">
        <v>1</v>
      </c>
      <c r="M19" s="94" t="b">
        <v>1</v>
      </c>
      <c r="N19" s="127" t="b">
        <v>0</v>
      </c>
      <c r="O19" s="127" t="b">
        <v>0</v>
      </c>
      <c r="P19" s="127" t="b">
        <v>0</v>
      </c>
      <c r="Q19" s="127" t="b">
        <v>0</v>
      </c>
      <c r="R19" s="127" t="b">
        <v>0</v>
      </c>
      <c r="S19" s="127" t="b">
        <v>0</v>
      </c>
      <c r="T19" s="91">
        <v>46046.0</v>
      </c>
      <c r="U19" s="126" t="s">
        <v>357</v>
      </c>
      <c r="V19" s="129" t="s">
        <v>358</v>
      </c>
      <c r="W19" s="94" t="b">
        <v>1</v>
      </c>
      <c r="X19" s="126" t="s">
        <v>1499</v>
      </c>
      <c r="Y19" s="64" t="s">
        <v>357</v>
      </c>
      <c r="Z19" s="129" t="s">
        <v>358</v>
      </c>
      <c r="AA19" s="126" t="s">
        <v>1500</v>
      </c>
      <c r="AB19" s="69"/>
      <c r="AC19" s="69"/>
      <c r="AD19" s="69"/>
    </row>
    <row r="20">
      <c r="A20" s="121" t="s">
        <v>22</v>
      </c>
      <c r="B20" s="140" t="s">
        <v>1501</v>
      </c>
      <c r="C20" s="141">
        <v>6.383531124E9</v>
      </c>
      <c r="D20" s="140" t="s">
        <v>286</v>
      </c>
      <c r="E20" s="147">
        <v>46036.66005601852</v>
      </c>
      <c r="F20" s="148" t="s">
        <v>399</v>
      </c>
      <c r="G20" s="149" t="s">
        <v>1453</v>
      </c>
      <c r="H20" s="148" t="s">
        <v>1444</v>
      </c>
      <c r="I20" s="148" t="s">
        <v>1457</v>
      </c>
      <c r="J20" s="127" t="b">
        <v>1</v>
      </c>
      <c r="K20" s="127" t="b">
        <v>1</v>
      </c>
      <c r="L20" s="127" t="b">
        <v>1</v>
      </c>
      <c r="M20" s="127" t="b">
        <v>1</v>
      </c>
      <c r="N20" s="127" t="b">
        <v>1</v>
      </c>
      <c r="O20" s="94" t="b">
        <v>1</v>
      </c>
      <c r="P20" s="127" t="b">
        <v>0</v>
      </c>
      <c r="Q20" s="127" t="b">
        <v>0</v>
      </c>
      <c r="R20" s="127" t="b">
        <v>0</v>
      </c>
      <c r="S20" s="127" t="b">
        <v>0</v>
      </c>
      <c r="T20" s="91">
        <v>46050.0</v>
      </c>
      <c r="U20" s="126" t="s">
        <v>357</v>
      </c>
      <c r="V20" s="129" t="s">
        <v>358</v>
      </c>
      <c r="W20" s="70" t="b">
        <v>0</v>
      </c>
      <c r="X20" s="126" t="s">
        <v>1502</v>
      </c>
      <c r="Y20" s="63"/>
      <c r="Z20" s="133"/>
      <c r="AA20" s="69"/>
      <c r="AB20" s="69"/>
      <c r="AC20" s="69"/>
      <c r="AD20" s="69"/>
    </row>
    <row r="21">
      <c r="A21" s="121"/>
      <c r="B21" s="69"/>
      <c r="C21" s="69"/>
      <c r="D21" s="69"/>
      <c r="E21" s="152"/>
      <c r="F21" s="69"/>
      <c r="G21" s="69"/>
      <c r="H21" s="69"/>
      <c r="I21" s="69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69"/>
      <c r="U21" s="126"/>
      <c r="V21" s="133"/>
      <c r="W21" s="70"/>
      <c r="X21" s="69"/>
      <c r="Y21" s="63"/>
      <c r="Z21" s="133"/>
      <c r="AA21" s="69"/>
      <c r="AB21" s="69"/>
      <c r="AC21" s="69"/>
      <c r="AD21" s="69"/>
    </row>
    <row r="22">
      <c r="A22" s="121"/>
      <c r="B22" s="69"/>
      <c r="C22" s="69"/>
      <c r="D22" s="69"/>
      <c r="E22" s="152"/>
      <c r="F22" s="69"/>
      <c r="G22" s="69"/>
      <c r="H22" s="69"/>
      <c r="I22" s="69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69"/>
      <c r="U22" s="126"/>
      <c r="V22" s="133"/>
      <c r="W22" s="70"/>
      <c r="X22" s="69"/>
      <c r="Y22" s="63"/>
      <c r="Z22" s="133"/>
      <c r="AA22" s="69"/>
      <c r="AB22" s="69"/>
      <c r="AC22" s="69"/>
      <c r="AD22" s="69"/>
    </row>
    <row r="23">
      <c r="A23" s="121"/>
      <c r="B23" s="69"/>
      <c r="C23" s="69"/>
      <c r="D23" s="69"/>
      <c r="E23" s="152"/>
      <c r="F23" s="69"/>
      <c r="G23" s="69"/>
      <c r="H23" s="69"/>
      <c r="I23" s="69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69"/>
      <c r="U23" s="126"/>
      <c r="V23" s="133"/>
      <c r="W23" s="70"/>
      <c r="X23" s="69"/>
      <c r="Y23" s="63"/>
      <c r="Z23" s="133"/>
      <c r="AA23" s="69"/>
      <c r="AB23" s="69"/>
      <c r="AC23" s="69"/>
      <c r="AD23" s="69"/>
    </row>
    <row r="24">
      <c r="A24" s="121"/>
      <c r="B24" s="69"/>
      <c r="C24" s="69"/>
      <c r="D24" s="69"/>
      <c r="E24" s="152"/>
      <c r="F24" s="69"/>
      <c r="G24" s="69"/>
      <c r="H24" s="69"/>
      <c r="I24" s="69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69"/>
      <c r="U24" s="126"/>
      <c r="V24" s="133"/>
      <c r="W24" s="70"/>
      <c r="X24" s="69"/>
      <c r="Y24" s="63"/>
      <c r="Z24" s="133"/>
      <c r="AA24" s="69"/>
      <c r="AB24" s="69"/>
      <c r="AC24" s="69"/>
      <c r="AD24" s="69"/>
    </row>
    <row r="25">
      <c r="A25" s="121"/>
      <c r="B25" s="69"/>
      <c r="C25" s="69"/>
      <c r="D25" s="69"/>
      <c r="E25" s="152"/>
      <c r="F25" s="69"/>
      <c r="G25" s="69"/>
      <c r="H25" s="69"/>
      <c r="I25" s="69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69"/>
      <c r="U25" s="126"/>
      <c r="V25" s="133"/>
      <c r="W25" s="70"/>
      <c r="X25" s="69"/>
      <c r="Y25" s="63"/>
      <c r="Z25" s="133"/>
      <c r="AA25" s="69"/>
      <c r="AB25" s="69"/>
      <c r="AC25" s="69"/>
      <c r="AD25" s="69"/>
    </row>
    <row r="26">
      <c r="A26" s="121"/>
      <c r="B26" s="69"/>
      <c r="C26" s="69"/>
      <c r="D26" s="69"/>
      <c r="E26" s="152"/>
      <c r="F26" s="69"/>
      <c r="G26" s="69"/>
      <c r="H26" s="69"/>
      <c r="I26" s="69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69"/>
      <c r="U26" s="126"/>
      <c r="V26" s="133"/>
      <c r="W26" s="70"/>
      <c r="X26" s="69"/>
      <c r="Y26" s="63"/>
      <c r="Z26" s="133"/>
      <c r="AA26" s="69"/>
      <c r="AB26" s="69"/>
      <c r="AC26" s="69"/>
      <c r="AD26" s="69"/>
    </row>
    <row r="27">
      <c r="A27" s="121"/>
      <c r="B27" s="69"/>
      <c r="C27" s="69"/>
      <c r="D27" s="69"/>
      <c r="E27" s="152"/>
      <c r="F27" s="69"/>
      <c r="G27" s="69"/>
      <c r="H27" s="69"/>
      <c r="I27" s="69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69"/>
      <c r="U27" s="126"/>
      <c r="V27" s="133"/>
      <c r="W27" s="70"/>
      <c r="X27" s="69"/>
      <c r="Y27" s="63"/>
      <c r="Z27" s="133"/>
      <c r="AA27" s="69"/>
      <c r="AB27" s="69"/>
      <c r="AC27" s="69"/>
      <c r="AD27" s="69"/>
    </row>
    <row r="28">
      <c r="A28" s="121"/>
      <c r="B28" s="69"/>
      <c r="C28" s="69"/>
      <c r="D28" s="69"/>
      <c r="E28" s="69"/>
      <c r="F28" s="69"/>
      <c r="G28" s="69"/>
      <c r="H28" s="69"/>
      <c r="I28" s="69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69"/>
      <c r="U28" s="126"/>
      <c r="V28" s="133"/>
      <c r="W28" s="70"/>
      <c r="X28" s="69"/>
      <c r="Y28" s="63"/>
      <c r="Z28" s="133"/>
      <c r="AA28" s="69"/>
      <c r="AB28" s="69"/>
      <c r="AC28" s="69"/>
      <c r="AD28" s="69"/>
    </row>
    <row r="29">
      <c r="A29" s="121"/>
      <c r="B29" s="69"/>
      <c r="C29" s="69"/>
      <c r="D29" s="69"/>
      <c r="E29" s="69"/>
      <c r="F29" s="69"/>
      <c r="G29" s="69"/>
      <c r="H29" s="69"/>
      <c r="I29" s="69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69"/>
      <c r="U29" s="126"/>
      <c r="V29" s="133"/>
      <c r="W29" s="70"/>
      <c r="X29" s="69"/>
      <c r="Y29" s="63"/>
      <c r="Z29" s="133"/>
      <c r="AA29" s="69"/>
      <c r="AB29" s="69"/>
      <c r="AC29" s="69"/>
      <c r="AD29" s="69"/>
    </row>
    <row r="30">
      <c r="A30" s="121"/>
      <c r="B30" s="69"/>
      <c r="C30" s="69"/>
      <c r="D30" s="69"/>
      <c r="E30" s="69"/>
      <c r="F30" s="69"/>
      <c r="G30" s="69"/>
      <c r="H30" s="69"/>
      <c r="I30" s="69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69"/>
      <c r="U30" s="126"/>
      <c r="V30" s="133"/>
      <c r="W30" s="70"/>
      <c r="X30" s="69"/>
      <c r="Y30" s="63"/>
      <c r="Z30" s="133"/>
      <c r="AA30" s="69"/>
      <c r="AB30" s="69"/>
      <c r="AC30" s="69"/>
      <c r="AD30" s="69"/>
    </row>
    <row r="31">
      <c r="A31" s="121"/>
      <c r="B31" s="69"/>
      <c r="C31" s="69"/>
      <c r="D31" s="69"/>
      <c r="E31" s="69"/>
      <c r="F31" s="69"/>
      <c r="G31" s="69"/>
      <c r="H31" s="69"/>
      <c r="I31" s="69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69"/>
      <c r="U31" s="126"/>
      <c r="V31" s="133"/>
      <c r="W31" s="70"/>
      <c r="X31" s="69"/>
      <c r="Y31" s="63"/>
      <c r="Z31" s="133"/>
      <c r="AA31" s="69"/>
      <c r="AB31" s="69"/>
      <c r="AC31" s="69"/>
      <c r="AD31" s="69"/>
    </row>
    <row r="32">
      <c r="A32" s="121"/>
      <c r="B32" s="69"/>
      <c r="C32" s="69"/>
      <c r="D32" s="69"/>
      <c r="E32" s="69"/>
      <c r="F32" s="69"/>
      <c r="G32" s="69"/>
      <c r="H32" s="69"/>
      <c r="I32" s="69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69"/>
      <c r="U32" s="126"/>
      <c r="V32" s="133"/>
      <c r="W32" s="70"/>
      <c r="X32" s="69"/>
      <c r="Y32" s="63"/>
      <c r="Z32" s="133"/>
      <c r="AA32" s="69"/>
      <c r="AB32" s="69"/>
      <c r="AC32" s="69"/>
      <c r="AD32" s="69"/>
    </row>
    <row r="33">
      <c r="A33" s="121"/>
      <c r="B33" s="69"/>
      <c r="C33" s="69"/>
      <c r="D33" s="69"/>
      <c r="E33" s="69"/>
      <c r="F33" s="69"/>
      <c r="G33" s="69"/>
      <c r="H33" s="69"/>
      <c r="I33" s="69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69"/>
      <c r="U33" s="126"/>
      <c r="V33" s="133"/>
      <c r="W33" s="70"/>
      <c r="X33" s="69"/>
      <c r="Y33" s="63"/>
      <c r="Z33" s="133"/>
      <c r="AA33" s="69"/>
      <c r="AB33" s="69"/>
      <c r="AC33" s="69"/>
      <c r="AD33" s="69"/>
    </row>
    <row r="34">
      <c r="A34" s="121"/>
      <c r="B34" s="69"/>
      <c r="C34" s="69"/>
      <c r="D34" s="69"/>
      <c r="E34" s="69"/>
      <c r="F34" s="69"/>
      <c r="G34" s="69"/>
      <c r="H34" s="69"/>
      <c r="I34" s="69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69"/>
      <c r="U34" s="126"/>
      <c r="V34" s="133"/>
      <c r="W34" s="70"/>
      <c r="X34" s="69"/>
      <c r="Y34" s="63"/>
      <c r="Z34" s="133"/>
      <c r="AA34" s="69"/>
      <c r="AB34" s="69"/>
      <c r="AC34" s="69"/>
      <c r="AD34" s="69"/>
    </row>
    <row r="35">
      <c r="A35" s="121"/>
      <c r="B35" s="69"/>
      <c r="C35" s="69"/>
      <c r="D35" s="69"/>
      <c r="E35" s="69"/>
      <c r="F35" s="69"/>
      <c r="G35" s="69"/>
      <c r="H35" s="69"/>
      <c r="I35" s="69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69"/>
      <c r="U35" s="126"/>
      <c r="V35" s="133"/>
      <c r="W35" s="70"/>
      <c r="X35" s="69"/>
      <c r="Y35" s="63"/>
      <c r="Z35" s="133"/>
      <c r="AA35" s="69"/>
      <c r="AB35" s="69"/>
      <c r="AC35" s="69"/>
      <c r="AD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69"/>
      <c r="U36" s="126"/>
      <c r="V36" s="133"/>
      <c r="W36" s="70"/>
      <c r="X36" s="69"/>
      <c r="Y36" s="63"/>
      <c r="Z36" s="133"/>
      <c r="AA36" s="69"/>
      <c r="AB36" s="69"/>
      <c r="AC36" s="69"/>
      <c r="AD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69"/>
      <c r="U37" s="126"/>
      <c r="V37" s="133"/>
      <c r="W37" s="70"/>
      <c r="X37" s="69"/>
      <c r="Y37" s="63"/>
      <c r="Z37" s="133"/>
      <c r="AA37" s="69"/>
      <c r="AB37" s="69"/>
      <c r="AC37" s="69"/>
      <c r="AD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126"/>
      <c r="Y54" s="69"/>
      <c r="Z54" s="69"/>
      <c r="AA54" s="69"/>
      <c r="AB54" s="69"/>
      <c r="AC54" s="69"/>
      <c r="AD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</row>
  </sheetData>
  <dataValidations>
    <dataValidation type="list" allowBlank="1" showErrorMessage="1" sqref="V2:V20 Z2:Z20">
      <formula1>"Cold,Warm,Hot,Super Hot,Lost,Not Connected,Won,Connected"</formula1>
    </dataValidation>
    <dataValidation type="list" allowBlank="1" showErrorMessage="1" sqref="Y2:Y20">
      <formula1>"EMI doc shared,EMI Rejected,Interested,Enrolled,Not Interested, Not Interested_Fees High,Plan Dropped,Joined Elsewhere,EMI Approved,FPL,Not Answering,Gone Cold,Switchedoff,Not Reachable,Disconnecting the call,EMI Applied,Doc Pending,Call Busy,Call back re"&amp;"quested"</formula1>
    </dataValidation>
    <dataValidation type="list" allowBlank="1" showErrorMessage="1" sqref="A2:A20">
      <formula1>"Sasi,Brindha,Dustin"</formula1>
    </dataValidation>
    <dataValidation type="custom" allowBlank="1" showDropDown="1" sqref="T2:T20">
      <formula1>OR(NOT(ISERROR(DATEVALUE(T2))), AND(ISNUMBER(T2), LEFT(CELL("format", T2))="D"))</formula1>
    </dataValidation>
    <dataValidation type="list" allowBlank="1" showErrorMessage="1" sqref="U2:U20">
      <formula1>"Not Answering,Not Interested,Interested,Demo Scheduled,Demo Completed,Enrolled,EMI Rejected,Interested_DNP,Wrong Number,Not Reachable,Joined Elsewhere,Followup,Call Back Requested,Call Busy,Future Prospect Leads,Disconnecting the call,Switchedoff,Looking "&amp;"for job"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3.63"/>
    <col customWidth="1" min="2" max="2" width="16.0"/>
    <col customWidth="1" min="4" max="4" width="10.63"/>
    <col customWidth="1" min="5" max="5" width="15.0"/>
    <col customWidth="1" min="6" max="6" width="10.75"/>
    <col customWidth="1" min="7" max="8" width="2.75"/>
    <col customWidth="1" min="9" max="9" width="2.88"/>
    <col customWidth="1" min="10" max="12" width="2.75"/>
    <col customWidth="1" min="13" max="13" width="2.63"/>
    <col customWidth="1" min="14" max="14" width="2.75"/>
    <col customWidth="1" min="15" max="15" width="2.88"/>
    <col customWidth="1" min="16" max="16" width="2.38"/>
    <col customWidth="1" min="17" max="17" width="8.75"/>
    <col customWidth="1" min="18" max="18" width="14.25"/>
    <col customWidth="1" min="20" max="20" width="2.88"/>
    <col customWidth="1" min="21" max="21" width="27.0"/>
    <col customWidth="1" min="22" max="22" width="2.75"/>
    <col customWidth="1" min="23" max="23" width="16.38"/>
    <col customWidth="1" min="24" max="24" width="18.38"/>
    <col customWidth="1" min="25" max="25" width="49.38"/>
  </cols>
  <sheetData>
    <row r="1">
      <c r="A1" s="153" t="s">
        <v>1503</v>
      </c>
      <c r="B1" s="153" t="s">
        <v>1504</v>
      </c>
      <c r="C1" s="99" t="s">
        <v>157</v>
      </c>
      <c r="D1" s="153" t="s">
        <v>1505</v>
      </c>
      <c r="E1" s="100" t="s">
        <v>335</v>
      </c>
      <c r="F1" s="99" t="s">
        <v>337</v>
      </c>
      <c r="G1" s="99">
        <v>1.0</v>
      </c>
      <c r="H1" s="99">
        <v>2.0</v>
      </c>
      <c r="I1" s="99">
        <v>3.0</v>
      </c>
      <c r="J1" s="99">
        <v>4.0</v>
      </c>
      <c r="K1" s="99">
        <v>5.0</v>
      </c>
      <c r="L1" s="99">
        <v>6.0</v>
      </c>
      <c r="M1" s="99">
        <v>7.0</v>
      </c>
      <c r="N1" s="99">
        <v>8.0</v>
      </c>
      <c r="O1" s="99">
        <v>9.0</v>
      </c>
      <c r="P1" s="99">
        <v>10.0</v>
      </c>
      <c r="Q1" s="99" t="s">
        <v>341</v>
      </c>
      <c r="R1" s="99" t="s">
        <v>1017</v>
      </c>
      <c r="S1" s="102" t="s">
        <v>342</v>
      </c>
      <c r="T1" s="99" t="s">
        <v>343</v>
      </c>
      <c r="U1" s="102" t="s">
        <v>344</v>
      </c>
      <c r="V1" s="153" t="s">
        <v>1506</v>
      </c>
      <c r="W1" s="102" t="s">
        <v>345</v>
      </c>
      <c r="X1" s="99" t="s">
        <v>342</v>
      </c>
      <c r="Y1" s="99" t="s">
        <v>346</v>
      </c>
      <c r="Z1" s="154"/>
      <c r="AA1" s="154"/>
      <c r="AB1" s="154"/>
      <c r="AC1" s="154"/>
      <c r="AD1" s="154"/>
      <c r="AE1" s="154"/>
      <c r="AF1" s="154"/>
    </row>
    <row r="2">
      <c r="A2" s="30" t="s">
        <v>146</v>
      </c>
      <c r="B2" s="155" t="s">
        <v>1507</v>
      </c>
      <c r="C2" s="9" t="s">
        <v>1508</v>
      </c>
      <c r="D2" s="13">
        <v>9.360868362E9</v>
      </c>
      <c r="E2" s="8" t="s">
        <v>38</v>
      </c>
      <c r="F2" s="9" t="s">
        <v>1149</v>
      </c>
      <c r="G2" s="57" t="b">
        <v>1</v>
      </c>
      <c r="H2" s="54" t="b">
        <v>1</v>
      </c>
      <c r="I2" s="10" t="b">
        <v>0</v>
      </c>
      <c r="J2" s="10" t="b">
        <v>0</v>
      </c>
      <c r="K2" s="10" t="b">
        <v>0</v>
      </c>
      <c r="L2" s="10" t="b">
        <v>0</v>
      </c>
      <c r="M2" s="10" t="b">
        <v>0</v>
      </c>
      <c r="N2" s="10" t="b">
        <v>0</v>
      </c>
      <c r="O2" s="10" t="b">
        <v>0</v>
      </c>
      <c r="P2" s="10" t="b">
        <v>0</v>
      </c>
      <c r="Q2" s="119">
        <v>46073.0</v>
      </c>
      <c r="R2" s="6" t="s">
        <v>357</v>
      </c>
      <c r="S2" s="6" t="s">
        <v>358</v>
      </c>
      <c r="T2" s="54" t="b">
        <v>1</v>
      </c>
      <c r="U2" s="9" t="s">
        <v>1509</v>
      </c>
      <c r="V2" s="70" t="b">
        <v>0</v>
      </c>
      <c r="W2" s="6" t="s">
        <v>684</v>
      </c>
      <c r="X2" s="6" t="s">
        <v>358</v>
      </c>
      <c r="Y2" s="9" t="s">
        <v>1510</v>
      </c>
      <c r="Z2" s="4"/>
      <c r="AA2" s="4"/>
      <c r="AB2" s="4"/>
      <c r="AC2" s="4"/>
      <c r="AD2" s="4"/>
      <c r="AE2" s="4"/>
      <c r="AF2" s="4"/>
    </row>
    <row r="3">
      <c r="A3" s="30" t="s">
        <v>146</v>
      </c>
      <c r="B3" s="155" t="s">
        <v>1507</v>
      </c>
      <c r="C3" s="9" t="s">
        <v>1511</v>
      </c>
      <c r="D3" s="13">
        <v>9.585823503E9</v>
      </c>
      <c r="E3" s="8" t="s">
        <v>38</v>
      </c>
      <c r="F3" s="9" t="s">
        <v>1149</v>
      </c>
      <c r="G3" s="57" t="b">
        <v>1</v>
      </c>
      <c r="H3" s="67" t="b">
        <v>1</v>
      </c>
      <c r="I3" s="71" t="b">
        <v>1</v>
      </c>
      <c r="J3" s="156" t="b">
        <v>1</v>
      </c>
      <c r="K3" s="10" t="b">
        <v>0</v>
      </c>
      <c r="L3" s="10" t="b">
        <v>0</v>
      </c>
      <c r="M3" s="10" t="b">
        <v>0</v>
      </c>
      <c r="N3" s="10" t="b">
        <v>0</v>
      </c>
      <c r="O3" s="10" t="b">
        <v>0</v>
      </c>
      <c r="P3" s="10" t="b">
        <v>0</v>
      </c>
      <c r="Q3" s="119">
        <v>46077.0</v>
      </c>
      <c r="R3" s="6" t="s">
        <v>357</v>
      </c>
      <c r="S3" s="6" t="s">
        <v>358</v>
      </c>
      <c r="T3" s="54" t="b">
        <v>1</v>
      </c>
      <c r="U3" s="9" t="s">
        <v>1512</v>
      </c>
      <c r="V3" s="70" t="b">
        <v>0</v>
      </c>
      <c r="W3" s="6" t="s">
        <v>661</v>
      </c>
      <c r="X3" s="6" t="s">
        <v>358</v>
      </c>
      <c r="Y3" s="9" t="s">
        <v>1513</v>
      </c>
      <c r="Z3" s="4"/>
      <c r="AA3" s="4"/>
      <c r="AB3" s="4"/>
      <c r="AC3" s="4"/>
      <c r="AD3" s="4"/>
      <c r="AE3" s="4"/>
      <c r="AF3" s="4"/>
    </row>
    <row r="4">
      <c r="A4" s="30" t="s">
        <v>146</v>
      </c>
      <c r="B4" s="155" t="s">
        <v>1507</v>
      </c>
      <c r="C4" s="9" t="s">
        <v>1514</v>
      </c>
      <c r="D4" s="13">
        <v>9.047564132E9</v>
      </c>
      <c r="E4" s="8" t="s">
        <v>185</v>
      </c>
      <c r="F4" s="4"/>
      <c r="G4" s="57" t="b">
        <v>1</v>
      </c>
      <c r="H4" s="57" t="b">
        <v>1</v>
      </c>
      <c r="I4" s="57" t="b">
        <v>1</v>
      </c>
      <c r="J4" s="57" t="b">
        <v>1</v>
      </c>
      <c r="K4" s="54" t="b">
        <v>1</v>
      </c>
      <c r="L4" s="10" t="b">
        <v>0</v>
      </c>
      <c r="M4" s="10" t="b">
        <v>0</v>
      </c>
      <c r="N4" s="10" t="b">
        <v>0</v>
      </c>
      <c r="O4" s="10" t="b">
        <v>0</v>
      </c>
      <c r="P4" s="10" t="b">
        <v>0</v>
      </c>
      <c r="Q4" s="119">
        <v>46081.0</v>
      </c>
      <c r="R4" s="6" t="s">
        <v>357</v>
      </c>
      <c r="S4" s="6" t="s">
        <v>358</v>
      </c>
      <c r="T4" s="54" t="b">
        <v>1</v>
      </c>
      <c r="U4" s="9" t="s">
        <v>1515</v>
      </c>
      <c r="V4" s="70" t="b">
        <v>0</v>
      </c>
      <c r="W4" s="6" t="s">
        <v>382</v>
      </c>
      <c r="X4" s="6" t="s">
        <v>358</v>
      </c>
      <c r="Y4" s="6" t="s">
        <v>1516</v>
      </c>
      <c r="Z4" s="4"/>
      <c r="AA4" s="4"/>
      <c r="AB4" s="4"/>
      <c r="AC4" s="4"/>
      <c r="AD4" s="4"/>
      <c r="AE4" s="4"/>
      <c r="AF4" s="4"/>
    </row>
    <row r="5">
      <c r="A5" s="30" t="s">
        <v>146</v>
      </c>
      <c r="B5" s="155" t="s">
        <v>1507</v>
      </c>
      <c r="C5" s="9" t="s">
        <v>1517</v>
      </c>
      <c r="D5" s="13">
        <v>8.438713578E9</v>
      </c>
      <c r="E5" s="8" t="s">
        <v>1518</v>
      </c>
      <c r="F5" s="9" t="s">
        <v>1519</v>
      </c>
      <c r="G5" s="57" t="b">
        <v>1</v>
      </c>
      <c r="H5" s="54" t="b">
        <v>1</v>
      </c>
      <c r="I5" s="10" t="b">
        <v>0</v>
      </c>
      <c r="J5" s="10" t="b">
        <v>0</v>
      </c>
      <c r="K5" s="10" t="b">
        <v>0</v>
      </c>
      <c r="L5" s="10" t="b">
        <v>0</v>
      </c>
      <c r="M5" s="10" t="b">
        <v>0</v>
      </c>
      <c r="N5" s="10" t="b">
        <v>0</v>
      </c>
      <c r="O5" s="10" t="b">
        <v>0</v>
      </c>
      <c r="P5" s="10" t="b">
        <v>0</v>
      </c>
      <c r="Q5" s="119">
        <v>46073.0</v>
      </c>
      <c r="R5" s="6" t="s">
        <v>543</v>
      </c>
      <c r="S5" s="6" t="s">
        <v>358</v>
      </c>
      <c r="T5" s="54" t="b">
        <v>1</v>
      </c>
      <c r="U5" s="9" t="s">
        <v>1520</v>
      </c>
      <c r="V5" s="70" t="b">
        <v>0</v>
      </c>
      <c r="W5" s="6" t="s">
        <v>684</v>
      </c>
      <c r="X5" s="6" t="s">
        <v>358</v>
      </c>
      <c r="Y5" s="9" t="s">
        <v>1521</v>
      </c>
      <c r="Z5" s="4"/>
      <c r="AA5" s="4"/>
      <c r="AB5" s="4"/>
      <c r="AC5" s="4"/>
      <c r="AD5" s="4"/>
      <c r="AE5" s="4"/>
      <c r="AF5" s="4"/>
    </row>
    <row r="6">
      <c r="A6" s="30" t="s">
        <v>146</v>
      </c>
      <c r="B6" s="155" t="s">
        <v>1507</v>
      </c>
      <c r="C6" s="9" t="s">
        <v>1522</v>
      </c>
      <c r="D6" s="13">
        <v>9.944442535E9</v>
      </c>
      <c r="E6" s="8" t="s">
        <v>38</v>
      </c>
      <c r="F6" s="4"/>
      <c r="G6" s="57" t="b">
        <v>1</v>
      </c>
      <c r="H6" s="57" t="b">
        <v>1</v>
      </c>
      <c r="I6" s="67" t="b">
        <v>1</v>
      </c>
      <c r="J6" s="67" t="b">
        <v>1</v>
      </c>
      <c r="K6" s="67" t="b">
        <v>1</v>
      </c>
      <c r="L6" s="67" t="b">
        <v>1</v>
      </c>
      <c r="M6" s="54" t="b">
        <v>1</v>
      </c>
      <c r="N6" s="10" t="b">
        <v>0</v>
      </c>
      <c r="O6" s="10" t="b">
        <v>0</v>
      </c>
      <c r="P6" s="10" t="b">
        <v>0</v>
      </c>
      <c r="Q6" s="119">
        <v>46091.0</v>
      </c>
      <c r="R6" s="6" t="s">
        <v>357</v>
      </c>
      <c r="S6" s="6" t="s">
        <v>358</v>
      </c>
      <c r="T6" s="54" t="b">
        <v>1</v>
      </c>
      <c r="U6" s="9" t="s">
        <v>1523</v>
      </c>
      <c r="V6" s="70" t="b">
        <v>0</v>
      </c>
      <c r="W6" s="6" t="s">
        <v>382</v>
      </c>
      <c r="X6" s="6" t="s">
        <v>358</v>
      </c>
      <c r="Y6" s="6" t="s">
        <v>1524</v>
      </c>
      <c r="Z6" s="4"/>
      <c r="AA6" s="4"/>
      <c r="AB6" s="4"/>
      <c r="AC6" s="4"/>
      <c r="AD6" s="4"/>
      <c r="AE6" s="4"/>
      <c r="AF6" s="4"/>
    </row>
    <row r="7">
      <c r="A7" s="30" t="s">
        <v>146</v>
      </c>
      <c r="B7" s="155" t="s">
        <v>1507</v>
      </c>
      <c r="C7" s="9" t="s">
        <v>1525</v>
      </c>
      <c r="D7" s="13">
        <v>9.894039804E9</v>
      </c>
      <c r="E7" s="8" t="s">
        <v>185</v>
      </c>
      <c r="F7" s="9" t="s">
        <v>1526</v>
      </c>
      <c r="G7" s="57" t="b">
        <v>1</v>
      </c>
      <c r="H7" s="67" t="b">
        <v>1</v>
      </c>
      <c r="I7" s="54" t="b">
        <v>1</v>
      </c>
      <c r="J7" s="10" t="b">
        <v>0</v>
      </c>
      <c r="K7" s="10" t="b">
        <v>0</v>
      </c>
      <c r="L7" s="10" t="b">
        <v>0</v>
      </c>
      <c r="M7" s="10" t="b">
        <v>0</v>
      </c>
      <c r="N7" s="10" t="b">
        <v>0</v>
      </c>
      <c r="O7" s="10" t="b">
        <v>0</v>
      </c>
      <c r="P7" s="10" t="b">
        <v>0</v>
      </c>
      <c r="Q7" s="119">
        <v>46076.0</v>
      </c>
      <c r="R7" s="6" t="s">
        <v>357</v>
      </c>
      <c r="S7" s="6" t="s">
        <v>358</v>
      </c>
      <c r="T7" s="54" t="b">
        <v>1</v>
      </c>
      <c r="U7" s="9" t="s">
        <v>1527</v>
      </c>
      <c r="V7" s="70" t="b">
        <v>0</v>
      </c>
      <c r="W7" s="6" t="s">
        <v>684</v>
      </c>
      <c r="X7" s="6" t="s">
        <v>358</v>
      </c>
      <c r="Y7" s="9" t="s">
        <v>1528</v>
      </c>
      <c r="Z7" s="4"/>
      <c r="AA7" s="4"/>
      <c r="AB7" s="4"/>
      <c r="AC7" s="4"/>
      <c r="AD7" s="4"/>
      <c r="AE7" s="4"/>
      <c r="AF7" s="4"/>
    </row>
    <row r="8">
      <c r="A8" s="30" t="s">
        <v>146</v>
      </c>
      <c r="B8" s="155" t="s">
        <v>1507</v>
      </c>
      <c r="C8" s="9" t="s">
        <v>1529</v>
      </c>
      <c r="D8" s="13">
        <v>8.610231375E9</v>
      </c>
      <c r="E8" s="8" t="s">
        <v>38</v>
      </c>
      <c r="F8" s="9" t="s">
        <v>1084</v>
      </c>
      <c r="G8" s="57" t="b">
        <v>1</v>
      </c>
      <c r="H8" s="67" t="b">
        <v>1</v>
      </c>
      <c r="I8" s="67" t="b">
        <v>1</v>
      </c>
      <c r="J8" s="54" t="b">
        <v>1</v>
      </c>
      <c r="K8" s="10" t="b">
        <v>0</v>
      </c>
      <c r="L8" s="10" t="b">
        <v>0</v>
      </c>
      <c r="M8" s="10" t="b">
        <v>0</v>
      </c>
      <c r="N8" s="10" t="b">
        <v>0</v>
      </c>
      <c r="O8" s="10" t="b">
        <v>0</v>
      </c>
      <c r="P8" s="10" t="b">
        <v>0</v>
      </c>
      <c r="Q8" s="119">
        <v>46076.0</v>
      </c>
      <c r="R8" s="6" t="s">
        <v>357</v>
      </c>
      <c r="S8" s="6" t="s">
        <v>358</v>
      </c>
      <c r="T8" s="54" t="b">
        <v>1</v>
      </c>
      <c r="U8" s="9" t="s">
        <v>1530</v>
      </c>
      <c r="V8" s="70" t="b">
        <v>0</v>
      </c>
      <c r="W8" s="6" t="s">
        <v>357</v>
      </c>
      <c r="X8" s="6" t="s">
        <v>358</v>
      </c>
      <c r="Y8" s="9" t="s">
        <v>1531</v>
      </c>
      <c r="Z8" s="4"/>
      <c r="AA8" s="4"/>
      <c r="AB8" s="4"/>
      <c r="AC8" s="4"/>
      <c r="AD8" s="4"/>
      <c r="AE8" s="4"/>
      <c r="AF8" s="4"/>
    </row>
    <row r="9">
      <c r="A9" s="30" t="s">
        <v>146</v>
      </c>
      <c r="B9" s="155" t="s">
        <v>1507</v>
      </c>
      <c r="C9" s="9" t="s">
        <v>1532</v>
      </c>
      <c r="D9" s="13">
        <v>8.42881313E9</v>
      </c>
      <c r="E9" s="8" t="s">
        <v>180</v>
      </c>
      <c r="F9" s="9" t="s">
        <v>1533</v>
      </c>
      <c r="G9" s="57" t="b">
        <v>1</v>
      </c>
      <c r="H9" s="67" t="b">
        <v>1</v>
      </c>
      <c r="I9" s="71" t="b">
        <v>1</v>
      </c>
      <c r="J9" s="95" t="b">
        <v>1</v>
      </c>
      <c r="K9" s="54" t="b">
        <v>1</v>
      </c>
      <c r="L9" s="10" t="b">
        <v>0</v>
      </c>
      <c r="M9" s="10" t="b">
        <v>0</v>
      </c>
      <c r="N9" s="10" t="b">
        <v>0</v>
      </c>
      <c r="O9" s="10" t="b">
        <v>0</v>
      </c>
      <c r="P9" s="10" t="b">
        <v>0</v>
      </c>
      <c r="Q9" s="119">
        <v>46083.0</v>
      </c>
      <c r="R9" s="6" t="s">
        <v>357</v>
      </c>
      <c r="S9" s="6" t="s">
        <v>358</v>
      </c>
      <c r="T9" s="54" t="b">
        <v>1</v>
      </c>
      <c r="U9" s="9" t="s">
        <v>1534</v>
      </c>
      <c r="V9" s="70" t="b">
        <v>0</v>
      </c>
      <c r="W9" s="6" t="s">
        <v>684</v>
      </c>
      <c r="X9" s="6" t="s">
        <v>358</v>
      </c>
      <c r="Y9" s="9" t="s">
        <v>1535</v>
      </c>
      <c r="Z9" s="4"/>
      <c r="AA9" s="4"/>
      <c r="AB9" s="4"/>
      <c r="AC9" s="4"/>
      <c r="AD9" s="4"/>
      <c r="AE9" s="4"/>
      <c r="AF9" s="4"/>
    </row>
    <row r="10">
      <c r="A10" s="30" t="s">
        <v>146</v>
      </c>
      <c r="B10" s="155" t="s">
        <v>1507</v>
      </c>
      <c r="C10" s="9" t="s">
        <v>1536</v>
      </c>
      <c r="D10" s="13">
        <v>9.566915824E9</v>
      </c>
      <c r="E10" s="8" t="s">
        <v>180</v>
      </c>
      <c r="F10" s="4"/>
      <c r="G10" s="57" t="b">
        <v>1</v>
      </c>
      <c r="H10" s="57" t="b">
        <v>1</v>
      </c>
      <c r="I10" s="57" t="b">
        <v>1</v>
      </c>
      <c r="J10" s="57" t="b">
        <v>1</v>
      </c>
      <c r="K10" s="54" t="b">
        <v>1</v>
      </c>
      <c r="L10" s="10" t="b">
        <v>0</v>
      </c>
      <c r="M10" s="10" t="b">
        <v>0</v>
      </c>
      <c r="N10" s="10" t="b">
        <v>0</v>
      </c>
      <c r="O10" s="10" t="b">
        <v>0</v>
      </c>
      <c r="P10" s="10" t="b">
        <v>0</v>
      </c>
      <c r="Q10" s="119">
        <v>46079.0</v>
      </c>
      <c r="R10" s="6" t="s">
        <v>357</v>
      </c>
      <c r="S10" s="6" t="s">
        <v>358</v>
      </c>
      <c r="T10" s="54" t="b">
        <v>1</v>
      </c>
      <c r="U10" s="9" t="s">
        <v>1537</v>
      </c>
      <c r="V10" s="70" t="b">
        <v>0</v>
      </c>
      <c r="W10" s="6" t="s">
        <v>382</v>
      </c>
      <c r="X10" s="6" t="s">
        <v>358</v>
      </c>
      <c r="Y10" s="6" t="s">
        <v>1538</v>
      </c>
      <c r="Z10" s="4"/>
      <c r="AA10" s="4"/>
      <c r="AB10" s="4"/>
      <c r="AC10" s="4"/>
      <c r="AD10" s="4"/>
      <c r="AE10" s="4"/>
      <c r="AF10" s="4"/>
    </row>
    <row r="11">
      <c r="A11" s="30" t="s">
        <v>146</v>
      </c>
      <c r="B11" s="155" t="s">
        <v>1507</v>
      </c>
      <c r="C11" s="9" t="s">
        <v>1539</v>
      </c>
      <c r="D11" s="13">
        <v>9.36358057E9</v>
      </c>
      <c r="E11" s="8" t="s">
        <v>38</v>
      </c>
      <c r="F11" s="4"/>
      <c r="G11" s="57" t="b">
        <v>1</v>
      </c>
      <c r="H11" s="57" t="b">
        <v>1</v>
      </c>
      <c r="I11" s="54" t="b">
        <v>1</v>
      </c>
      <c r="J11" s="10" t="b">
        <v>0</v>
      </c>
      <c r="K11" s="10" t="b">
        <v>0</v>
      </c>
      <c r="L11" s="10" t="b">
        <v>0</v>
      </c>
      <c r="M11" s="10" t="b">
        <v>0</v>
      </c>
      <c r="N11" s="10" t="b">
        <v>0</v>
      </c>
      <c r="O11" s="10" t="b">
        <v>0</v>
      </c>
      <c r="P11" s="10" t="b">
        <v>0</v>
      </c>
      <c r="Q11" s="119">
        <v>46073.0</v>
      </c>
      <c r="R11" s="6" t="s">
        <v>357</v>
      </c>
      <c r="S11" s="6" t="s">
        <v>358</v>
      </c>
      <c r="T11" s="54" t="b">
        <v>1</v>
      </c>
      <c r="U11" s="9" t="s">
        <v>1540</v>
      </c>
      <c r="V11" s="70" t="b">
        <v>0</v>
      </c>
      <c r="W11" s="6" t="s">
        <v>357</v>
      </c>
      <c r="X11" s="6" t="s">
        <v>358</v>
      </c>
      <c r="Y11" s="9" t="s">
        <v>1541</v>
      </c>
      <c r="Z11" s="4"/>
      <c r="AA11" s="4"/>
      <c r="AB11" s="4"/>
      <c r="AC11" s="4"/>
      <c r="AD11" s="4"/>
      <c r="AE11" s="4"/>
      <c r="AF11" s="4"/>
    </row>
    <row r="12">
      <c r="A12" s="30" t="s">
        <v>146</v>
      </c>
      <c r="B12" s="155" t="s">
        <v>1507</v>
      </c>
      <c r="C12" s="9" t="s">
        <v>1542</v>
      </c>
      <c r="D12" s="13">
        <v>8.940722088E9</v>
      </c>
      <c r="E12" s="8" t="s">
        <v>69</v>
      </c>
      <c r="F12" s="4"/>
      <c r="G12" s="57" t="b">
        <v>1</v>
      </c>
      <c r="H12" s="57" t="b">
        <v>1</v>
      </c>
      <c r="I12" s="67" t="b">
        <v>1</v>
      </c>
      <c r="J12" s="71" t="b">
        <v>1</v>
      </c>
      <c r="K12" s="95" t="b">
        <v>1</v>
      </c>
      <c r="L12" s="10" t="b">
        <v>0</v>
      </c>
      <c r="M12" s="10" t="b">
        <v>0</v>
      </c>
      <c r="N12" s="10" t="b">
        <v>0</v>
      </c>
      <c r="O12" s="10" t="b">
        <v>0</v>
      </c>
      <c r="P12" s="10" t="b">
        <v>0</v>
      </c>
      <c r="Q12" s="119">
        <v>46078.0</v>
      </c>
      <c r="R12" s="6" t="s">
        <v>890</v>
      </c>
      <c r="S12" s="6" t="s">
        <v>891</v>
      </c>
      <c r="T12" s="57" t="b">
        <v>1</v>
      </c>
      <c r="U12" s="9" t="s">
        <v>1543</v>
      </c>
      <c r="V12" s="70" t="b">
        <v>0</v>
      </c>
      <c r="W12" s="6" t="s">
        <v>890</v>
      </c>
      <c r="X12" s="6" t="s">
        <v>891</v>
      </c>
      <c r="Y12" s="6" t="s">
        <v>1544</v>
      </c>
      <c r="Z12" s="4"/>
      <c r="AA12" s="4"/>
      <c r="AB12" s="4"/>
      <c r="AC12" s="4"/>
      <c r="AD12" s="4"/>
      <c r="AE12" s="4"/>
      <c r="AF12" s="4"/>
    </row>
    <row r="13">
      <c r="A13" s="30" t="s">
        <v>146</v>
      </c>
      <c r="B13" s="155" t="s">
        <v>1507</v>
      </c>
      <c r="C13" s="9" t="s">
        <v>1545</v>
      </c>
      <c r="D13" s="13">
        <v>8.870105498E9</v>
      </c>
      <c r="E13" s="8" t="s">
        <v>180</v>
      </c>
      <c r="F13" s="4"/>
      <c r="G13" s="57" t="b">
        <v>1</v>
      </c>
      <c r="H13" s="57" t="b">
        <v>1</v>
      </c>
      <c r="I13" s="57" t="b">
        <v>1</v>
      </c>
      <c r="J13" s="54" t="b">
        <v>1</v>
      </c>
      <c r="K13" s="10" t="b">
        <v>0</v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19">
        <v>46078.0</v>
      </c>
      <c r="R13" s="6" t="s">
        <v>357</v>
      </c>
      <c r="S13" s="6" t="s">
        <v>358</v>
      </c>
      <c r="T13" s="54" t="b">
        <v>1</v>
      </c>
      <c r="U13" s="9" t="s">
        <v>1546</v>
      </c>
      <c r="V13" s="70" t="b">
        <v>0</v>
      </c>
      <c r="W13" s="6" t="s">
        <v>357</v>
      </c>
      <c r="X13" s="6" t="s">
        <v>358</v>
      </c>
      <c r="Y13" s="6" t="s">
        <v>1547</v>
      </c>
      <c r="Z13" s="4"/>
      <c r="AA13" s="4"/>
      <c r="AB13" s="4"/>
      <c r="AC13" s="4"/>
      <c r="AD13" s="4"/>
      <c r="AE13" s="4"/>
      <c r="AF13" s="4"/>
    </row>
    <row r="14">
      <c r="A14" s="30" t="s">
        <v>146</v>
      </c>
      <c r="B14" s="155" t="s">
        <v>1507</v>
      </c>
      <c r="C14" s="9" t="s">
        <v>1548</v>
      </c>
      <c r="D14" s="13">
        <v>8.667825128E9</v>
      </c>
      <c r="E14" s="8" t="s">
        <v>38</v>
      </c>
      <c r="F14" s="4"/>
      <c r="G14" s="57" t="b">
        <v>1</v>
      </c>
      <c r="H14" s="67" t="b">
        <v>1</v>
      </c>
      <c r="I14" s="67" t="b">
        <v>1</v>
      </c>
      <c r="J14" s="54" t="b">
        <v>1</v>
      </c>
      <c r="K14" s="10" t="b">
        <v>0</v>
      </c>
      <c r="L14" s="10" t="b">
        <v>0</v>
      </c>
      <c r="M14" s="10" t="b">
        <v>0</v>
      </c>
      <c r="N14" s="10" t="b">
        <v>0</v>
      </c>
      <c r="O14" s="10" t="b">
        <v>0</v>
      </c>
      <c r="P14" s="10" t="b">
        <v>0</v>
      </c>
      <c r="Q14" s="119">
        <v>46119.0</v>
      </c>
      <c r="R14" s="6" t="s">
        <v>357</v>
      </c>
      <c r="S14" s="6" t="s">
        <v>358</v>
      </c>
      <c r="T14" s="54" t="b">
        <v>1</v>
      </c>
      <c r="U14" s="9" t="s">
        <v>1549</v>
      </c>
      <c r="V14" s="70" t="b">
        <v>0</v>
      </c>
      <c r="W14" s="6" t="s">
        <v>382</v>
      </c>
      <c r="X14" s="6" t="s">
        <v>358</v>
      </c>
      <c r="Y14" s="9" t="s">
        <v>1550</v>
      </c>
      <c r="Z14" s="4"/>
      <c r="AA14" s="4"/>
      <c r="AB14" s="4"/>
      <c r="AC14" s="4"/>
      <c r="AD14" s="4"/>
      <c r="AE14" s="4"/>
      <c r="AF14" s="4"/>
    </row>
    <row r="15">
      <c r="A15" s="30" t="s">
        <v>146</v>
      </c>
      <c r="B15" s="155" t="s">
        <v>1507</v>
      </c>
      <c r="C15" s="9" t="s">
        <v>1551</v>
      </c>
      <c r="D15" s="13">
        <v>6.382452829E9</v>
      </c>
      <c r="E15" s="8" t="s">
        <v>1518</v>
      </c>
      <c r="F15" s="9" t="s">
        <v>1552</v>
      </c>
      <c r="G15" s="57" t="b">
        <v>1</v>
      </c>
      <c r="H15" s="67" t="b">
        <v>1</v>
      </c>
      <c r="I15" s="67" t="b">
        <v>1</v>
      </c>
      <c r="J15" s="67" t="b">
        <v>1</v>
      </c>
      <c r="K15" s="54" t="b">
        <v>1</v>
      </c>
      <c r="L15" s="10" t="b">
        <v>0</v>
      </c>
      <c r="M15" s="10" t="b">
        <v>0</v>
      </c>
      <c r="N15" s="10" t="b">
        <v>0</v>
      </c>
      <c r="O15" s="10" t="b">
        <v>0</v>
      </c>
      <c r="P15" s="10" t="b">
        <v>0</v>
      </c>
      <c r="Q15" s="119">
        <v>46077.0</v>
      </c>
      <c r="R15" s="6" t="s">
        <v>357</v>
      </c>
      <c r="S15" s="6" t="s">
        <v>358</v>
      </c>
      <c r="T15" s="54" t="b">
        <v>1</v>
      </c>
      <c r="U15" s="9" t="s">
        <v>1553</v>
      </c>
      <c r="V15" s="70" t="b">
        <v>0</v>
      </c>
      <c r="W15" s="6" t="s">
        <v>684</v>
      </c>
      <c r="X15" s="6" t="s">
        <v>358</v>
      </c>
      <c r="Y15" s="9" t="s">
        <v>1554</v>
      </c>
      <c r="Z15" s="4"/>
      <c r="AA15" s="4"/>
      <c r="AB15" s="4"/>
      <c r="AC15" s="4"/>
      <c r="AD15" s="4"/>
      <c r="AE15" s="4"/>
      <c r="AF15" s="4"/>
    </row>
    <row r="16">
      <c r="A16" s="30" t="s">
        <v>146</v>
      </c>
      <c r="B16" s="155" t="s">
        <v>1507</v>
      </c>
      <c r="C16" s="9" t="s">
        <v>1555</v>
      </c>
      <c r="D16" s="13">
        <v>8.668131263E9</v>
      </c>
      <c r="E16" s="8" t="s">
        <v>38</v>
      </c>
      <c r="F16" s="9" t="s">
        <v>1556</v>
      </c>
      <c r="G16" s="57" t="b">
        <v>1</v>
      </c>
      <c r="H16" s="67" t="b">
        <v>1</v>
      </c>
      <c r="I16" s="71" t="b">
        <v>1</v>
      </c>
      <c r="J16" s="95" t="b">
        <v>1</v>
      </c>
      <c r="K16" s="95" t="b">
        <v>1</v>
      </c>
      <c r="L16" s="54" t="b">
        <v>1</v>
      </c>
      <c r="M16" s="10" t="b">
        <v>0</v>
      </c>
      <c r="N16" s="10" t="b">
        <v>0</v>
      </c>
      <c r="O16" s="10" t="b">
        <v>0</v>
      </c>
      <c r="P16" s="10" t="b">
        <v>0</v>
      </c>
      <c r="Q16" s="119">
        <v>46098.0</v>
      </c>
      <c r="R16" s="6" t="s">
        <v>357</v>
      </c>
      <c r="S16" s="6" t="s">
        <v>358</v>
      </c>
      <c r="T16" s="54" t="b">
        <v>1</v>
      </c>
      <c r="U16" s="9" t="s">
        <v>1557</v>
      </c>
      <c r="V16" s="70" t="b">
        <v>0</v>
      </c>
      <c r="W16" s="6" t="s">
        <v>684</v>
      </c>
      <c r="X16" s="6" t="s">
        <v>358</v>
      </c>
      <c r="Y16" s="9" t="s">
        <v>1558</v>
      </c>
      <c r="Z16" s="4"/>
      <c r="AA16" s="4"/>
      <c r="AB16" s="4"/>
      <c r="AC16" s="4"/>
      <c r="AD16" s="4"/>
      <c r="AE16" s="4"/>
      <c r="AF16" s="4"/>
    </row>
    <row r="17">
      <c r="A17" s="30" t="s">
        <v>146</v>
      </c>
      <c r="B17" s="155" t="s">
        <v>1507</v>
      </c>
      <c r="C17" s="9" t="s">
        <v>1559</v>
      </c>
      <c r="D17" s="13">
        <v>8.248486506E9</v>
      </c>
      <c r="E17" s="8"/>
      <c r="F17" s="4"/>
      <c r="G17" s="57" t="b">
        <v>1</v>
      </c>
      <c r="H17" s="57" t="b">
        <v>1</v>
      </c>
      <c r="I17" s="57" t="b">
        <v>1</v>
      </c>
      <c r="J17" s="54" t="b">
        <v>1</v>
      </c>
      <c r="K17" s="10" t="b">
        <v>0</v>
      </c>
      <c r="L17" s="10" t="b">
        <v>0</v>
      </c>
      <c r="M17" s="10" t="b">
        <v>0</v>
      </c>
      <c r="N17" s="10" t="b">
        <v>0</v>
      </c>
      <c r="O17" s="10" t="b">
        <v>0</v>
      </c>
      <c r="P17" s="10" t="b">
        <v>0</v>
      </c>
      <c r="Q17" s="119">
        <v>46078.0</v>
      </c>
      <c r="R17" s="6" t="s">
        <v>357</v>
      </c>
      <c r="S17" s="6" t="s">
        <v>358</v>
      </c>
      <c r="T17" s="54" t="b">
        <v>1</v>
      </c>
      <c r="U17" s="9" t="s">
        <v>1560</v>
      </c>
      <c r="V17" s="70" t="b">
        <v>0</v>
      </c>
      <c r="W17" s="6" t="s">
        <v>382</v>
      </c>
      <c r="X17" s="6" t="s">
        <v>358</v>
      </c>
      <c r="Y17" s="6" t="s">
        <v>1561</v>
      </c>
      <c r="Z17" s="4"/>
      <c r="AA17" s="4"/>
      <c r="AB17" s="4"/>
      <c r="AC17" s="4"/>
      <c r="AD17" s="4"/>
      <c r="AE17" s="4"/>
      <c r="AF17" s="4"/>
    </row>
    <row r="18">
      <c r="A18" s="30" t="s">
        <v>146</v>
      </c>
      <c r="B18" s="155" t="s">
        <v>1507</v>
      </c>
      <c r="C18" s="9" t="s">
        <v>1562</v>
      </c>
      <c r="D18" s="13">
        <v>8.015333196E9</v>
      </c>
      <c r="E18" s="8" t="s">
        <v>180</v>
      </c>
      <c r="F18" s="4"/>
      <c r="G18" s="57" t="b">
        <v>1</v>
      </c>
      <c r="H18" s="57" t="b">
        <v>1</v>
      </c>
      <c r="I18" s="67" t="b">
        <v>1</v>
      </c>
      <c r="J18" s="67" t="b">
        <v>1</v>
      </c>
      <c r="K18" s="71" t="b">
        <v>1</v>
      </c>
      <c r="L18" s="71" t="b">
        <v>1</v>
      </c>
      <c r="M18" s="95" t="b">
        <v>1</v>
      </c>
      <c r="N18" s="95" t="b">
        <v>1</v>
      </c>
      <c r="O18" s="95" t="b">
        <v>1</v>
      </c>
      <c r="P18" s="54" t="b">
        <v>1</v>
      </c>
      <c r="Q18" s="119">
        <v>46094.0</v>
      </c>
      <c r="R18" s="6" t="s">
        <v>357</v>
      </c>
      <c r="S18" s="6" t="s">
        <v>358</v>
      </c>
      <c r="T18" s="54" t="b">
        <v>1</v>
      </c>
      <c r="U18" s="9" t="s">
        <v>1563</v>
      </c>
      <c r="V18" s="70" t="b">
        <v>0</v>
      </c>
      <c r="W18" s="6" t="s">
        <v>357</v>
      </c>
      <c r="X18" s="6" t="s">
        <v>358</v>
      </c>
      <c r="Y18" s="6" t="s">
        <v>1564</v>
      </c>
      <c r="Z18" s="4"/>
      <c r="AA18" s="4"/>
      <c r="AB18" s="4"/>
      <c r="AC18" s="4"/>
      <c r="AD18" s="4"/>
      <c r="AE18" s="4"/>
      <c r="AF18" s="4"/>
    </row>
    <row r="19">
      <c r="A19" s="30" t="s">
        <v>146</v>
      </c>
      <c r="B19" s="155" t="s">
        <v>1507</v>
      </c>
      <c r="C19" s="9" t="s">
        <v>1565</v>
      </c>
      <c r="D19" s="13">
        <v>9.789224868E9</v>
      </c>
      <c r="E19" s="8" t="s">
        <v>180</v>
      </c>
      <c r="F19" s="9" t="s">
        <v>465</v>
      </c>
      <c r="G19" s="57" t="b">
        <v>1</v>
      </c>
      <c r="H19" s="67" t="b">
        <v>1</v>
      </c>
      <c r="I19" s="67" t="b">
        <v>1</v>
      </c>
      <c r="J19" s="67" t="b">
        <v>1</v>
      </c>
      <c r="K19" s="10" t="b">
        <v>0</v>
      </c>
      <c r="L19" s="10" t="b">
        <v>0</v>
      </c>
      <c r="M19" s="10" t="b">
        <v>0</v>
      </c>
      <c r="N19" s="10" t="b">
        <v>0</v>
      </c>
      <c r="O19" s="10" t="b">
        <v>0</v>
      </c>
      <c r="P19" s="10" t="b">
        <v>0</v>
      </c>
      <c r="Q19" s="157">
        <v>46079.0</v>
      </c>
      <c r="R19" s="6" t="s">
        <v>431</v>
      </c>
      <c r="S19" s="6" t="s">
        <v>429</v>
      </c>
      <c r="T19" s="57" t="b">
        <v>1</v>
      </c>
      <c r="U19" s="9" t="s">
        <v>1566</v>
      </c>
      <c r="V19" s="70" t="b">
        <v>0</v>
      </c>
      <c r="W19" s="6" t="s">
        <v>431</v>
      </c>
      <c r="X19" s="6" t="s">
        <v>588</v>
      </c>
      <c r="Y19" s="9" t="s">
        <v>1567</v>
      </c>
      <c r="Z19" s="4"/>
      <c r="AA19" s="4"/>
      <c r="AB19" s="4"/>
      <c r="AC19" s="4"/>
      <c r="AD19" s="4"/>
      <c r="AE19" s="4"/>
      <c r="AF19" s="4"/>
    </row>
    <row r="20">
      <c r="A20" s="30" t="s">
        <v>146</v>
      </c>
      <c r="B20" s="155" t="s">
        <v>1507</v>
      </c>
      <c r="C20" s="9" t="s">
        <v>1568</v>
      </c>
      <c r="D20" s="13">
        <v>8.056702686E9</v>
      </c>
      <c r="E20" s="8" t="s">
        <v>185</v>
      </c>
      <c r="F20" s="9" t="s">
        <v>393</v>
      </c>
      <c r="G20" s="57" t="b">
        <v>1</v>
      </c>
      <c r="H20" s="54" t="b">
        <v>1</v>
      </c>
      <c r="I20" s="10" t="b">
        <v>0</v>
      </c>
      <c r="J20" s="10" t="b">
        <v>0</v>
      </c>
      <c r="K20" s="10" t="b">
        <v>0</v>
      </c>
      <c r="L20" s="10" t="b">
        <v>0</v>
      </c>
      <c r="M20" s="10" t="b">
        <v>0</v>
      </c>
      <c r="N20" s="10" t="b">
        <v>0</v>
      </c>
      <c r="O20" s="10" t="b">
        <v>0</v>
      </c>
      <c r="P20" s="10" t="b">
        <v>0</v>
      </c>
      <c r="Q20" s="157">
        <v>46074.0</v>
      </c>
      <c r="R20" s="6" t="s">
        <v>357</v>
      </c>
      <c r="S20" s="6" t="s">
        <v>358</v>
      </c>
      <c r="T20" s="54" t="b">
        <v>1</v>
      </c>
      <c r="U20" s="9" t="s">
        <v>1569</v>
      </c>
      <c r="V20" s="70" t="b">
        <v>0</v>
      </c>
      <c r="W20" s="6" t="s">
        <v>661</v>
      </c>
      <c r="X20" s="6" t="s">
        <v>358</v>
      </c>
      <c r="Y20" s="9" t="s">
        <v>1570</v>
      </c>
      <c r="Z20" s="4"/>
      <c r="AA20" s="4"/>
      <c r="AB20" s="4"/>
      <c r="AC20" s="4"/>
      <c r="AD20" s="4"/>
      <c r="AE20" s="4"/>
      <c r="AF20" s="4"/>
    </row>
    <row r="21">
      <c r="A21" s="30" t="s">
        <v>146</v>
      </c>
      <c r="B21" s="155" t="s">
        <v>1507</v>
      </c>
      <c r="C21" s="9" t="s">
        <v>1571</v>
      </c>
      <c r="D21" s="13">
        <v>7.306547575E9</v>
      </c>
      <c r="E21" s="8" t="s">
        <v>38</v>
      </c>
      <c r="F21" s="9" t="s">
        <v>465</v>
      </c>
      <c r="G21" s="57" t="b">
        <v>1</v>
      </c>
      <c r="H21" s="67" t="b">
        <v>1</v>
      </c>
      <c r="I21" s="71" t="b">
        <v>1</v>
      </c>
      <c r="J21" s="71" t="b">
        <v>1</v>
      </c>
      <c r="K21" s="71" t="b">
        <v>1</v>
      </c>
      <c r="L21" s="54" t="b">
        <v>1</v>
      </c>
      <c r="M21" s="10" t="b">
        <v>0</v>
      </c>
      <c r="N21" s="10" t="b">
        <v>0</v>
      </c>
      <c r="O21" s="10" t="b">
        <v>0</v>
      </c>
      <c r="P21" s="10" t="b">
        <v>0</v>
      </c>
      <c r="Q21" s="157">
        <v>46091.0</v>
      </c>
      <c r="R21" s="6" t="s">
        <v>357</v>
      </c>
      <c r="S21" s="6" t="s">
        <v>358</v>
      </c>
      <c r="T21" s="54" t="b">
        <v>1</v>
      </c>
      <c r="U21" s="9" t="s">
        <v>1572</v>
      </c>
      <c r="V21" s="70" t="b">
        <v>0</v>
      </c>
      <c r="W21" s="6" t="s">
        <v>382</v>
      </c>
      <c r="X21" s="6" t="s">
        <v>358</v>
      </c>
      <c r="Y21" s="9" t="s">
        <v>1573</v>
      </c>
      <c r="Z21" s="4"/>
      <c r="AA21" s="4"/>
      <c r="AB21" s="4"/>
      <c r="AC21" s="4"/>
      <c r="AD21" s="4"/>
      <c r="AE21" s="4"/>
      <c r="AF21" s="4"/>
    </row>
    <row r="22">
      <c r="A22" s="30" t="s">
        <v>146</v>
      </c>
      <c r="B22" s="155" t="s">
        <v>1507</v>
      </c>
      <c r="C22" s="9" t="s">
        <v>1574</v>
      </c>
      <c r="D22" s="13">
        <v>9.790527085E9</v>
      </c>
      <c r="E22" s="8" t="s">
        <v>1575</v>
      </c>
      <c r="F22" s="9" t="s">
        <v>941</v>
      </c>
      <c r="G22" s="57" t="b">
        <v>1</v>
      </c>
      <c r="H22" s="54" t="b">
        <v>1</v>
      </c>
      <c r="I22" s="10" t="b">
        <v>0</v>
      </c>
      <c r="J22" s="10" t="b">
        <v>0</v>
      </c>
      <c r="K22" s="10" t="b">
        <v>0</v>
      </c>
      <c r="L22" s="10" t="b">
        <v>0</v>
      </c>
      <c r="M22" s="10" t="b">
        <v>0</v>
      </c>
      <c r="N22" s="10" t="b">
        <v>0</v>
      </c>
      <c r="O22" s="10" t="b">
        <v>0</v>
      </c>
      <c r="P22" s="10" t="b">
        <v>0</v>
      </c>
      <c r="Q22" s="157">
        <v>46074.0</v>
      </c>
      <c r="R22" s="6" t="s">
        <v>357</v>
      </c>
      <c r="S22" s="6" t="s">
        <v>358</v>
      </c>
      <c r="T22" s="57" t="b">
        <v>0</v>
      </c>
      <c r="U22" s="158" t="s">
        <v>1576</v>
      </c>
      <c r="V22" s="70" t="b">
        <v>0</v>
      </c>
      <c r="W22" s="6" t="s">
        <v>684</v>
      </c>
      <c r="X22" s="6" t="s">
        <v>358</v>
      </c>
      <c r="Y22" s="9" t="s">
        <v>1577</v>
      </c>
      <c r="Z22" s="4"/>
      <c r="AA22" s="4"/>
      <c r="AB22" s="4"/>
      <c r="AC22" s="4"/>
      <c r="AD22" s="4"/>
      <c r="AE22" s="4"/>
      <c r="AF22" s="4"/>
    </row>
    <row r="23">
      <c r="A23" s="30" t="s">
        <v>146</v>
      </c>
      <c r="B23" s="155" t="s">
        <v>1507</v>
      </c>
      <c r="C23" s="9" t="s">
        <v>1578</v>
      </c>
      <c r="D23" s="13">
        <v>7.904849963E9</v>
      </c>
      <c r="E23" s="8" t="s">
        <v>1575</v>
      </c>
      <c r="F23" s="9" t="s">
        <v>1579</v>
      </c>
      <c r="G23" s="57" t="b">
        <v>1</v>
      </c>
      <c r="H23" s="67" t="b">
        <v>1</v>
      </c>
      <c r="I23" s="71" t="b">
        <v>1</v>
      </c>
      <c r="J23" s="95" t="b">
        <v>1</v>
      </c>
      <c r="K23" s="54" t="b">
        <v>1</v>
      </c>
      <c r="L23" s="10" t="b">
        <v>0</v>
      </c>
      <c r="M23" s="10" t="b">
        <v>0</v>
      </c>
      <c r="N23" s="10" t="b">
        <v>0</v>
      </c>
      <c r="O23" s="10" t="b">
        <v>0</v>
      </c>
      <c r="P23" s="10" t="b">
        <v>0</v>
      </c>
      <c r="Q23" s="157">
        <v>46097.0</v>
      </c>
      <c r="R23" s="6" t="s">
        <v>357</v>
      </c>
      <c r="S23" s="6" t="s">
        <v>358</v>
      </c>
      <c r="T23" s="54" t="b">
        <v>1</v>
      </c>
      <c r="U23" s="9" t="s">
        <v>1580</v>
      </c>
      <c r="V23" s="70" t="b">
        <v>1</v>
      </c>
      <c r="W23" s="6" t="s">
        <v>661</v>
      </c>
      <c r="X23" s="6" t="s">
        <v>358</v>
      </c>
      <c r="Y23" s="6" t="s">
        <v>1581</v>
      </c>
      <c r="Z23" s="4"/>
      <c r="AA23" s="4"/>
      <c r="AB23" s="4"/>
      <c r="AC23" s="4"/>
      <c r="AD23" s="4"/>
      <c r="AE23" s="4"/>
      <c r="AF23" s="4"/>
    </row>
    <row r="24">
      <c r="A24" s="30" t="s">
        <v>146</v>
      </c>
      <c r="B24" s="155" t="s">
        <v>1507</v>
      </c>
      <c r="C24" s="9" t="s">
        <v>1582</v>
      </c>
      <c r="D24" s="13">
        <v>7.373661478E9</v>
      </c>
      <c r="E24" s="8" t="s">
        <v>38</v>
      </c>
      <c r="F24" s="9" t="s">
        <v>542</v>
      </c>
      <c r="G24" s="57" t="b">
        <v>1</v>
      </c>
      <c r="H24" s="67" t="b">
        <v>1</v>
      </c>
      <c r="I24" s="54" t="b">
        <v>1</v>
      </c>
      <c r="J24" s="10" t="b">
        <v>0</v>
      </c>
      <c r="K24" s="10" t="b">
        <v>0</v>
      </c>
      <c r="L24" s="10" t="b">
        <v>0</v>
      </c>
      <c r="M24" s="10" t="b">
        <v>0</v>
      </c>
      <c r="N24" s="10" t="b">
        <v>0</v>
      </c>
      <c r="O24" s="10" t="b">
        <v>0</v>
      </c>
      <c r="P24" s="10" t="b">
        <v>0</v>
      </c>
      <c r="Q24" s="157">
        <v>46076.0</v>
      </c>
      <c r="R24" s="6" t="s">
        <v>357</v>
      </c>
      <c r="S24" s="6" t="s">
        <v>358</v>
      </c>
      <c r="T24" s="54" t="b">
        <v>1</v>
      </c>
      <c r="U24" s="9" t="s">
        <v>1583</v>
      </c>
      <c r="V24" s="70" t="b">
        <v>0</v>
      </c>
      <c r="W24" s="6" t="s">
        <v>661</v>
      </c>
      <c r="X24" s="6" t="s">
        <v>358</v>
      </c>
      <c r="Y24" s="9" t="s">
        <v>1584</v>
      </c>
      <c r="Z24" s="4"/>
      <c r="AA24" s="4"/>
      <c r="AB24" s="4"/>
      <c r="AC24" s="4"/>
      <c r="AD24" s="4"/>
      <c r="AE24" s="4"/>
      <c r="AF24" s="4"/>
    </row>
    <row r="25">
      <c r="A25" s="30" t="s">
        <v>146</v>
      </c>
      <c r="B25" s="155" t="s">
        <v>1507</v>
      </c>
      <c r="C25" s="9" t="s">
        <v>1585</v>
      </c>
      <c r="D25" s="13">
        <v>6.381014417E9</v>
      </c>
      <c r="E25" s="8" t="s">
        <v>180</v>
      </c>
      <c r="F25" s="4"/>
      <c r="G25" s="57" t="b">
        <v>1</v>
      </c>
      <c r="H25" s="67" t="b">
        <v>1</v>
      </c>
      <c r="I25" s="67" t="b">
        <v>1</v>
      </c>
      <c r="J25" s="54" t="b">
        <v>1</v>
      </c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157">
        <v>46077.0</v>
      </c>
      <c r="R25" s="6" t="s">
        <v>357</v>
      </c>
      <c r="S25" s="6" t="s">
        <v>358</v>
      </c>
      <c r="T25" s="54" t="b">
        <v>1</v>
      </c>
      <c r="U25" s="9" t="s">
        <v>1586</v>
      </c>
      <c r="V25" s="70" t="b">
        <v>0</v>
      </c>
      <c r="W25" s="6" t="s">
        <v>357</v>
      </c>
      <c r="X25" s="6" t="s">
        <v>358</v>
      </c>
      <c r="Y25" s="9" t="s">
        <v>1587</v>
      </c>
      <c r="Z25" s="4"/>
      <c r="AA25" s="4"/>
      <c r="AB25" s="4"/>
      <c r="AC25" s="4"/>
      <c r="AD25" s="4"/>
      <c r="AE25" s="4"/>
      <c r="AF25" s="4"/>
    </row>
    <row r="26">
      <c r="A26" s="30" t="s">
        <v>146</v>
      </c>
      <c r="B26" s="155" t="s">
        <v>1507</v>
      </c>
      <c r="C26" s="9" t="s">
        <v>1588</v>
      </c>
      <c r="D26" s="13">
        <v>7.373883626E9</v>
      </c>
      <c r="E26" s="8" t="s">
        <v>180</v>
      </c>
      <c r="F26" s="9" t="s">
        <v>399</v>
      </c>
      <c r="G26" s="57" t="b">
        <v>1</v>
      </c>
      <c r="H26" s="57" t="b">
        <v>1</v>
      </c>
      <c r="I26" s="57" t="b">
        <v>1</v>
      </c>
      <c r="J26" s="57" t="b">
        <v>1</v>
      </c>
      <c r="K26" s="54" t="b">
        <v>1</v>
      </c>
      <c r="L26" s="10" t="b">
        <v>0</v>
      </c>
      <c r="M26" s="10" t="b">
        <v>0</v>
      </c>
      <c r="N26" s="10" t="b">
        <v>0</v>
      </c>
      <c r="O26" s="10" t="b">
        <v>0</v>
      </c>
      <c r="P26" s="10" t="b">
        <v>0</v>
      </c>
      <c r="Q26" s="157">
        <v>46080.0</v>
      </c>
      <c r="R26" s="6" t="s">
        <v>357</v>
      </c>
      <c r="S26" s="6" t="s">
        <v>358</v>
      </c>
      <c r="T26" s="54" t="b">
        <v>1</v>
      </c>
      <c r="U26" s="9" t="s">
        <v>1589</v>
      </c>
      <c r="V26" s="70" t="b">
        <v>0</v>
      </c>
      <c r="W26" s="6" t="s">
        <v>382</v>
      </c>
      <c r="X26" s="6" t="s">
        <v>358</v>
      </c>
      <c r="Y26" s="6" t="s">
        <v>1590</v>
      </c>
      <c r="Z26" s="4"/>
      <c r="AA26" s="4"/>
      <c r="AB26" s="4"/>
      <c r="AC26" s="4"/>
      <c r="AD26" s="4"/>
      <c r="AE26" s="4"/>
      <c r="AF26" s="4"/>
    </row>
    <row r="27">
      <c r="A27" s="30" t="s">
        <v>146</v>
      </c>
      <c r="B27" s="155" t="s">
        <v>1507</v>
      </c>
      <c r="C27" s="9" t="s">
        <v>1591</v>
      </c>
      <c r="D27" s="13">
        <v>7.871375878E9</v>
      </c>
      <c r="E27" s="8" t="s">
        <v>180</v>
      </c>
      <c r="F27" s="9" t="s">
        <v>1592</v>
      </c>
      <c r="G27" s="57" t="b">
        <v>1</v>
      </c>
      <c r="H27" s="57" t="b">
        <v>1</v>
      </c>
      <c r="I27" s="57" t="b">
        <v>1</v>
      </c>
      <c r="J27" s="57" t="b">
        <v>1</v>
      </c>
      <c r="K27" s="54" t="b">
        <v>1</v>
      </c>
      <c r="L27" s="10" t="b">
        <v>0</v>
      </c>
      <c r="M27" s="10" t="b">
        <v>0</v>
      </c>
      <c r="N27" s="10" t="b">
        <v>0</v>
      </c>
      <c r="O27" s="10" t="b">
        <v>0</v>
      </c>
      <c r="P27" s="10" t="b">
        <v>0</v>
      </c>
      <c r="Q27" s="157">
        <v>46097.0</v>
      </c>
      <c r="R27" s="6" t="s">
        <v>357</v>
      </c>
      <c r="S27" s="6" t="s">
        <v>358</v>
      </c>
      <c r="T27" s="57" t="b">
        <v>0</v>
      </c>
      <c r="U27" s="9" t="s">
        <v>1593</v>
      </c>
      <c r="V27" s="70" t="b">
        <v>0</v>
      </c>
      <c r="W27" s="6" t="s">
        <v>684</v>
      </c>
      <c r="X27" s="6" t="s">
        <v>358</v>
      </c>
      <c r="Y27" s="9" t="s">
        <v>1594</v>
      </c>
      <c r="Z27" s="4"/>
      <c r="AA27" s="4"/>
      <c r="AB27" s="4"/>
      <c r="AC27" s="4"/>
      <c r="AD27" s="4"/>
      <c r="AE27" s="4"/>
      <c r="AF27" s="4"/>
    </row>
    <row r="28">
      <c r="A28" s="30" t="s">
        <v>146</v>
      </c>
      <c r="B28" s="155" t="s">
        <v>1507</v>
      </c>
      <c r="C28" s="9" t="s">
        <v>1595</v>
      </c>
      <c r="D28" s="13">
        <v>8.754688355E9</v>
      </c>
      <c r="E28" s="8" t="s">
        <v>180</v>
      </c>
      <c r="F28" s="9"/>
      <c r="G28" s="57" t="b">
        <v>1</v>
      </c>
      <c r="H28" s="67" t="b">
        <v>1</v>
      </c>
      <c r="I28" s="71" t="b">
        <v>1</v>
      </c>
      <c r="J28" s="71" t="b">
        <v>1</v>
      </c>
      <c r="K28" s="54" t="b">
        <v>1</v>
      </c>
      <c r="L28" s="10" t="b">
        <v>0</v>
      </c>
      <c r="M28" s="10" t="b">
        <v>0</v>
      </c>
      <c r="N28" s="10" t="b">
        <v>0</v>
      </c>
      <c r="O28" s="10" t="b">
        <v>0</v>
      </c>
      <c r="P28" s="10" t="b">
        <v>0</v>
      </c>
      <c r="Q28" s="157">
        <v>46083.0</v>
      </c>
      <c r="R28" s="6" t="s">
        <v>357</v>
      </c>
      <c r="S28" s="6" t="s">
        <v>358</v>
      </c>
      <c r="T28" s="54" t="b">
        <v>1</v>
      </c>
      <c r="U28" s="9" t="s">
        <v>1596</v>
      </c>
      <c r="V28" s="70" t="b">
        <v>0</v>
      </c>
      <c r="W28" s="6" t="s">
        <v>684</v>
      </c>
      <c r="X28" s="6" t="s">
        <v>358</v>
      </c>
      <c r="Y28" s="9" t="s">
        <v>1597</v>
      </c>
      <c r="Z28" s="4"/>
      <c r="AA28" s="4"/>
      <c r="AB28" s="4"/>
      <c r="AC28" s="4"/>
      <c r="AD28" s="4"/>
      <c r="AE28" s="4"/>
      <c r="AF28" s="4"/>
    </row>
    <row r="29">
      <c r="A29" s="30" t="s">
        <v>146</v>
      </c>
      <c r="B29" s="155" t="s">
        <v>1507</v>
      </c>
      <c r="C29" s="9" t="s">
        <v>1598</v>
      </c>
      <c r="D29" s="13">
        <v>6.382914958E9</v>
      </c>
      <c r="E29" s="8" t="s">
        <v>185</v>
      </c>
      <c r="F29" s="9" t="s">
        <v>465</v>
      </c>
      <c r="G29" s="57" t="b">
        <v>1</v>
      </c>
      <c r="H29" s="67" t="b">
        <v>1</v>
      </c>
      <c r="I29" s="67" t="b">
        <v>1</v>
      </c>
      <c r="J29" s="67" t="b">
        <v>1</v>
      </c>
      <c r="K29" s="67" t="b">
        <v>1</v>
      </c>
      <c r="L29" s="54" t="b">
        <v>1</v>
      </c>
      <c r="M29" s="10" t="b">
        <v>0</v>
      </c>
      <c r="N29" s="10" t="b">
        <v>0</v>
      </c>
      <c r="O29" s="10" t="b">
        <v>0</v>
      </c>
      <c r="P29" s="10" t="b">
        <v>0</v>
      </c>
      <c r="Q29" s="157">
        <v>46097.0</v>
      </c>
      <c r="R29" s="6" t="s">
        <v>357</v>
      </c>
      <c r="S29" s="6" t="s">
        <v>358</v>
      </c>
      <c r="T29" s="54" t="b">
        <v>1</v>
      </c>
      <c r="U29" s="9" t="s">
        <v>1599</v>
      </c>
      <c r="V29" s="70" t="b">
        <v>0</v>
      </c>
      <c r="W29" s="6" t="s">
        <v>382</v>
      </c>
      <c r="X29" s="6" t="s">
        <v>358</v>
      </c>
      <c r="Y29" s="9" t="s">
        <v>1600</v>
      </c>
      <c r="Z29" s="4"/>
      <c r="AA29" s="4"/>
      <c r="AB29" s="4"/>
      <c r="AC29" s="4"/>
      <c r="AD29" s="4"/>
      <c r="AE29" s="4"/>
      <c r="AF29" s="4"/>
    </row>
    <row r="30">
      <c r="A30" s="30" t="s">
        <v>146</v>
      </c>
      <c r="B30" s="155" t="s">
        <v>1507</v>
      </c>
      <c r="C30" s="9" t="s">
        <v>1601</v>
      </c>
      <c r="D30" s="13">
        <v>8.437670606E9</v>
      </c>
      <c r="E30" s="8" t="s">
        <v>38</v>
      </c>
      <c r="F30" s="9" t="s">
        <v>1602</v>
      </c>
      <c r="G30" s="57" t="b">
        <v>1</v>
      </c>
      <c r="H30" s="67" t="b">
        <v>1</v>
      </c>
      <c r="I30" s="54" t="b">
        <v>1</v>
      </c>
      <c r="J30" s="10" t="b">
        <v>0</v>
      </c>
      <c r="K30" s="10" t="b">
        <v>0</v>
      </c>
      <c r="L30" s="10" t="b">
        <v>0</v>
      </c>
      <c r="M30" s="10" t="b">
        <v>0</v>
      </c>
      <c r="N30" s="10" t="b">
        <v>0</v>
      </c>
      <c r="O30" s="10" t="b">
        <v>0</v>
      </c>
      <c r="P30" s="10" t="b">
        <v>0</v>
      </c>
      <c r="Q30" s="157">
        <v>46083.0</v>
      </c>
      <c r="R30" s="6" t="s">
        <v>357</v>
      </c>
      <c r="S30" s="6" t="s">
        <v>358</v>
      </c>
      <c r="T30" s="54" t="b">
        <v>1</v>
      </c>
      <c r="U30" s="9" t="s">
        <v>1603</v>
      </c>
      <c r="V30" s="70" t="b">
        <v>0</v>
      </c>
      <c r="W30" s="6" t="s">
        <v>382</v>
      </c>
      <c r="X30" s="6" t="s">
        <v>358</v>
      </c>
      <c r="Y30" s="9" t="s">
        <v>1604</v>
      </c>
      <c r="Z30" s="4"/>
      <c r="AA30" s="4"/>
      <c r="AB30" s="4"/>
      <c r="AC30" s="4"/>
      <c r="AD30" s="4"/>
      <c r="AE30" s="4"/>
      <c r="AF30" s="4"/>
    </row>
    <row r="31">
      <c r="A31" s="30" t="s">
        <v>146</v>
      </c>
      <c r="B31" s="155" t="s">
        <v>1507</v>
      </c>
      <c r="C31" s="9" t="s">
        <v>1051</v>
      </c>
      <c r="D31" s="13">
        <v>8.122504513E9</v>
      </c>
      <c r="E31" s="8" t="s">
        <v>180</v>
      </c>
      <c r="F31" s="9"/>
      <c r="G31" s="57" t="b">
        <v>1</v>
      </c>
      <c r="H31" s="67" t="b">
        <v>1</v>
      </c>
      <c r="I31" s="71" t="b">
        <v>1</v>
      </c>
      <c r="J31" s="95" t="b">
        <v>1</v>
      </c>
      <c r="K31" s="95" t="b">
        <v>1</v>
      </c>
      <c r="L31" s="95" t="b">
        <v>1</v>
      </c>
      <c r="M31" s="10" t="b">
        <v>0</v>
      </c>
      <c r="N31" s="10" t="b">
        <v>0</v>
      </c>
      <c r="O31" s="10" t="b">
        <v>0</v>
      </c>
      <c r="P31" s="10" t="b">
        <v>0</v>
      </c>
      <c r="Q31" s="157">
        <v>46091.0</v>
      </c>
      <c r="R31" s="6" t="s">
        <v>890</v>
      </c>
      <c r="S31" s="6" t="s">
        <v>891</v>
      </c>
      <c r="T31" s="57" t="b">
        <v>1</v>
      </c>
      <c r="U31" s="9" t="s">
        <v>1605</v>
      </c>
      <c r="V31" s="70" t="b">
        <v>0</v>
      </c>
      <c r="W31" s="6" t="s">
        <v>890</v>
      </c>
      <c r="X31" s="6" t="s">
        <v>891</v>
      </c>
      <c r="Y31" s="9" t="s">
        <v>1606</v>
      </c>
      <c r="Z31" s="4"/>
      <c r="AA31" s="4"/>
      <c r="AB31" s="4"/>
      <c r="AC31" s="4"/>
      <c r="AD31" s="4"/>
      <c r="AE31" s="4"/>
      <c r="AF31" s="4"/>
    </row>
    <row r="32">
      <c r="A32" s="30" t="s">
        <v>146</v>
      </c>
      <c r="B32" s="155" t="s">
        <v>1507</v>
      </c>
      <c r="C32" s="9" t="s">
        <v>1607</v>
      </c>
      <c r="D32" s="13">
        <v>9.36140248E9</v>
      </c>
      <c r="E32" s="8" t="s">
        <v>180</v>
      </c>
      <c r="F32" s="9"/>
      <c r="G32" s="57" t="b">
        <v>1</v>
      </c>
      <c r="H32" s="67" t="b">
        <v>1</v>
      </c>
      <c r="I32" s="67" t="b">
        <v>1</v>
      </c>
      <c r="J32" s="71" t="b">
        <v>1</v>
      </c>
      <c r="K32" s="54" t="b">
        <v>1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  <c r="Q32" s="157">
        <v>46083.0</v>
      </c>
      <c r="R32" s="6" t="s">
        <v>357</v>
      </c>
      <c r="S32" s="6" t="s">
        <v>358</v>
      </c>
      <c r="T32" s="54" t="b">
        <v>1</v>
      </c>
      <c r="U32" s="9" t="s">
        <v>1608</v>
      </c>
      <c r="V32" s="70" t="b">
        <v>0</v>
      </c>
      <c r="W32" s="6" t="s">
        <v>684</v>
      </c>
      <c r="X32" s="6" t="s">
        <v>358</v>
      </c>
      <c r="Y32" s="9" t="s">
        <v>1609</v>
      </c>
      <c r="Z32" s="4"/>
      <c r="AA32" s="4"/>
      <c r="AB32" s="4"/>
      <c r="AC32" s="4"/>
      <c r="AD32" s="4"/>
      <c r="AE32" s="4"/>
      <c r="AF32" s="4"/>
    </row>
    <row r="33">
      <c r="A33" s="30" t="s">
        <v>146</v>
      </c>
      <c r="B33" s="155" t="s">
        <v>1507</v>
      </c>
      <c r="C33" s="9" t="s">
        <v>1091</v>
      </c>
      <c r="D33" s="13">
        <v>8.428870485E9</v>
      </c>
      <c r="E33" s="8" t="s">
        <v>185</v>
      </c>
      <c r="F33" s="9" t="s">
        <v>1610</v>
      </c>
      <c r="G33" s="57" t="b">
        <v>1</v>
      </c>
      <c r="H33" s="57" t="b">
        <v>1</v>
      </c>
      <c r="I33" s="54" t="b">
        <v>1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57">
        <v>46099.0</v>
      </c>
      <c r="R33" s="6" t="s">
        <v>357</v>
      </c>
      <c r="S33" s="6" t="s">
        <v>358</v>
      </c>
      <c r="T33" s="54" t="b">
        <v>1</v>
      </c>
      <c r="U33" s="9" t="s">
        <v>1611</v>
      </c>
      <c r="V33" s="70" t="b">
        <v>0</v>
      </c>
      <c r="W33" s="6" t="s">
        <v>382</v>
      </c>
      <c r="X33" s="6" t="s">
        <v>358</v>
      </c>
      <c r="Y33" s="9" t="s">
        <v>1612</v>
      </c>
      <c r="Z33" s="4"/>
      <c r="AA33" s="4"/>
      <c r="AB33" s="4"/>
      <c r="AC33" s="4"/>
      <c r="AD33" s="4"/>
      <c r="AE33" s="4"/>
      <c r="AF33" s="4"/>
    </row>
    <row r="34">
      <c r="A34" s="30" t="s">
        <v>146</v>
      </c>
      <c r="B34" s="155" t="s">
        <v>1507</v>
      </c>
      <c r="C34" s="9" t="s">
        <v>1613</v>
      </c>
      <c r="D34" s="13">
        <v>6.381045278E9</v>
      </c>
      <c r="E34" s="8" t="s">
        <v>45</v>
      </c>
      <c r="F34" s="9" t="s">
        <v>465</v>
      </c>
      <c r="G34" s="57" t="b">
        <v>1</v>
      </c>
      <c r="H34" s="67" t="b">
        <v>1</v>
      </c>
      <c r="I34" s="71" t="b">
        <v>1</v>
      </c>
      <c r="J34" s="10" t="b">
        <v>0</v>
      </c>
      <c r="K34" s="10" t="b">
        <v>0</v>
      </c>
      <c r="L34" s="10" t="b">
        <v>0</v>
      </c>
      <c r="M34" s="10" t="b">
        <v>0</v>
      </c>
      <c r="N34" s="10" t="b">
        <v>0</v>
      </c>
      <c r="O34" s="10" t="b">
        <v>0</v>
      </c>
      <c r="P34" s="10" t="b">
        <v>0</v>
      </c>
      <c r="Q34" s="157">
        <v>46090.0</v>
      </c>
      <c r="R34" s="6" t="s">
        <v>890</v>
      </c>
      <c r="S34" s="6" t="s">
        <v>891</v>
      </c>
      <c r="T34" s="57" t="b">
        <v>1</v>
      </c>
      <c r="U34" s="9" t="s">
        <v>1614</v>
      </c>
      <c r="V34" s="70" t="b">
        <v>0</v>
      </c>
      <c r="W34" s="6" t="s">
        <v>890</v>
      </c>
      <c r="X34" s="6" t="s">
        <v>891</v>
      </c>
      <c r="Y34" s="9" t="s">
        <v>1615</v>
      </c>
      <c r="Z34" s="4"/>
      <c r="AA34" s="4"/>
      <c r="AB34" s="4"/>
      <c r="AC34" s="4"/>
      <c r="AD34" s="4"/>
      <c r="AE34" s="4"/>
      <c r="AF34" s="4"/>
    </row>
    <row r="35">
      <c r="A35" s="30" t="s">
        <v>146</v>
      </c>
      <c r="B35" s="155" t="s">
        <v>1507</v>
      </c>
      <c r="C35" s="9" t="s">
        <v>1616</v>
      </c>
      <c r="D35" s="13">
        <v>8.825926021E9</v>
      </c>
      <c r="E35" s="8" t="s">
        <v>38</v>
      </c>
      <c r="F35" s="9" t="s">
        <v>465</v>
      </c>
      <c r="G35" s="57" t="b">
        <v>1</v>
      </c>
      <c r="H35" s="67" t="b">
        <v>1</v>
      </c>
      <c r="I35" s="54" t="b">
        <v>1</v>
      </c>
      <c r="J35" s="10" t="b">
        <v>0</v>
      </c>
      <c r="K35" s="10" t="b">
        <v>0</v>
      </c>
      <c r="L35" s="10" t="b">
        <v>0</v>
      </c>
      <c r="M35" s="10" t="b">
        <v>0</v>
      </c>
      <c r="N35" s="10" t="b">
        <v>0</v>
      </c>
      <c r="O35" s="10" t="b">
        <v>0</v>
      </c>
      <c r="P35" s="10" t="b">
        <v>0</v>
      </c>
      <c r="Q35" s="157">
        <v>46094.0</v>
      </c>
      <c r="R35" s="6" t="s">
        <v>357</v>
      </c>
      <c r="S35" s="6" t="s">
        <v>358</v>
      </c>
      <c r="T35" s="54" t="b">
        <v>1</v>
      </c>
      <c r="U35" s="9" t="s">
        <v>1617</v>
      </c>
      <c r="V35" s="70" t="b">
        <v>0</v>
      </c>
      <c r="W35" s="6" t="s">
        <v>357</v>
      </c>
      <c r="X35" s="6" t="s">
        <v>358</v>
      </c>
      <c r="Y35" s="9" t="s">
        <v>1618</v>
      </c>
      <c r="Z35" s="4"/>
      <c r="AA35" s="4"/>
      <c r="AB35" s="4"/>
      <c r="AC35" s="4"/>
      <c r="AD35" s="4"/>
      <c r="AE35" s="4"/>
      <c r="AF35" s="4"/>
    </row>
    <row r="36">
      <c r="A36" s="30" t="s">
        <v>146</v>
      </c>
      <c r="B36" s="155" t="s">
        <v>1507</v>
      </c>
      <c r="C36" s="90" t="s">
        <v>1619</v>
      </c>
      <c r="D36" s="7">
        <v>9.943236074E9</v>
      </c>
      <c r="E36" s="8" t="s">
        <v>69</v>
      </c>
      <c r="F36" s="9" t="s">
        <v>465</v>
      </c>
      <c r="G36" s="57" t="b">
        <v>1</v>
      </c>
      <c r="H36" s="10" t="b">
        <v>0</v>
      </c>
      <c r="I36" s="10" t="b">
        <v>0</v>
      </c>
      <c r="J36" s="10" t="b">
        <v>0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57">
        <v>46080.0</v>
      </c>
      <c r="R36" s="6" t="s">
        <v>890</v>
      </c>
      <c r="S36" s="6" t="s">
        <v>891</v>
      </c>
      <c r="T36" s="57" t="b">
        <v>1</v>
      </c>
      <c r="U36" s="9" t="s">
        <v>1620</v>
      </c>
      <c r="V36" s="70" t="b">
        <v>0</v>
      </c>
      <c r="W36" s="6" t="s">
        <v>890</v>
      </c>
      <c r="X36" s="6" t="s">
        <v>891</v>
      </c>
      <c r="Y36" s="9" t="s">
        <v>1621</v>
      </c>
      <c r="Z36" s="4"/>
      <c r="AA36" s="4"/>
      <c r="AB36" s="4"/>
      <c r="AC36" s="4"/>
      <c r="AD36" s="4"/>
      <c r="AE36" s="4"/>
      <c r="AF36" s="4"/>
    </row>
    <row r="37">
      <c r="A37" s="30" t="s">
        <v>146</v>
      </c>
      <c r="B37" s="155" t="s">
        <v>1507</v>
      </c>
      <c r="C37" s="9" t="s">
        <v>1622</v>
      </c>
      <c r="D37" s="13">
        <v>9.003920156E9</v>
      </c>
      <c r="E37" s="8" t="s">
        <v>185</v>
      </c>
      <c r="F37" s="9"/>
      <c r="G37" s="57" t="b">
        <v>1</v>
      </c>
      <c r="H37" s="57" t="b">
        <v>1</v>
      </c>
      <c r="I37" s="67" t="b">
        <v>1</v>
      </c>
      <c r="J37" s="71" t="b">
        <v>1</v>
      </c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57">
        <v>46092.0</v>
      </c>
      <c r="R37" s="6" t="s">
        <v>890</v>
      </c>
      <c r="S37" s="6" t="s">
        <v>891</v>
      </c>
      <c r="T37" s="57" t="b">
        <v>1</v>
      </c>
      <c r="U37" s="9" t="s">
        <v>1623</v>
      </c>
      <c r="V37" s="70" t="b">
        <v>0</v>
      </c>
      <c r="W37" s="6" t="s">
        <v>890</v>
      </c>
      <c r="X37" s="6" t="s">
        <v>891</v>
      </c>
      <c r="Y37" s="9" t="s">
        <v>1624</v>
      </c>
      <c r="Z37" s="4"/>
      <c r="AA37" s="4"/>
      <c r="AB37" s="4"/>
      <c r="AC37" s="4"/>
      <c r="AD37" s="4"/>
      <c r="AE37" s="4"/>
      <c r="AF37" s="4"/>
    </row>
    <row r="38">
      <c r="A38" s="30" t="s">
        <v>146</v>
      </c>
      <c r="B38" s="155" t="s">
        <v>1507</v>
      </c>
      <c r="C38" s="9" t="s">
        <v>1625</v>
      </c>
      <c r="D38" s="13">
        <v>8.015365001E9</v>
      </c>
      <c r="E38" s="8" t="s">
        <v>45</v>
      </c>
      <c r="F38" s="9"/>
      <c r="G38" s="57" t="b">
        <v>1</v>
      </c>
      <c r="H38" s="67" t="b">
        <v>1</v>
      </c>
      <c r="I38" s="71" t="b">
        <v>1</v>
      </c>
      <c r="J38" s="71" t="b">
        <v>1</v>
      </c>
      <c r="K38" s="71" t="b">
        <v>1</v>
      </c>
      <c r="L38" s="71" t="b">
        <v>1</v>
      </c>
      <c r="M38" s="71" t="b">
        <v>1</v>
      </c>
      <c r="N38" s="54" t="b">
        <v>1</v>
      </c>
      <c r="O38" s="10" t="b">
        <v>0</v>
      </c>
      <c r="P38" s="10" t="b">
        <v>0</v>
      </c>
      <c r="Q38" s="157">
        <v>46127.0</v>
      </c>
      <c r="R38" s="6" t="s">
        <v>357</v>
      </c>
      <c r="S38" s="6" t="s">
        <v>1626</v>
      </c>
      <c r="T38" s="54" t="b">
        <v>1</v>
      </c>
      <c r="U38" s="9" t="s">
        <v>1627</v>
      </c>
      <c r="V38" s="70" t="b">
        <v>1</v>
      </c>
      <c r="W38" s="6" t="s">
        <v>1628</v>
      </c>
      <c r="X38" s="6" t="s">
        <v>1626</v>
      </c>
      <c r="Y38" s="9" t="s">
        <v>1629</v>
      </c>
      <c r="Z38" s="4"/>
      <c r="AA38" s="4"/>
      <c r="AB38" s="4"/>
      <c r="AC38" s="4"/>
      <c r="AD38" s="4"/>
      <c r="AE38" s="4"/>
      <c r="AF38" s="4"/>
    </row>
    <row r="39">
      <c r="A39" s="30" t="s">
        <v>146</v>
      </c>
      <c r="B39" s="155" t="s">
        <v>1507</v>
      </c>
      <c r="C39" s="9" t="s">
        <v>1622</v>
      </c>
      <c r="D39" s="13">
        <v>7.200607492E9</v>
      </c>
      <c r="E39" s="8" t="s">
        <v>38</v>
      </c>
      <c r="F39" s="9"/>
      <c r="G39" s="57" t="b">
        <v>1</v>
      </c>
      <c r="H39" s="67" t="b">
        <v>1</v>
      </c>
      <c r="I39" s="67" t="b">
        <v>1</v>
      </c>
      <c r="J39" s="71" t="b">
        <v>1</v>
      </c>
      <c r="K39" s="71" t="b">
        <v>1</v>
      </c>
      <c r="L39" s="54" t="b">
        <v>1</v>
      </c>
      <c r="M39" s="10" t="b">
        <v>0</v>
      </c>
      <c r="N39" s="10" t="b">
        <v>0</v>
      </c>
      <c r="O39" s="10" t="b">
        <v>0</v>
      </c>
      <c r="P39" s="10" t="b">
        <v>0</v>
      </c>
      <c r="Q39" s="157">
        <v>46099.0</v>
      </c>
      <c r="R39" s="6" t="s">
        <v>357</v>
      </c>
      <c r="S39" s="6" t="s">
        <v>358</v>
      </c>
      <c r="T39" s="54" t="b">
        <v>1</v>
      </c>
      <c r="U39" s="9" t="s">
        <v>1630</v>
      </c>
      <c r="V39" s="70" t="b">
        <v>0</v>
      </c>
      <c r="W39" s="6" t="s">
        <v>684</v>
      </c>
      <c r="X39" s="6" t="s">
        <v>358</v>
      </c>
      <c r="Y39" s="9" t="s">
        <v>1631</v>
      </c>
      <c r="Z39" s="4"/>
      <c r="AA39" s="4"/>
      <c r="AB39" s="4"/>
      <c r="AC39" s="4"/>
      <c r="AD39" s="4"/>
      <c r="AE39" s="4"/>
      <c r="AF39" s="4"/>
    </row>
    <row r="40">
      <c r="A40" s="30" t="s">
        <v>146</v>
      </c>
      <c r="B40" s="155" t="s">
        <v>1507</v>
      </c>
      <c r="C40" s="9" t="s">
        <v>1632</v>
      </c>
      <c r="D40" s="13">
        <v>8.148523865E9</v>
      </c>
      <c r="E40" s="8" t="s">
        <v>45</v>
      </c>
      <c r="F40" s="9" t="s">
        <v>393</v>
      </c>
      <c r="G40" s="57" t="b">
        <v>1</v>
      </c>
      <c r="H40" s="57" t="b">
        <v>1</v>
      </c>
      <c r="I40" s="57" t="b">
        <v>1</v>
      </c>
      <c r="J40" s="57" t="b">
        <v>1</v>
      </c>
      <c r="K40" s="54" t="b">
        <v>1</v>
      </c>
      <c r="L40" s="10" t="b">
        <v>0</v>
      </c>
      <c r="M40" s="10" t="b">
        <v>0</v>
      </c>
      <c r="N40" s="10" t="b">
        <v>0</v>
      </c>
      <c r="O40" s="10" t="b">
        <v>0</v>
      </c>
      <c r="P40" s="10" t="b">
        <v>0</v>
      </c>
      <c r="Q40" s="157">
        <v>46098.0</v>
      </c>
      <c r="R40" s="6" t="s">
        <v>357</v>
      </c>
      <c r="S40" s="6" t="s">
        <v>358</v>
      </c>
      <c r="T40" s="54" t="b">
        <v>1</v>
      </c>
      <c r="U40" s="9" t="s">
        <v>1633</v>
      </c>
      <c r="V40" s="70" t="b">
        <v>0</v>
      </c>
      <c r="W40" s="6" t="s">
        <v>382</v>
      </c>
      <c r="X40" s="6" t="s">
        <v>358</v>
      </c>
      <c r="Y40" s="9" t="s">
        <v>1634</v>
      </c>
      <c r="Z40" s="4"/>
      <c r="AA40" s="4"/>
      <c r="AB40" s="4"/>
      <c r="AC40" s="4"/>
      <c r="AD40" s="4"/>
      <c r="AE40" s="4"/>
      <c r="AF40" s="4"/>
    </row>
    <row r="41">
      <c r="A41" s="30" t="s">
        <v>146</v>
      </c>
      <c r="B41" s="155" t="s">
        <v>1507</v>
      </c>
      <c r="C41" s="9" t="s">
        <v>1635</v>
      </c>
      <c r="D41" s="13">
        <v>6.382388989E9</v>
      </c>
      <c r="E41" s="8" t="s">
        <v>180</v>
      </c>
      <c r="F41" s="9"/>
      <c r="G41" s="57" t="b">
        <v>1</v>
      </c>
      <c r="H41" s="57" t="b">
        <v>1</v>
      </c>
      <c r="I41" s="57" t="b">
        <v>1</v>
      </c>
      <c r="J41" s="54" t="b">
        <v>1</v>
      </c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59">
        <v>46106.0</v>
      </c>
      <c r="R41" s="6" t="s">
        <v>357</v>
      </c>
      <c r="S41" s="6" t="s">
        <v>358</v>
      </c>
      <c r="T41" s="57" t="b">
        <v>0</v>
      </c>
      <c r="U41" s="9" t="s">
        <v>1636</v>
      </c>
      <c r="V41" s="70" t="b">
        <v>0</v>
      </c>
      <c r="W41" s="6" t="s">
        <v>382</v>
      </c>
      <c r="X41" s="6" t="s">
        <v>358</v>
      </c>
      <c r="Y41" s="9" t="s">
        <v>1637</v>
      </c>
      <c r="Z41" s="4"/>
      <c r="AA41" s="4"/>
      <c r="AB41" s="4"/>
      <c r="AC41" s="4"/>
      <c r="AD41" s="4"/>
      <c r="AE41" s="4"/>
      <c r="AF41" s="4"/>
    </row>
    <row r="42">
      <c r="A42" s="30" t="s">
        <v>146</v>
      </c>
      <c r="B42" s="155" t="s">
        <v>1507</v>
      </c>
      <c r="C42" s="9" t="s">
        <v>1638</v>
      </c>
      <c r="D42" s="13">
        <v>7.904086132E9</v>
      </c>
      <c r="E42" s="8" t="s">
        <v>38</v>
      </c>
      <c r="F42" s="9" t="s">
        <v>409</v>
      </c>
      <c r="G42" s="57" t="b">
        <v>1</v>
      </c>
      <c r="H42" s="67" t="b">
        <v>1</v>
      </c>
      <c r="I42" s="71" t="b">
        <v>1</v>
      </c>
      <c r="J42" s="10" t="b">
        <v>0</v>
      </c>
      <c r="K42" s="10" t="b">
        <v>0</v>
      </c>
      <c r="L42" s="10" t="b">
        <v>0</v>
      </c>
      <c r="M42" s="10" t="b">
        <v>0</v>
      </c>
      <c r="N42" s="10" t="b">
        <v>0</v>
      </c>
      <c r="O42" s="10" t="b">
        <v>0</v>
      </c>
      <c r="P42" s="10" t="b">
        <v>0</v>
      </c>
      <c r="Q42" s="157">
        <v>46094.0</v>
      </c>
      <c r="R42" s="6" t="s">
        <v>890</v>
      </c>
      <c r="S42" s="6" t="s">
        <v>891</v>
      </c>
      <c r="T42" s="57" t="b">
        <v>1</v>
      </c>
      <c r="U42" s="9" t="s">
        <v>1639</v>
      </c>
      <c r="V42" s="70" t="b">
        <v>0</v>
      </c>
      <c r="W42" s="6" t="s">
        <v>890</v>
      </c>
      <c r="X42" s="6" t="s">
        <v>891</v>
      </c>
      <c r="Y42" s="9" t="s">
        <v>1640</v>
      </c>
      <c r="Z42" s="4"/>
      <c r="AA42" s="4"/>
      <c r="AB42" s="4"/>
      <c r="AC42" s="4"/>
      <c r="AD42" s="4"/>
      <c r="AE42" s="4"/>
      <c r="AF42" s="4"/>
    </row>
    <row r="43">
      <c r="A43" s="30" t="s">
        <v>146</v>
      </c>
      <c r="B43" s="155" t="s">
        <v>1507</v>
      </c>
      <c r="C43" s="9" t="s">
        <v>1641</v>
      </c>
      <c r="D43" s="13" t="s">
        <v>1642</v>
      </c>
      <c r="E43" s="8" t="s">
        <v>38</v>
      </c>
      <c r="F43" s="9" t="s">
        <v>465</v>
      </c>
      <c r="G43" s="57" t="b">
        <v>1</v>
      </c>
      <c r="H43" s="67" t="b">
        <v>1</v>
      </c>
      <c r="I43" s="54" t="b">
        <v>1</v>
      </c>
      <c r="J43" s="10" t="b">
        <v>0</v>
      </c>
      <c r="K43" s="10" t="b">
        <v>0</v>
      </c>
      <c r="L43" s="10" t="b">
        <v>0</v>
      </c>
      <c r="M43" s="10" t="b">
        <v>0</v>
      </c>
      <c r="N43" s="10" t="b">
        <v>0</v>
      </c>
      <c r="O43" s="10" t="b">
        <v>0</v>
      </c>
      <c r="P43" s="10" t="b">
        <v>0</v>
      </c>
      <c r="Q43" s="157">
        <v>46101.0</v>
      </c>
      <c r="R43" s="6" t="s">
        <v>357</v>
      </c>
      <c r="S43" s="6" t="s">
        <v>358</v>
      </c>
      <c r="T43" s="54" t="b">
        <v>1</v>
      </c>
      <c r="U43" s="9" t="s">
        <v>1643</v>
      </c>
      <c r="V43" s="70" t="b">
        <v>0</v>
      </c>
      <c r="W43" s="6" t="s">
        <v>357</v>
      </c>
      <c r="X43" s="6" t="s">
        <v>358</v>
      </c>
      <c r="Y43" s="9" t="s">
        <v>1644</v>
      </c>
      <c r="Z43" s="4"/>
      <c r="AA43" s="4"/>
      <c r="AB43" s="4"/>
      <c r="AC43" s="4"/>
      <c r="AD43" s="4"/>
      <c r="AE43" s="4"/>
      <c r="AF43" s="4"/>
    </row>
    <row r="44">
      <c r="A44" s="30" t="s">
        <v>146</v>
      </c>
      <c r="B44" s="155" t="s">
        <v>1507</v>
      </c>
      <c r="C44" s="9" t="s">
        <v>1645</v>
      </c>
      <c r="D44" s="13">
        <v>9.080265044E9</v>
      </c>
      <c r="E44" s="8" t="s">
        <v>38</v>
      </c>
      <c r="F44" s="9"/>
      <c r="G44" s="57" t="b">
        <v>1</v>
      </c>
      <c r="H44" s="57" t="b">
        <v>1</v>
      </c>
      <c r="I44" s="10" t="b">
        <v>0</v>
      </c>
      <c r="J44" s="10" t="b">
        <v>0</v>
      </c>
      <c r="K44" s="10" t="b">
        <v>0</v>
      </c>
      <c r="L44" s="10" t="b">
        <v>0</v>
      </c>
      <c r="M44" s="10" t="b">
        <v>0</v>
      </c>
      <c r="N44" s="10" t="b">
        <v>0</v>
      </c>
      <c r="O44" s="10" t="b">
        <v>0</v>
      </c>
      <c r="P44" s="10" t="b">
        <v>0</v>
      </c>
      <c r="Q44" s="157">
        <v>46098.0</v>
      </c>
      <c r="R44" s="6" t="s">
        <v>357</v>
      </c>
      <c r="S44" s="6" t="s">
        <v>358</v>
      </c>
      <c r="T44" s="57" t="b">
        <v>0</v>
      </c>
      <c r="U44" s="9" t="s">
        <v>1646</v>
      </c>
      <c r="V44" s="70" t="b">
        <v>0</v>
      </c>
      <c r="W44" s="6" t="s">
        <v>357</v>
      </c>
      <c r="X44" s="6" t="s">
        <v>358</v>
      </c>
      <c r="Y44" s="9" t="s">
        <v>1647</v>
      </c>
      <c r="Z44" s="4"/>
      <c r="AA44" s="4"/>
      <c r="AB44" s="4"/>
      <c r="AC44" s="4"/>
      <c r="AD44" s="4"/>
      <c r="AE44" s="4"/>
      <c r="AF44" s="4"/>
    </row>
    <row r="45">
      <c r="A45" s="30" t="s">
        <v>146</v>
      </c>
      <c r="B45" s="155" t="s">
        <v>1507</v>
      </c>
      <c r="C45" s="9" t="s">
        <v>1648</v>
      </c>
      <c r="D45" s="13">
        <v>9.345335638E9</v>
      </c>
      <c r="E45" s="8" t="s">
        <v>185</v>
      </c>
      <c r="F45" s="9" t="s">
        <v>409</v>
      </c>
      <c r="G45" s="57" t="b">
        <v>1</v>
      </c>
      <c r="H45" s="57" t="b">
        <v>1</v>
      </c>
      <c r="I45" s="54" t="b">
        <v>1</v>
      </c>
      <c r="J45" s="10" t="b">
        <v>0</v>
      </c>
      <c r="K45" s="10" t="b">
        <v>0</v>
      </c>
      <c r="L45" s="10" t="b">
        <v>0</v>
      </c>
      <c r="M45" s="10" t="b">
        <v>0</v>
      </c>
      <c r="N45" s="10" t="b">
        <v>0</v>
      </c>
      <c r="O45" s="10" t="b">
        <v>0</v>
      </c>
      <c r="P45" s="10" t="b">
        <v>0</v>
      </c>
      <c r="Q45" s="159">
        <v>46102.0</v>
      </c>
      <c r="R45" s="6" t="s">
        <v>357</v>
      </c>
      <c r="S45" s="6" t="s">
        <v>358</v>
      </c>
      <c r="T45" s="57" t="b">
        <v>0</v>
      </c>
      <c r="U45" s="9" t="s">
        <v>1649</v>
      </c>
      <c r="V45" s="70" t="b">
        <v>0</v>
      </c>
      <c r="W45" s="6" t="s">
        <v>382</v>
      </c>
      <c r="X45" s="6" t="s">
        <v>358</v>
      </c>
      <c r="Y45" s="9" t="s">
        <v>1650</v>
      </c>
      <c r="Z45" s="4"/>
      <c r="AA45" s="4"/>
      <c r="AB45" s="4"/>
      <c r="AC45" s="4"/>
      <c r="AD45" s="4"/>
      <c r="AE45" s="4"/>
      <c r="AF45" s="4"/>
    </row>
    <row r="46">
      <c r="A46" s="30" t="s">
        <v>146</v>
      </c>
      <c r="B46" s="155" t="s">
        <v>1507</v>
      </c>
      <c r="C46" s="9" t="s">
        <v>1651</v>
      </c>
      <c r="D46" s="13">
        <v>8.148485655E9</v>
      </c>
      <c r="E46" s="8" t="s">
        <v>38</v>
      </c>
      <c r="F46" s="9" t="s">
        <v>485</v>
      </c>
      <c r="G46" s="57" t="b">
        <v>1</v>
      </c>
      <c r="H46" s="67" t="b">
        <v>1</v>
      </c>
      <c r="I46" s="54" t="b">
        <v>1</v>
      </c>
      <c r="J46" s="10" t="b">
        <v>0</v>
      </c>
      <c r="K46" s="10" t="b">
        <v>0</v>
      </c>
      <c r="L46" s="10" t="b">
        <v>0</v>
      </c>
      <c r="M46" s="10" t="b">
        <v>0</v>
      </c>
      <c r="N46" s="10" t="b">
        <v>0</v>
      </c>
      <c r="O46" s="10" t="b">
        <v>0</v>
      </c>
      <c r="P46" s="10" t="b">
        <v>0</v>
      </c>
      <c r="Q46" s="157">
        <v>46097.0</v>
      </c>
      <c r="R46" s="6" t="s">
        <v>357</v>
      </c>
      <c r="S46" s="6" t="s">
        <v>358</v>
      </c>
      <c r="T46" s="54" t="b">
        <v>1</v>
      </c>
      <c r="U46" s="9" t="s">
        <v>1652</v>
      </c>
      <c r="V46" s="70" t="b">
        <v>1</v>
      </c>
      <c r="W46" s="6" t="s">
        <v>684</v>
      </c>
      <c r="X46" s="6" t="s">
        <v>358</v>
      </c>
      <c r="Y46" s="9" t="s">
        <v>1653</v>
      </c>
      <c r="Z46" s="4"/>
      <c r="AA46" s="4"/>
      <c r="AB46" s="4"/>
      <c r="AC46" s="4"/>
      <c r="AD46" s="4"/>
      <c r="AE46" s="4"/>
      <c r="AF46" s="4"/>
    </row>
    <row r="47">
      <c r="A47" s="30" t="s">
        <v>146</v>
      </c>
      <c r="B47" s="155" t="s">
        <v>1507</v>
      </c>
      <c r="C47" s="9" t="s">
        <v>1654</v>
      </c>
      <c r="D47" s="160">
        <v>9.789668698E9</v>
      </c>
      <c r="E47" s="8" t="s">
        <v>69</v>
      </c>
      <c r="F47" s="9" t="s">
        <v>485</v>
      </c>
      <c r="G47" s="57" t="b">
        <v>1</v>
      </c>
      <c r="H47" s="67" t="b">
        <v>1</v>
      </c>
      <c r="I47" s="67" t="b">
        <v>1</v>
      </c>
      <c r="J47" s="67" t="b">
        <v>1</v>
      </c>
      <c r="K47" s="71" t="b">
        <v>1</v>
      </c>
      <c r="L47" s="71" t="b">
        <v>1</v>
      </c>
      <c r="M47" s="95" t="b">
        <v>1</v>
      </c>
      <c r="N47" s="95" t="b">
        <v>1</v>
      </c>
      <c r="O47" s="54" t="b">
        <v>1</v>
      </c>
      <c r="P47" s="10" t="b">
        <v>0</v>
      </c>
      <c r="Q47" s="157">
        <v>46106.0</v>
      </c>
      <c r="R47" s="6" t="s">
        <v>357</v>
      </c>
      <c r="S47" s="6" t="s">
        <v>358</v>
      </c>
      <c r="T47" s="54" t="b">
        <v>1</v>
      </c>
      <c r="U47" s="9" t="s">
        <v>1655</v>
      </c>
      <c r="V47" s="70" t="b">
        <v>1</v>
      </c>
      <c r="W47" s="6" t="s">
        <v>382</v>
      </c>
      <c r="X47" s="6" t="s">
        <v>358</v>
      </c>
      <c r="Y47" s="9" t="s">
        <v>1656</v>
      </c>
      <c r="Z47" s="4"/>
      <c r="AA47" s="4"/>
      <c r="AB47" s="4"/>
      <c r="AC47" s="4"/>
      <c r="AD47" s="4"/>
      <c r="AE47" s="4"/>
      <c r="AF47" s="4"/>
    </row>
    <row r="48">
      <c r="A48" s="30" t="s">
        <v>146</v>
      </c>
      <c r="B48" s="155" t="s">
        <v>1507</v>
      </c>
      <c r="C48" s="9" t="s">
        <v>1657</v>
      </c>
      <c r="D48" s="13">
        <v>9.677988172E9</v>
      </c>
      <c r="E48" s="8" t="s">
        <v>69</v>
      </c>
      <c r="F48" s="9" t="s">
        <v>409</v>
      </c>
      <c r="G48" s="57" t="b">
        <v>1</v>
      </c>
      <c r="H48" s="57" t="b">
        <v>1</v>
      </c>
      <c r="I48" s="67" t="b">
        <v>1</v>
      </c>
      <c r="J48" s="67" t="b">
        <v>1</v>
      </c>
      <c r="K48" s="54" t="b">
        <v>1</v>
      </c>
      <c r="L48" s="10" t="b">
        <v>0</v>
      </c>
      <c r="M48" s="10" t="b">
        <v>0</v>
      </c>
      <c r="N48" s="10" t="b">
        <v>0</v>
      </c>
      <c r="O48" s="10" t="b">
        <v>0</v>
      </c>
      <c r="P48" s="10" t="b">
        <v>0</v>
      </c>
      <c r="Q48" s="157">
        <f>TODAY()</f>
        <v>46175</v>
      </c>
      <c r="R48" s="6" t="s">
        <v>357</v>
      </c>
      <c r="S48" s="6" t="s">
        <v>358</v>
      </c>
      <c r="T48" s="57" t="b">
        <v>0</v>
      </c>
      <c r="U48" s="9" t="s">
        <v>1658</v>
      </c>
      <c r="V48" s="70" t="b">
        <v>0</v>
      </c>
      <c r="W48" s="6" t="s">
        <v>382</v>
      </c>
      <c r="X48" s="6" t="s">
        <v>358</v>
      </c>
      <c r="Y48" s="9" t="s">
        <v>1659</v>
      </c>
      <c r="Z48" s="4"/>
      <c r="AA48" s="4"/>
      <c r="AB48" s="4"/>
      <c r="AC48" s="4"/>
      <c r="AD48" s="4"/>
      <c r="AE48" s="4"/>
      <c r="AF48" s="4"/>
    </row>
    <row r="49">
      <c r="A49" s="30" t="s">
        <v>146</v>
      </c>
      <c r="B49" s="155" t="s">
        <v>1507</v>
      </c>
      <c r="C49" s="9" t="s">
        <v>1660</v>
      </c>
      <c r="D49" s="13">
        <v>9.626683821E9</v>
      </c>
      <c r="E49" s="8" t="s">
        <v>45</v>
      </c>
      <c r="F49" s="9" t="s">
        <v>1661</v>
      </c>
      <c r="G49" s="57" t="b">
        <v>1</v>
      </c>
      <c r="H49" s="67" t="b">
        <v>1</v>
      </c>
      <c r="I49" s="67" t="b">
        <v>1</v>
      </c>
      <c r="J49" s="67" t="b">
        <v>1</v>
      </c>
      <c r="K49" s="67" t="b">
        <v>1</v>
      </c>
      <c r="L49" s="71" t="b">
        <v>1</v>
      </c>
      <c r="M49" s="54" t="b">
        <v>1</v>
      </c>
      <c r="N49" s="10" t="b">
        <v>0</v>
      </c>
      <c r="O49" s="10" t="b">
        <v>0</v>
      </c>
      <c r="P49" s="10" t="b">
        <v>0</v>
      </c>
      <c r="Q49" s="157">
        <v>46108.0</v>
      </c>
      <c r="R49" s="6" t="s">
        <v>357</v>
      </c>
      <c r="S49" s="6" t="s">
        <v>358</v>
      </c>
      <c r="T49" s="54" t="b">
        <v>1</v>
      </c>
      <c r="U49" s="9" t="s">
        <v>1662</v>
      </c>
      <c r="V49" s="70" t="b">
        <v>1</v>
      </c>
      <c r="W49" s="6" t="s">
        <v>684</v>
      </c>
      <c r="X49" s="6" t="s">
        <v>358</v>
      </c>
      <c r="Y49" s="9" t="s">
        <v>1663</v>
      </c>
      <c r="Z49" s="4"/>
      <c r="AA49" s="4"/>
      <c r="AB49" s="4"/>
      <c r="AC49" s="4"/>
      <c r="AD49" s="4"/>
      <c r="AE49" s="4"/>
      <c r="AF49" s="4"/>
    </row>
    <row r="50">
      <c r="A50" s="30" t="s">
        <v>146</v>
      </c>
      <c r="B50" s="155" t="s">
        <v>1507</v>
      </c>
      <c r="C50" s="9" t="s">
        <v>1664</v>
      </c>
      <c r="D50" s="13">
        <v>9.5003863E9</v>
      </c>
      <c r="E50" s="8" t="s">
        <v>180</v>
      </c>
      <c r="F50" s="9" t="s">
        <v>409</v>
      </c>
      <c r="G50" s="57" t="b">
        <v>1</v>
      </c>
      <c r="H50" s="67" t="b">
        <v>1</v>
      </c>
      <c r="I50" s="71" t="b">
        <v>1</v>
      </c>
      <c r="J50" s="71" t="b">
        <v>1</v>
      </c>
      <c r="K50" s="71" t="b">
        <v>1</v>
      </c>
      <c r="L50" s="95" t="b">
        <v>1</v>
      </c>
      <c r="M50" s="95" t="b">
        <v>1</v>
      </c>
      <c r="N50" s="95" t="b">
        <v>1</v>
      </c>
      <c r="O50" s="54" t="b">
        <v>1</v>
      </c>
      <c r="P50" s="10" t="b">
        <v>0</v>
      </c>
      <c r="Q50" s="157">
        <v>46113.0</v>
      </c>
      <c r="R50" s="6" t="s">
        <v>357</v>
      </c>
      <c r="S50" s="6" t="s">
        <v>358</v>
      </c>
      <c r="T50" s="54" t="b">
        <v>1</v>
      </c>
      <c r="U50" s="9" t="s">
        <v>1665</v>
      </c>
      <c r="V50" s="70" t="b">
        <v>1</v>
      </c>
      <c r="W50" s="6" t="s">
        <v>357</v>
      </c>
      <c r="X50" s="6" t="s">
        <v>358</v>
      </c>
      <c r="Y50" s="9" t="s">
        <v>1666</v>
      </c>
      <c r="Z50" s="4"/>
      <c r="AA50" s="4"/>
      <c r="AB50" s="4"/>
      <c r="AC50" s="4"/>
      <c r="AD50" s="4"/>
      <c r="AE50" s="4"/>
      <c r="AF50" s="4"/>
    </row>
    <row r="51">
      <c r="A51" s="30" t="s">
        <v>146</v>
      </c>
      <c r="B51" s="155" t="s">
        <v>1507</v>
      </c>
      <c r="C51" s="9" t="s">
        <v>1667</v>
      </c>
      <c r="D51" s="13">
        <v>9.344173616E9</v>
      </c>
      <c r="E51" s="8" t="s">
        <v>69</v>
      </c>
      <c r="F51" s="9"/>
      <c r="G51" s="57" t="b">
        <v>1</v>
      </c>
      <c r="H51" s="57" t="b">
        <v>1</v>
      </c>
      <c r="I51" s="67" t="b">
        <v>1</v>
      </c>
      <c r="J51" s="67" t="b">
        <v>1</v>
      </c>
      <c r="K51" s="67" t="b">
        <v>1</v>
      </c>
      <c r="L51" s="54" t="b">
        <v>1</v>
      </c>
      <c r="M51" s="10" t="b">
        <v>0</v>
      </c>
      <c r="N51" s="10" t="b">
        <v>0</v>
      </c>
      <c r="O51" s="10" t="b">
        <v>0</v>
      </c>
      <c r="P51" s="10" t="b">
        <v>0</v>
      </c>
      <c r="Q51" s="157">
        <v>46098.0</v>
      </c>
      <c r="R51" s="6" t="s">
        <v>357</v>
      </c>
      <c r="S51" s="6" t="s">
        <v>358</v>
      </c>
      <c r="T51" s="54" t="b">
        <v>1</v>
      </c>
      <c r="U51" s="9" t="s">
        <v>1668</v>
      </c>
      <c r="V51" s="70" t="b">
        <v>1</v>
      </c>
      <c r="W51" s="6" t="s">
        <v>382</v>
      </c>
      <c r="X51" s="6" t="s">
        <v>358</v>
      </c>
      <c r="Y51" s="9" t="s">
        <v>1669</v>
      </c>
      <c r="Z51" s="4"/>
      <c r="AA51" s="4"/>
      <c r="AB51" s="4"/>
      <c r="AC51" s="4"/>
      <c r="AD51" s="4"/>
      <c r="AE51" s="4"/>
      <c r="AF51" s="4"/>
    </row>
    <row r="52">
      <c r="A52" s="30" t="s">
        <v>146</v>
      </c>
      <c r="B52" s="155" t="s">
        <v>1507</v>
      </c>
      <c r="C52" s="9" t="s">
        <v>1670</v>
      </c>
      <c r="D52" s="13">
        <v>8.754778747E9</v>
      </c>
      <c r="E52" s="8" t="s">
        <v>38</v>
      </c>
      <c r="F52" s="9" t="s">
        <v>1671</v>
      </c>
      <c r="G52" s="57" t="b">
        <v>1</v>
      </c>
      <c r="H52" s="57" t="b">
        <v>1</v>
      </c>
      <c r="I52" s="57" t="b">
        <v>1</v>
      </c>
      <c r="J52" s="67" t="b">
        <v>1</v>
      </c>
      <c r="K52" s="71" t="b">
        <v>1</v>
      </c>
      <c r="L52" s="71" t="b">
        <v>1</v>
      </c>
      <c r="M52" s="71" t="b">
        <v>1</v>
      </c>
      <c r="N52" s="71" t="b">
        <v>1</v>
      </c>
      <c r="O52" s="54" t="b">
        <v>1</v>
      </c>
      <c r="P52" s="10" t="b">
        <v>0</v>
      </c>
      <c r="Q52" s="157">
        <v>46136.0</v>
      </c>
      <c r="R52" s="6" t="s">
        <v>357</v>
      </c>
      <c r="S52" s="6" t="s">
        <v>358</v>
      </c>
      <c r="T52" s="54" t="b">
        <v>1</v>
      </c>
      <c r="U52" s="9" t="s">
        <v>1672</v>
      </c>
      <c r="V52" s="70" t="b">
        <v>1</v>
      </c>
      <c r="W52" s="6" t="s">
        <v>382</v>
      </c>
      <c r="X52" s="6" t="s">
        <v>358</v>
      </c>
      <c r="Y52" s="9" t="s">
        <v>1673</v>
      </c>
      <c r="Z52" s="4"/>
      <c r="AA52" s="4"/>
      <c r="AB52" s="4"/>
      <c r="AC52" s="4"/>
      <c r="AD52" s="4"/>
      <c r="AE52" s="4"/>
      <c r="AF52" s="4"/>
    </row>
    <row r="53" ht="16.5" customHeight="1">
      <c r="A53" s="30" t="s">
        <v>146</v>
      </c>
      <c r="B53" s="155" t="s">
        <v>1507</v>
      </c>
      <c r="C53" s="9" t="s">
        <v>1674</v>
      </c>
      <c r="D53" s="13">
        <v>9.07485112E9</v>
      </c>
      <c r="E53" s="8" t="s">
        <v>45</v>
      </c>
      <c r="F53" s="9" t="s">
        <v>1675</v>
      </c>
      <c r="G53" s="57" t="b">
        <v>1</v>
      </c>
      <c r="H53" s="54" t="b">
        <v>1</v>
      </c>
      <c r="I53" s="10" t="b">
        <v>0</v>
      </c>
      <c r="J53" s="10" t="b">
        <v>0</v>
      </c>
      <c r="K53" s="10" t="b">
        <v>0</v>
      </c>
      <c r="L53" s="10" t="b">
        <v>0</v>
      </c>
      <c r="M53" s="10" t="b">
        <v>0</v>
      </c>
      <c r="N53" s="10" t="b">
        <v>0</v>
      </c>
      <c r="O53" s="10" t="b">
        <v>0</v>
      </c>
      <c r="P53" s="10" t="b">
        <v>0</v>
      </c>
      <c r="Q53" s="157">
        <v>46091.0</v>
      </c>
      <c r="R53" s="6" t="s">
        <v>357</v>
      </c>
      <c r="S53" s="6" t="s">
        <v>358</v>
      </c>
      <c r="T53" s="54" t="b">
        <v>1</v>
      </c>
      <c r="U53" s="9" t="s">
        <v>1676</v>
      </c>
      <c r="V53" s="70" t="b">
        <v>0</v>
      </c>
      <c r="W53" s="6" t="s">
        <v>684</v>
      </c>
      <c r="X53" s="6" t="s">
        <v>358</v>
      </c>
      <c r="Y53" s="9" t="s">
        <v>1677</v>
      </c>
      <c r="Z53" s="4"/>
      <c r="AA53" s="4"/>
      <c r="AB53" s="4"/>
      <c r="AC53" s="4"/>
      <c r="AD53" s="4"/>
      <c r="AE53" s="4"/>
      <c r="AF53" s="4"/>
    </row>
    <row r="54">
      <c r="A54" s="30" t="s">
        <v>146</v>
      </c>
      <c r="B54" s="155" t="s">
        <v>1507</v>
      </c>
      <c r="C54" s="9" t="s">
        <v>1678</v>
      </c>
      <c r="D54" s="13">
        <v>8.903658352E9</v>
      </c>
      <c r="E54" s="8" t="s">
        <v>45</v>
      </c>
      <c r="F54" s="9" t="s">
        <v>1679</v>
      </c>
      <c r="G54" s="57" t="b">
        <v>1</v>
      </c>
      <c r="H54" s="57" t="b">
        <v>1</v>
      </c>
      <c r="I54" s="57" t="b">
        <v>1</v>
      </c>
      <c r="J54" s="54" t="b">
        <v>1</v>
      </c>
      <c r="K54" s="67" t="b">
        <v>1</v>
      </c>
      <c r="L54" s="54" t="b">
        <v>1</v>
      </c>
      <c r="M54" s="10" t="b">
        <v>0</v>
      </c>
      <c r="N54" s="10" t="b">
        <v>0</v>
      </c>
      <c r="O54" s="10" t="b">
        <v>0</v>
      </c>
      <c r="P54" s="10" t="b">
        <v>0</v>
      </c>
      <c r="Q54" s="157">
        <v>46097.0</v>
      </c>
      <c r="R54" s="6" t="s">
        <v>357</v>
      </c>
      <c r="S54" s="6" t="s">
        <v>358</v>
      </c>
      <c r="T54" s="54" t="b">
        <v>1</v>
      </c>
      <c r="U54" s="9" t="s">
        <v>1680</v>
      </c>
      <c r="V54" s="70" t="b">
        <v>0</v>
      </c>
      <c r="W54" s="6" t="s">
        <v>684</v>
      </c>
      <c r="X54" s="6" t="s">
        <v>358</v>
      </c>
      <c r="Y54" s="9" t="s">
        <v>1681</v>
      </c>
      <c r="Z54" s="4"/>
      <c r="AA54" s="4"/>
      <c r="AB54" s="4"/>
      <c r="AC54" s="4"/>
      <c r="AD54" s="4"/>
      <c r="AE54" s="4"/>
      <c r="AF54" s="4"/>
    </row>
    <row r="55">
      <c r="A55" s="30" t="s">
        <v>146</v>
      </c>
      <c r="B55" s="155" t="s">
        <v>1507</v>
      </c>
      <c r="C55" s="9" t="s">
        <v>1682</v>
      </c>
      <c r="D55" s="13">
        <v>9.585213132E9</v>
      </c>
      <c r="E55" s="8" t="s">
        <v>180</v>
      </c>
      <c r="F55" s="9"/>
      <c r="G55" s="57" t="b">
        <v>1</v>
      </c>
      <c r="H55" s="67" t="b">
        <v>1</v>
      </c>
      <c r="I55" s="67" t="b">
        <v>1</v>
      </c>
      <c r="J55" s="71" t="b">
        <v>1</v>
      </c>
      <c r="K55" s="95" t="b">
        <v>1</v>
      </c>
      <c r="L55" s="95" t="b">
        <v>1</v>
      </c>
      <c r="M55" s="54" t="b">
        <v>1</v>
      </c>
      <c r="N55" s="10" t="b">
        <v>0</v>
      </c>
      <c r="O55" s="10" t="b">
        <v>0</v>
      </c>
      <c r="P55" s="10" t="b">
        <v>0</v>
      </c>
      <c r="Q55" s="157">
        <v>46104.0</v>
      </c>
      <c r="R55" s="6" t="s">
        <v>357</v>
      </c>
      <c r="S55" s="6" t="s">
        <v>358</v>
      </c>
      <c r="T55" s="54" t="b">
        <v>1</v>
      </c>
      <c r="U55" s="9" t="s">
        <v>1683</v>
      </c>
      <c r="V55" s="70" t="b">
        <v>0</v>
      </c>
      <c r="W55" s="6" t="s">
        <v>684</v>
      </c>
      <c r="X55" s="6" t="s">
        <v>358</v>
      </c>
      <c r="Y55" s="9" t="s">
        <v>1684</v>
      </c>
      <c r="Z55" s="4"/>
      <c r="AA55" s="4"/>
      <c r="AB55" s="4"/>
      <c r="AC55" s="4"/>
      <c r="AD55" s="4"/>
      <c r="AE55" s="4"/>
      <c r="AF55" s="4"/>
    </row>
    <row r="56">
      <c r="A56" s="30" t="s">
        <v>146</v>
      </c>
      <c r="B56" s="155" t="s">
        <v>1507</v>
      </c>
      <c r="C56" s="9" t="s">
        <v>1685</v>
      </c>
      <c r="D56" s="13">
        <v>8.838800339E9</v>
      </c>
      <c r="E56" s="8" t="s">
        <v>38</v>
      </c>
      <c r="F56" s="9" t="s">
        <v>1686</v>
      </c>
      <c r="G56" s="57" t="b">
        <v>1</v>
      </c>
      <c r="H56" s="57" t="b">
        <v>1</v>
      </c>
      <c r="I56" s="67" t="b">
        <v>1</v>
      </c>
      <c r="J56" s="67" t="b">
        <v>1</v>
      </c>
      <c r="K56" s="71" t="b">
        <v>1</v>
      </c>
      <c r="L56" s="71" t="b">
        <v>1</v>
      </c>
      <c r="M56" s="71" t="b">
        <v>1</v>
      </c>
      <c r="N56" s="71" t="b">
        <v>1</v>
      </c>
      <c r="O56" s="71" t="b">
        <v>1</v>
      </c>
      <c r="P56" s="54" t="b">
        <v>1</v>
      </c>
      <c r="Q56" s="157">
        <v>46104.0</v>
      </c>
      <c r="R56" s="6" t="s">
        <v>357</v>
      </c>
      <c r="S56" s="6" t="s">
        <v>358</v>
      </c>
      <c r="T56" s="54" t="b">
        <v>1</v>
      </c>
      <c r="U56" s="9" t="s">
        <v>1687</v>
      </c>
      <c r="V56" s="70" t="b">
        <v>1</v>
      </c>
      <c r="W56" s="6" t="s">
        <v>382</v>
      </c>
      <c r="X56" s="6" t="s">
        <v>358</v>
      </c>
      <c r="Y56" s="9" t="s">
        <v>1688</v>
      </c>
      <c r="Z56" s="4"/>
      <c r="AA56" s="4"/>
      <c r="AB56" s="4"/>
      <c r="AC56" s="4"/>
      <c r="AD56" s="4"/>
      <c r="AE56" s="4"/>
      <c r="AF56" s="4"/>
    </row>
    <row r="57">
      <c r="A57" s="30" t="s">
        <v>146</v>
      </c>
      <c r="B57" s="155" t="s">
        <v>1507</v>
      </c>
      <c r="C57" s="9" t="s">
        <v>1689</v>
      </c>
      <c r="D57" s="13">
        <v>9.360363499E9</v>
      </c>
      <c r="E57" s="8" t="s">
        <v>180</v>
      </c>
      <c r="F57" s="9"/>
      <c r="G57" s="57" t="b">
        <v>1</v>
      </c>
      <c r="H57" s="54" t="b">
        <v>1</v>
      </c>
      <c r="I57" s="10" t="b">
        <v>0</v>
      </c>
      <c r="J57" s="10" t="b">
        <v>0</v>
      </c>
      <c r="K57" s="10" t="b">
        <v>0</v>
      </c>
      <c r="L57" s="10" t="b">
        <v>0</v>
      </c>
      <c r="M57" s="10" t="b">
        <v>0</v>
      </c>
      <c r="N57" s="10" t="b">
        <v>0</v>
      </c>
      <c r="O57" s="10" t="b">
        <v>0</v>
      </c>
      <c r="P57" s="10" t="b">
        <v>0</v>
      </c>
      <c r="Q57" s="157">
        <v>46093.0</v>
      </c>
      <c r="R57" s="6" t="s">
        <v>357</v>
      </c>
      <c r="S57" s="6" t="s">
        <v>358</v>
      </c>
      <c r="T57" s="57" t="b">
        <v>0</v>
      </c>
      <c r="U57" s="9" t="s">
        <v>1690</v>
      </c>
      <c r="V57" s="70" t="b">
        <v>0</v>
      </c>
      <c r="W57" s="6" t="s">
        <v>684</v>
      </c>
      <c r="X57" s="6" t="s">
        <v>358</v>
      </c>
      <c r="Y57" s="9" t="s">
        <v>1691</v>
      </c>
      <c r="Z57" s="4"/>
      <c r="AA57" s="4"/>
      <c r="AB57" s="4"/>
      <c r="AC57" s="4"/>
      <c r="AD57" s="4"/>
      <c r="AE57" s="4"/>
      <c r="AF57" s="4"/>
    </row>
    <row r="58">
      <c r="A58" s="30" t="s">
        <v>146</v>
      </c>
      <c r="B58" s="155" t="s">
        <v>1507</v>
      </c>
      <c r="C58" s="9" t="s">
        <v>1638</v>
      </c>
      <c r="D58" s="13">
        <v>7.904086132E9</v>
      </c>
      <c r="E58" s="8" t="s">
        <v>1378</v>
      </c>
      <c r="F58" s="9" t="s">
        <v>1692</v>
      </c>
      <c r="G58" s="57" t="b">
        <v>1</v>
      </c>
      <c r="H58" s="57" t="b">
        <v>1</v>
      </c>
      <c r="I58" s="67" t="b">
        <v>1</v>
      </c>
      <c r="J58" s="71" t="b">
        <v>1</v>
      </c>
      <c r="K58" s="10" t="b">
        <v>0</v>
      </c>
      <c r="L58" s="10" t="b">
        <v>0</v>
      </c>
      <c r="M58" s="10" t="b">
        <v>0</v>
      </c>
      <c r="N58" s="10" t="b">
        <v>0</v>
      </c>
      <c r="O58" s="10" t="b">
        <v>0</v>
      </c>
      <c r="P58" s="10" t="b">
        <v>0</v>
      </c>
      <c r="Q58" s="157">
        <v>46094.0</v>
      </c>
      <c r="R58" s="6" t="s">
        <v>890</v>
      </c>
      <c r="S58" s="6" t="s">
        <v>891</v>
      </c>
      <c r="T58" s="57" t="b">
        <v>1</v>
      </c>
      <c r="U58" s="9" t="s">
        <v>1639</v>
      </c>
      <c r="V58" s="70" t="b">
        <v>1</v>
      </c>
      <c r="W58" s="6" t="s">
        <v>890</v>
      </c>
      <c r="X58" s="6" t="s">
        <v>891</v>
      </c>
      <c r="Y58" s="9" t="s">
        <v>1693</v>
      </c>
      <c r="Z58" s="4"/>
      <c r="AA58" s="4"/>
      <c r="AB58" s="4"/>
      <c r="AC58" s="4"/>
      <c r="AD58" s="4"/>
      <c r="AE58" s="4"/>
      <c r="AF58" s="4"/>
    </row>
    <row r="59">
      <c r="A59" s="30" t="s">
        <v>146</v>
      </c>
      <c r="B59" s="155" t="s">
        <v>1507</v>
      </c>
      <c r="C59" s="9" t="s">
        <v>1694</v>
      </c>
      <c r="D59" s="13">
        <v>9.894287915E9</v>
      </c>
      <c r="E59" s="8" t="s">
        <v>180</v>
      </c>
      <c r="F59" s="9"/>
      <c r="G59" s="57" t="b">
        <v>1</v>
      </c>
      <c r="H59" s="67" t="b">
        <v>1</v>
      </c>
      <c r="I59" s="71" t="b">
        <v>1</v>
      </c>
      <c r="J59" s="71" t="b">
        <v>1</v>
      </c>
      <c r="K59" s="10" t="b">
        <v>0</v>
      </c>
      <c r="L59" s="10" t="b">
        <v>0</v>
      </c>
      <c r="M59" s="10" t="b">
        <v>0</v>
      </c>
      <c r="N59" s="10" t="b">
        <v>0</v>
      </c>
      <c r="O59" s="10" t="b">
        <v>0</v>
      </c>
      <c r="P59" s="10" t="b">
        <v>0</v>
      </c>
      <c r="Q59" s="157">
        <v>46097.0</v>
      </c>
      <c r="R59" s="6" t="s">
        <v>1124</v>
      </c>
      <c r="S59" s="6" t="s">
        <v>588</v>
      </c>
      <c r="T59" s="57" t="b">
        <v>1</v>
      </c>
      <c r="U59" s="9" t="s">
        <v>1695</v>
      </c>
      <c r="V59" s="70" t="b">
        <v>1</v>
      </c>
      <c r="W59" s="6" t="s">
        <v>834</v>
      </c>
      <c r="X59" s="6" t="s">
        <v>429</v>
      </c>
      <c r="Y59" s="9" t="s">
        <v>1696</v>
      </c>
      <c r="Z59" s="4"/>
      <c r="AA59" s="4"/>
      <c r="AB59" s="4"/>
      <c r="AC59" s="4"/>
      <c r="AD59" s="4"/>
      <c r="AE59" s="4"/>
      <c r="AF59" s="4"/>
    </row>
    <row r="60">
      <c r="A60" s="30" t="s">
        <v>146</v>
      </c>
      <c r="B60" s="155" t="s">
        <v>1507</v>
      </c>
      <c r="C60" s="9" t="s">
        <v>1697</v>
      </c>
      <c r="D60" s="13">
        <v>9.8941206E9</v>
      </c>
      <c r="E60" s="8" t="s">
        <v>169</v>
      </c>
      <c r="F60" s="9"/>
      <c r="G60" s="57" t="b">
        <v>1</v>
      </c>
      <c r="H60" s="67" t="b">
        <v>1</v>
      </c>
      <c r="I60" s="71" t="b">
        <v>1</v>
      </c>
      <c r="J60" s="54" t="b">
        <v>1</v>
      </c>
      <c r="K60" s="10" t="b">
        <v>0</v>
      </c>
      <c r="L60" s="10" t="b">
        <v>0</v>
      </c>
      <c r="M60" s="10" t="b">
        <v>0</v>
      </c>
      <c r="N60" s="10" t="b">
        <v>0</v>
      </c>
      <c r="O60" s="10" t="b">
        <v>0</v>
      </c>
      <c r="P60" s="10" t="b">
        <v>0</v>
      </c>
      <c r="Q60" s="157">
        <v>46106.0</v>
      </c>
      <c r="R60" s="6" t="s">
        <v>357</v>
      </c>
      <c r="S60" s="6" t="s">
        <v>358</v>
      </c>
      <c r="T60" s="54" t="b">
        <v>1</v>
      </c>
      <c r="U60" s="9" t="s">
        <v>1698</v>
      </c>
      <c r="V60" s="70" t="b">
        <v>1</v>
      </c>
      <c r="W60" s="6" t="s">
        <v>684</v>
      </c>
      <c r="X60" s="6" t="s">
        <v>358</v>
      </c>
      <c r="Y60" s="9" t="s">
        <v>1699</v>
      </c>
      <c r="Z60" s="4"/>
      <c r="AA60" s="4"/>
      <c r="AB60" s="4"/>
      <c r="AC60" s="4"/>
      <c r="AD60" s="4"/>
      <c r="AE60" s="4"/>
      <c r="AF60" s="4"/>
    </row>
    <row r="61" ht="15.0" customHeight="1">
      <c r="A61" s="30" t="s">
        <v>146</v>
      </c>
      <c r="B61" s="155" t="s">
        <v>1507</v>
      </c>
      <c r="C61" s="9" t="s">
        <v>1700</v>
      </c>
      <c r="D61" s="13">
        <v>9.500242364E9</v>
      </c>
      <c r="E61" s="8" t="s">
        <v>38</v>
      </c>
      <c r="F61" s="9"/>
      <c r="G61" s="57" t="b">
        <v>1</v>
      </c>
      <c r="H61" s="67" t="b">
        <v>1</v>
      </c>
      <c r="I61" s="67" t="b">
        <v>1</v>
      </c>
      <c r="J61" s="67" t="b">
        <v>1</v>
      </c>
      <c r="K61" s="71" t="b">
        <v>1</v>
      </c>
      <c r="L61" s="54" t="b">
        <v>1</v>
      </c>
      <c r="M61" s="10" t="b">
        <v>0</v>
      </c>
      <c r="N61" s="10" t="b">
        <v>0</v>
      </c>
      <c r="O61" s="10" t="b">
        <v>0</v>
      </c>
      <c r="P61" s="10" t="b">
        <v>0</v>
      </c>
      <c r="Q61" s="157">
        <v>46104.0</v>
      </c>
      <c r="R61" s="6" t="s">
        <v>357</v>
      </c>
      <c r="S61" s="6" t="s">
        <v>358</v>
      </c>
      <c r="T61" s="54" t="b">
        <v>1</v>
      </c>
      <c r="U61" s="9" t="s">
        <v>1701</v>
      </c>
      <c r="V61" s="70" t="b">
        <v>1</v>
      </c>
      <c r="W61" s="6" t="s">
        <v>684</v>
      </c>
      <c r="X61" s="6" t="s">
        <v>358</v>
      </c>
      <c r="Y61" s="9" t="s">
        <v>1702</v>
      </c>
      <c r="Z61" s="4"/>
      <c r="AA61" s="4"/>
      <c r="AB61" s="4"/>
      <c r="AC61" s="4"/>
      <c r="AD61" s="4"/>
      <c r="AE61" s="4"/>
      <c r="AF61" s="4"/>
    </row>
    <row r="62">
      <c r="A62" s="30" t="s">
        <v>146</v>
      </c>
      <c r="B62" s="155" t="s">
        <v>1507</v>
      </c>
      <c r="C62" s="9" t="s">
        <v>1703</v>
      </c>
      <c r="D62" s="13">
        <v>9.164350087E9</v>
      </c>
      <c r="E62" s="8" t="s">
        <v>185</v>
      </c>
      <c r="F62" s="9"/>
      <c r="G62" s="57" t="b">
        <v>1</v>
      </c>
      <c r="H62" s="67" t="b">
        <v>1</v>
      </c>
      <c r="I62" s="67" t="b">
        <v>1</v>
      </c>
      <c r="J62" s="71" t="b">
        <v>1</v>
      </c>
      <c r="K62" s="71" t="b">
        <v>1</v>
      </c>
      <c r="L62" s="95" t="b">
        <v>1</v>
      </c>
      <c r="M62" s="10" t="b">
        <v>0</v>
      </c>
      <c r="N62" s="10" t="b">
        <v>0</v>
      </c>
      <c r="O62" s="10" t="b">
        <v>0</v>
      </c>
      <c r="P62" s="10" t="b">
        <v>0</v>
      </c>
      <c r="Q62" s="157">
        <v>46105.0</v>
      </c>
      <c r="R62" s="6" t="s">
        <v>890</v>
      </c>
      <c r="S62" s="6" t="s">
        <v>891</v>
      </c>
      <c r="T62" s="57" t="b">
        <v>1</v>
      </c>
      <c r="U62" s="9" t="s">
        <v>1704</v>
      </c>
      <c r="V62" s="70" t="b">
        <v>1</v>
      </c>
      <c r="W62" s="6" t="s">
        <v>890</v>
      </c>
      <c r="X62" s="6" t="s">
        <v>891</v>
      </c>
      <c r="Y62" s="9" t="s">
        <v>1705</v>
      </c>
      <c r="Z62" s="4"/>
      <c r="AA62" s="4"/>
      <c r="AB62" s="4"/>
      <c r="AC62" s="4"/>
      <c r="AD62" s="4"/>
      <c r="AE62" s="4"/>
      <c r="AF62" s="4"/>
    </row>
    <row r="63">
      <c r="A63" s="30" t="s">
        <v>146</v>
      </c>
      <c r="B63" s="155" t="s">
        <v>1507</v>
      </c>
      <c r="C63" s="9" t="s">
        <v>1706</v>
      </c>
      <c r="D63" s="13">
        <v>6.381903264E9</v>
      </c>
      <c r="E63" s="8" t="s">
        <v>38</v>
      </c>
      <c r="F63" s="9"/>
      <c r="G63" s="57" t="b">
        <v>1</v>
      </c>
      <c r="H63" s="67" t="b">
        <v>1</v>
      </c>
      <c r="I63" s="67" t="b">
        <v>1</v>
      </c>
      <c r="J63" s="71" t="b">
        <v>1</v>
      </c>
      <c r="K63" s="95" t="b">
        <v>1</v>
      </c>
      <c r="L63" s="54" t="b">
        <v>1</v>
      </c>
      <c r="M63" s="10" t="b">
        <v>0</v>
      </c>
      <c r="N63" s="10" t="b">
        <v>0</v>
      </c>
      <c r="O63" s="10" t="b">
        <v>0</v>
      </c>
      <c r="P63" s="10" t="b">
        <v>0</v>
      </c>
      <c r="Q63" s="157">
        <v>46106.0</v>
      </c>
      <c r="R63" s="6" t="s">
        <v>357</v>
      </c>
      <c r="S63" s="6" t="s">
        <v>1626</v>
      </c>
      <c r="T63" s="57" t="b">
        <v>1</v>
      </c>
      <c r="U63" s="9" t="s">
        <v>1707</v>
      </c>
      <c r="V63" s="70" t="b">
        <v>1</v>
      </c>
      <c r="W63" s="6" t="s">
        <v>357</v>
      </c>
      <c r="X63" s="6" t="s">
        <v>1626</v>
      </c>
      <c r="Y63" s="9" t="s">
        <v>1708</v>
      </c>
      <c r="Z63" s="4"/>
      <c r="AA63" s="4"/>
      <c r="AB63" s="4"/>
      <c r="AC63" s="4"/>
      <c r="AD63" s="4"/>
      <c r="AE63" s="4"/>
      <c r="AF63" s="4"/>
    </row>
    <row r="64" ht="16.5" customHeight="1">
      <c r="A64" s="30" t="s">
        <v>146</v>
      </c>
      <c r="B64" s="155" t="s">
        <v>1507</v>
      </c>
      <c r="C64" s="9" t="s">
        <v>1709</v>
      </c>
      <c r="D64" s="13">
        <v>8.056995251E9</v>
      </c>
      <c r="E64" s="8" t="s">
        <v>69</v>
      </c>
      <c r="F64" s="9"/>
      <c r="G64" s="57" t="b">
        <v>1</v>
      </c>
      <c r="H64" s="57" t="b">
        <v>1</v>
      </c>
      <c r="I64" s="57" t="b">
        <v>1</v>
      </c>
      <c r="J64" s="54" t="b">
        <v>1</v>
      </c>
      <c r="K64" s="10" t="b">
        <v>0</v>
      </c>
      <c r="L64" s="10" t="b">
        <v>0</v>
      </c>
      <c r="M64" s="10" t="b">
        <v>0</v>
      </c>
      <c r="N64" s="10" t="b">
        <v>0</v>
      </c>
      <c r="O64" s="10" t="b">
        <v>0</v>
      </c>
      <c r="P64" s="10" t="b">
        <v>0</v>
      </c>
      <c r="Q64" s="157">
        <f>TODAY()</f>
        <v>46175</v>
      </c>
      <c r="R64" s="6" t="s">
        <v>357</v>
      </c>
      <c r="S64" s="6" t="s">
        <v>358</v>
      </c>
      <c r="T64" s="57" t="b">
        <v>0</v>
      </c>
      <c r="U64" s="9" t="s">
        <v>1710</v>
      </c>
      <c r="V64" s="70" t="b">
        <v>0</v>
      </c>
      <c r="W64" s="6" t="s">
        <v>382</v>
      </c>
      <c r="X64" s="6" t="s">
        <v>358</v>
      </c>
      <c r="Y64" s="9" t="s">
        <v>1711</v>
      </c>
      <c r="Z64" s="4"/>
      <c r="AA64" s="4"/>
      <c r="AB64" s="4"/>
      <c r="AC64" s="4"/>
      <c r="AD64" s="4"/>
      <c r="AE64" s="4"/>
      <c r="AF64" s="4"/>
    </row>
    <row r="65">
      <c r="A65" s="30" t="s">
        <v>146</v>
      </c>
      <c r="B65" s="155" t="s">
        <v>1507</v>
      </c>
      <c r="C65" s="9" t="s">
        <v>1712</v>
      </c>
      <c r="D65" s="13">
        <v>8.778531041E9</v>
      </c>
      <c r="E65" s="8" t="s">
        <v>38</v>
      </c>
      <c r="F65" s="9" t="s">
        <v>465</v>
      </c>
      <c r="G65" s="57" t="b">
        <v>1</v>
      </c>
      <c r="H65" s="67" t="b">
        <v>1</v>
      </c>
      <c r="I65" s="67" t="b">
        <v>1</v>
      </c>
      <c r="J65" s="67" t="b">
        <v>1</v>
      </c>
      <c r="K65" s="67" t="b">
        <v>1</v>
      </c>
      <c r="L65" s="54" t="b">
        <v>1</v>
      </c>
      <c r="M65" s="10" t="b">
        <v>0</v>
      </c>
      <c r="N65" s="10" t="b">
        <v>0</v>
      </c>
      <c r="O65" s="10" t="b">
        <v>0</v>
      </c>
      <c r="P65" s="10" t="b">
        <v>0</v>
      </c>
      <c r="Q65" s="157">
        <v>46106.0</v>
      </c>
      <c r="R65" s="6" t="s">
        <v>357</v>
      </c>
      <c r="S65" s="6" t="s">
        <v>358</v>
      </c>
      <c r="T65" s="54" t="b">
        <v>1</v>
      </c>
      <c r="U65" s="9" t="s">
        <v>1713</v>
      </c>
      <c r="V65" s="70" t="b">
        <v>0</v>
      </c>
      <c r="W65" s="6" t="s">
        <v>382</v>
      </c>
      <c r="X65" s="6" t="s">
        <v>358</v>
      </c>
      <c r="Y65" s="9" t="s">
        <v>1714</v>
      </c>
      <c r="Z65" s="4"/>
      <c r="AA65" s="4"/>
      <c r="AB65" s="4"/>
      <c r="AC65" s="4"/>
      <c r="AD65" s="4"/>
      <c r="AE65" s="4"/>
      <c r="AF65" s="4"/>
    </row>
    <row r="66">
      <c r="A66" s="30" t="s">
        <v>146</v>
      </c>
      <c r="B66" s="155" t="s">
        <v>1507</v>
      </c>
      <c r="C66" s="9" t="s">
        <v>1715</v>
      </c>
      <c r="D66" s="13">
        <v>8.015388431E9</v>
      </c>
      <c r="E66" s="8" t="s">
        <v>45</v>
      </c>
      <c r="F66" s="9" t="s">
        <v>1716</v>
      </c>
      <c r="G66" s="57" t="b">
        <v>1</v>
      </c>
      <c r="H66" s="57" t="b">
        <v>1</v>
      </c>
      <c r="I66" s="67" t="b">
        <v>1</v>
      </c>
      <c r="J66" s="67" t="b">
        <v>1</v>
      </c>
      <c r="K66" s="67" t="b">
        <v>1</v>
      </c>
      <c r="L66" s="67" t="b">
        <v>1</v>
      </c>
      <c r="M66" s="67" t="b">
        <v>1</v>
      </c>
      <c r="N66" s="54" t="b">
        <v>1</v>
      </c>
      <c r="O66" s="10" t="b">
        <v>0</v>
      </c>
      <c r="P66" s="10" t="b">
        <v>0</v>
      </c>
      <c r="Q66" s="157">
        <v>46108.0</v>
      </c>
      <c r="R66" s="6" t="s">
        <v>357</v>
      </c>
      <c r="S66" s="6" t="s">
        <v>358</v>
      </c>
      <c r="T66" s="54" t="b">
        <v>1</v>
      </c>
      <c r="U66" s="9" t="s">
        <v>1717</v>
      </c>
      <c r="V66" s="70" t="b">
        <v>1</v>
      </c>
      <c r="W66" s="6" t="s">
        <v>382</v>
      </c>
      <c r="X66" s="6" t="s">
        <v>358</v>
      </c>
      <c r="Y66" s="9" t="s">
        <v>1718</v>
      </c>
      <c r="Z66" s="4"/>
      <c r="AA66" s="4"/>
      <c r="AB66" s="4"/>
      <c r="AC66" s="4"/>
      <c r="AD66" s="4"/>
      <c r="AE66" s="4"/>
      <c r="AF66" s="4"/>
    </row>
    <row r="67">
      <c r="A67" s="30" t="s">
        <v>146</v>
      </c>
      <c r="B67" s="155" t="s">
        <v>1507</v>
      </c>
      <c r="C67" s="9" t="s">
        <v>1719</v>
      </c>
      <c r="D67" s="13">
        <v>7.871365147E9</v>
      </c>
      <c r="E67" s="8" t="s">
        <v>69</v>
      </c>
      <c r="F67" s="9" t="s">
        <v>1720</v>
      </c>
      <c r="G67" s="57" t="b">
        <v>1</v>
      </c>
      <c r="H67" s="57" t="b">
        <v>1</v>
      </c>
      <c r="I67" s="67" t="b">
        <v>1</v>
      </c>
      <c r="J67" s="67" t="b">
        <v>1</v>
      </c>
      <c r="K67" s="67" t="b">
        <v>1</v>
      </c>
      <c r="L67" s="67" t="b">
        <v>1</v>
      </c>
      <c r="M67" s="54" t="b">
        <v>1</v>
      </c>
      <c r="N67" s="10" t="b">
        <v>0</v>
      </c>
      <c r="O67" s="10" t="b">
        <v>0</v>
      </c>
      <c r="P67" s="10" t="b">
        <v>0</v>
      </c>
      <c r="Q67" s="157">
        <v>46108.0</v>
      </c>
      <c r="R67" s="6" t="s">
        <v>357</v>
      </c>
      <c r="S67" s="6" t="s">
        <v>358</v>
      </c>
      <c r="T67" s="54" t="b">
        <v>1</v>
      </c>
      <c r="U67" s="9" t="s">
        <v>1721</v>
      </c>
      <c r="V67" s="70" t="b">
        <v>1</v>
      </c>
      <c r="W67" s="6" t="s">
        <v>382</v>
      </c>
      <c r="X67" s="6" t="s">
        <v>358</v>
      </c>
      <c r="Y67" s="9" t="s">
        <v>1722</v>
      </c>
      <c r="Z67" s="4"/>
      <c r="AA67" s="4"/>
      <c r="AB67" s="4"/>
      <c r="AC67" s="4"/>
      <c r="AD67" s="4"/>
      <c r="AE67" s="4"/>
      <c r="AF67" s="4"/>
    </row>
    <row r="68">
      <c r="A68" s="30" t="s">
        <v>146</v>
      </c>
      <c r="B68" s="155" t="s">
        <v>1507</v>
      </c>
      <c r="C68" s="9" t="s">
        <v>1723</v>
      </c>
      <c r="D68" s="13">
        <v>7.736986884E9</v>
      </c>
      <c r="E68" s="8" t="s">
        <v>38</v>
      </c>
      <c r="F68" s="9"/>
      <c r="G68" s="57" t="b">
        <v>1</v>
      </c>
      <c r="H68" s="57" t="b">
        <v>1</v>
      </c>
      <c r="I68" s="54" t="b">
        <v>1</v>
      </c>
      <c r="J68" s="10" t="b">
        <v>0</v>
      </c>
      <c r="K68" s="10" t="b">
        <v>0</v>
      </c>
      <c r="L68" s="10" t="b">
        <v>0</v>
      </c>
      <c r="M68" s="10" t="b">
        <v>0</v>
      </c>
      <c r="N68" s="10" t="b">
        <v>0</v>
      </c>
      <c r="O68" s="10" t="b">
        <v>0</v>
      </c>
      <c r="P68" s="10" t="b">
        <v>0</v>
      </c>
      <c r="Q68" s="157">
        <v>46101.0</v>
      </c>
      <c r="R68" s="6" t="s">
        <v>357</v>
      </c>
      <c r="S68" s="6" t="s">
        <v>358</v>
      </c>
      <c r="T68" s="54" t="b">
        <v>1</v>
      </c>
      <c r="U68" s="9" t="s">
        <v>1724</v>
      </c>
      <c r="V68" s="70" t="b">
        <v>0</v>
      </c>
      <c r="W68" s="6" t="s">
        <v>357</v>
      </c>
      <c r="X68" s="6" t="s">
        <v>358</v>
      </c>
      <c r="Y68" s="9" t="s">
        <v>1725</v>
      </c>
      <c r="Z68" s="4"/>
      <c r="AA68" s="4"/>
      <c r="AB68" s="4"/>
      <c r="AC68" s="4"/>
      <c r="AD68" s="4"/>
      <c r="AE68" s="4"/>
      <c r="AF68" s="4"/>
    </row>
    <row r="69">
      <c r="A69" s="30" t="s">
        <v>146</v>
      </c>
      <c r="B69" s="155" t="s">
        <v>1507</v>
      </c>
      <c r="C69" s="9" t="s">
        <v>1726</v>
      </c>
      <c r="D69" s="13">
        <v>7.826831801E9</v>
      </c>
      <c r="E69" s="8" t="s">
        <v>38</v>
      </c>
      <c r="F69" s="9"/>
      <c r="G69" s="57" t="b">
        <v>1</v>
      </c>
      <c r="H69" s="57" t="b">
        <v>1</v>
      </c>
      <c r="I69" s="54" t="b">
        <v>1</v>
      </c>
      <c r="J69" s="10" t="b">
        <v>0</v>
      </c>
      <c r="K69" s="10" t="b">
        <v>0</v>
      </c>
      <c r="L69" s="10" t="b">
        <v>0</v>
      </c>
      <c r="M69" s="10" t="b">
        <v>0</v>
      </c>
      <c r="N69" s="10" t="b">
        <v>0</v>
      </c>
      <c r="O69" s="10" t="b">
        <v>0</v>
      </c>
      <c r="P69" s="10" t="b">
        <v>0</v>
      </c>
      <c r="Q69" s="157">
        <f>TODAY()</f>
        <v>46175</v>
      </c>
      <c r="R69" s="6" t="s">
        <v>357</v>
      </c>
      <c r="S69" s="6" t="s">
        <v>358</v>
      </c>
      <c r="T69" s="57" t="b">
        <v>0</v>
      </c>
      <c r="U69" s="9" t="s">
        <v>1727</v>
      </c>
      <c r="V69" s="70" t="b">
        <v>0</v>
      </c>
      <c r="W69" s="6" t="s">
        <v>382</v>
      </c>
      <c r="X69" s="6" t="s">
        <v>358</v>
      </c>
      <c r="Y69" s="9" t="s">
        <v>1728</v>
      </c>
      <c r="Z69" s="4"/>
      <c r="AA69" s="4"/>
      <c r="AB69" s="4"/>
      <c r="AC69" s="4"/>
      <c r="AD69" s="4"/>
      <c r="AE69" s="4"/>
      <c r="AF69" s="4"/>
    </row>
    <row r="70">
      <c r="A70" s="30" t="s">
        <v>146</v>
      </c>
      <c r="B70" s="155" t="s">
        <v>1507</v>
      </c>
      <c r="C70" s="9" t="s">
        <v>1729</v>
      </c>
      <c r="D70" s="13">
        <v>7.845573861E9</v>
      </c>
      <c r="E70" s="8" t="s">
        <v>180</v>
      </c>
      <c r="F70" s="9"/>
      <c r="G70" s="57" t="b">
        <v>1</v>
      </c>
      <c r="H70" s="57" t="b">
        <v>1</v>
      </c>
      <c r="I70" s="57" t="b">
        <v>1</v>
      </c>
      <c r="J70" s="57" t="b">
        <v>1</v>
      </c>
      <c r="K70" s="10" t="b">
        <v>0</v>
      </c>
      <c r="L70" s="10" t="b">
        <v>0</v>
      </c>
      <c r="M70" s="10" t="b">
        <v>0</v>
      </c>
      <c r="N70" s="10" t="b">
        <v>0</v>
      </c>
      <c r="O70" s="10" t="b">
        <v>0</v>
      </c>
      <c r="P70" s="10" t="b">
        <v>0</v>
      </c>
      <c r="Q70" s="157">
        <v>46107.0</v>
      </c>
      <c r="R70" s="6" t="s">
        <v>357</v>
      </c>
      <c r="S70" s="6" t="s">
        <v>358</v>
      </c>
      <c r="T70" s="54" t="b">
        <v>1</v>
      </c>
      <c r="U70" s="9" t="s">
        <v>1730</v>
      </c>
      <c r="V70" s="70" t="b">
        <v>0</v>
      </c>
      <c r="W70" s="6" t="s">
        <v>382</v>
      </c>
      <c r="X70" s="6" t="s">
        <v>358</v>
      </c>
      <c r="Y70" s="9" t="s">
        <v>1731</v>
      </c>
      <c r="Z70" s="4"/>
      <c r="AA70" s="4"/>
      <c r="AB70" s="4"/>
      <c r="AC70" s="4"/>
      <c r="AD70" s="4"/>
      <c r="AE70" s="4"/>
      <c r="AF70" s="4"/>
    </row>
    <row r="71">
      <c r="A71" s="30" t="s">
        <v>146</v>
      </c>
      <c r="B71" s="155" t="s">
        <v>1507</v>
      </c>
      <c r="C71" s="9" t="s">
        <v>1732</v>
      </c>
      <c r="D71" s="13">
        <v>9.344634484E9</v>
      </c>
      <c r="E71" s="8" t="s">
        <v>38</v>
      </c>
      <c r="F71" s="9"/>
      <c r="G71" s="57" t="b">
        <v>1</v>
      </c>
      <c r="H71" s="57" t="b">
        <v>1</v>
      </c>
      <c r="I71" s="54" t="b">
        <v>1</v>
      </c>
      <c r="J71" s="10" t="b">
        <v>0</v>
      </c>
      <c r="K71" s="10" t="b">
        <v>0</v>
      </c>
      <c r="L71" s="10" t="b">
        <v>0</v>
      </c>
      <c r="M71" s="10" t="b">
        <v>0</v>
      </c>
      <c r="N71" s="10" t="b">
        <v>0</v>
      </c>
      <c r="O71" s="10" t="b">
        <v>0</v>
      </c>
      <c r="P71" s="10" t="b">
        <v>0</v>
      </c>
      <c r="Q71" s="157">
        <f>TODAY()</f>
        <v>46175</v>
      </c>
      <c r="R71" s="6" t="s">
        <v>357</v>
      </c>
      <c r="S71" s="6" t="s">
        <v>358</v>
      </c>
      <c r="T71" s="57" t="b">
        <v>0</v>
      </c>
      <c r="U71" s="9" t="s">
        <v>1733</v>
      </c>
      <c r="V71" s="70" t="b">
        <v>0</v>
      </c>
      <c r="W71" s="6" t="s">
        <v>382</v>
      </c>
      <c r="X71" s="6" t="s">
        <v>358</v>
      </c>
      <c r="Y71" s="9" t="s">
        <v>1731</v>
      </c>
      <c r="Z71" s="4"/>
      <c r="AA71" s="4"/>
      <c r="AB71" s="4"/>
      <c r="AC71" s="4"/>
      <c r="AD71" s="4"/>
      <c r="AE71" s="4"/>
      <c r="AF71" s="4"/>
    </row>
    <row r="72">
      <c r="A72" s="30" t="s">
        <v>146</v>
      </c>
      <c r="B72" s="155" t="s">
        <v>1507</v>
      </c>
      <c r="C72" s="9" t="s">
        <v>1734</v>
      </c>
      <c r="D72" s="13">
        <v>9.952749877E9</v>
      </c>
      <c r="E72" s="8" t="s">
        <v>185</v>
      </c>
      <c r="F72" s="9" t="s">
        <v>1149</v>
      </c>
      <c r="G72" s="57" t="b">
        <v>1</v>
      </c>
      <c r="H72" s="67" t="b">
        <v>1</v>
      </c>
      <c r="I72" s="71" t="b">
        <v>1</v>
      </c>
      <c r="J72" s="71" t="b">
        <v>1</v>
      </c>
      <c r="K72" s="54" t="b">
        <v>1</v>
      </c>
      <c r="L72" s="10" t="b">
        <v>0</v>
      </c>
      <c r="M72" s="10" t="b">
        <v>0</v>
      </c>
      <c r="N72" s="10" t="b">
        <v>0</v>
      </c>
      <c r="O72" s="10" t="b">
        <v>0</v>
      </c>
      <c r="P72" s="10" t="b">
        <v>0</v>
      </c>
      <c r="Q72" s="159">
        <v>46108.0</v>
      </c>
      <c r="R72" s="6" t="s">
        <v>357</v>
      </c>
      <c r="S72" s="6" t="s">
        <v>358</v>
      </c>
      <c r="T72" s="54" t="b">
        <v>1</v>
      </c>
      <c r="U72" s="9" t="s">
        <v>1735</v>
      </c>
      <c r="V72" s="70" t="b">
        <v>0</v>
      </c>
      <c r="W72" s="6" t="s">
        <v>684</v>
      </c>
      <c r="X72" s="6" t="s">
        <v>358</v>
      </c>
      <c r="Y72" s="9" t="s">
        <v>1736</v>
      </c>
      <c r="Z72" s="4"/>
      <c r="AA72" s="4"/>
      <c r="AB72" s="4"/>
      <c r="AC72" s="4"/>
      <c r="AD72" s="4"/>
      <c r="AE72" s="4"/>
      <c r="AF72" s="4"/>
    </row>
    <row r="73">
      <c r="A73" s="30" t="s">
        <v>146</v>
      </c>
      <c r="B73" s="155" t="s">
        <v>1507</v>
      </c>
      <c r="C73" s="9" t="s">
        <v>1737</v>
      </c>
      <c r="D73" s="13">
        <v>8.610359098E9</v>
      </c>
      <c r="E73" s="8" t="s">
        <v>185</v>
      </c>
      <c r="F73" s="9"/>
      <c r="G73" s="57" t="b">
        <v>1</v>
      </c>
      <c r="H73" s="57" t="b">
        <v>1</v>
      </c>
      <c r="I73" s="57" t="b">
        <v>1</v>
      </c>
      <c r="J73" s="57" t="b">
        <v>1</v>
      </c>
      <c r="K73" s="54" t="b">
        <v>1</v>
      </c>
      <c r="L73" s="10" t="b">
        <v>0</v>
      </c>
      <c r="M73" s="10" t="b">
        <v>0</v>
      </c>
      <c r="N73" s="10" t="b">
        <v>0</v>
      </c>
      <c r="O73" s="10" t="b">
        <v>0</v>
      </c>
      <c r="P73" s="10" t="b">
        <v>0</v>
      </c>
      <c r="Q73" s="159">
        <v>46108.0</v>
      </c>
      <c r="R73" s="6" t="s">
        <v>357</v>
      </c>
      <c r="S73" s="6" t="s">
        <v>358</v>
      </c>
      <c r="T73" s="54" t="b">
        <v>1</v>
      </c>
      <c r="U73" s="9" t="s">
        <v>1738</v>
      </c>
      <c r="V73" s="70" t="b">
        <v>0</v>
      </c>
      <c r="W73" s="6" t="s">
        <v>382</v>
      </c>
      <c r="X73" s="6" t="s">
        <v>358</v>
      </c>
      <c r="Y73" s="9" t="s">
        <v>1739</v>
      </c>
      <c r="Z73" s="4"/>
      <c r="AA73" s="4"/>
      <c r="AB73" s="4"/>
      <c r="AC73" s="4"/>
      <c r="AD73" s="4"/>
      <c r="AE73" s="4"/>
      <c r="AF73" s="4"/>
    </row>
    <row r="74">
      <c r="A74" s="30" t="s">
        <v>146</v>
      </c>
      <c r="B74" s="155" t="s">
        <v>1507</v>
      </c>
      <c r="C74" s="158" t="s">
        <v>1740</v>
      </c>
      <c r="D74" s="13">
        <v>9.443703639E9</v>
      </c>
      <c r="E74" s="8" t="s">
        <v>45</v>
      </c>
      <c r="F74" s="9"/>
      <c r="G74" s="57" t="b">
        <v>1</v>
      </c>
      <c r="H74" s="67" t="b">
        <v>1</v>
      </c>
      <c r="I74" s="67" t="b">
        <v>1</v>
      </c>
      <c r="J74" s="54" t="b">
        <v>1</v>
      </c>
      <c r="K74" s="10" t="b">
        <v>0</v>
      </c>
      <c r="L74" s="10" t="b">
        <v>0</v>
      </c>
      <c r="M74" s="10" t="b">
        <v>0</v>
      </c>
      <c r="N74" s="10" t="b">
        <v>0</v>
      </c>
      <c r="O74" s="10" t="b">
        <v>0</v>
      </c>
      <c r="P74" s="10" t="b">
        <v>0</v>
      </c>
      <c r="Q74" s="157">
        <v>46119.0</v>
      </c>
      <c r="R74" s="6" t="s">
        <v>357</v>
      </c>
      <c r="S74" s="6" t="s">
        <v>358</v>
      </c>
      <c r="T74" s="57" t="b">
        <v>0</v>
      </c>
      <c r="U74" s="9" t="s">
        <v>1741</v>
      </c>
      <c r="V74" s="70" t="b">
        <v>0</v>
      </c>
      <c r="W74" s="6" t="s">
        <v>382</v>
      </c>
      <c r="X74" s="6" t="s">
        <v>358</v>
      </c>
      <c r="Y74" s="9" t="s">
        <v>1742</v>
      </c>
      <c r="Z74" s="4"/>
      <c r="AA74" s="4"/>
      <c r="AB74" s="4"/>
      <c r="AC74" s="4"/>
      <c r="AD74" s="4"/>
      <c r="AE74" s="4"/>
      <c r="AF74" s="4"/>
    </row>
    <row r="75">
      <c r="A75" s="30" t="s">
        <v>146</v>
      </c>
      <c r="B75" s="155" t="s">
        <v>1507</v>
      </c>
      <c r="C75" s="9" t="s">
        <v>1743</v>
      </c>
      <c r="D75" s="13">
        <v>8.608225684E9</v>
      </c>
      <c r="E75" s="8" t="s">
        <v>45</v>
      </c>
      <c r="F75" s="9" t="s">
        <v>1744</v>
      </c>
      <c r="G75" s="57" t="b">
        <v>1</v>
      </c>
      <c r="H75" s="57" t="b">
        <v>1</v>
      </c>
      <c r="I75" s="67" t="b">
        <v>1</v>
      </c>
      <c r="J75" s="54" t="b">
        <v>1</v>
      </c>
      <c r="K75" s="10" t="b">
        <v>0</v>
      </c>
      <c r="L75" s="10" t="b">
        <v>0</v>
      </c>
      <c r="M75" s="10" t="b">
        <v>0</v>
      </c>
      <c r="N75" s="10" t="b">
        <v>0</v>
      </c>
      <c r="O75" s="10" t="b">
        <v>0</v>
      </c>
      <c r="P75" s="10" t="b">
        <v>0</v>
      </c>
      <c r="Q75" s="159">
        <v>46113.0</v>
      </c>
      <c r="R75" s="6" t="s">
        <v>357</v>
      </c>
      <c r="S75" s="6" t="s">
        <v>358</v>
      </c>
      <c r="T75" s="54" t="b">
        <v>1</v>
      </c>
      <c r="U75" s="9" t="s">
        <v>1745</v>
      </c>
      <c r="V75" s="70" t="b">
        <v>0</v>
      </c>
      <c r="W75" s="6" t="s">
        <v>357</v>
      </c>
      <c r="X75" s="6" t="s">
        <v>358</v>
      </c>
      <c r="Y75" s="9" t="s">
        <v>1746</v>
      </c>
      <c r="Z75" s="4"/>
      <c r="AA75" s="4"/>
      <c r="AB75" s="4"/>
      <c r="AC75" s="4"/>
      <c r="AD75" s="4"/>
      <c r="AE75" s="4"/>
      <c r="AF75" s="4"/>
    </row>
    <row r="76">
      <c r="A76" s="30" t="s">
        <v>146</v>
      </c>
      <c r="B76" s="155" t="s">
        <v>1507</v>
      </c>
      <c r="C76" s="9" t="s">
        <v>1747</v>
      </c>
      <c r="D76" s="13">
        <v>9.159172572E9</v>
      </c>
      <c r="E76" s="8" t="s">
        <v>69</v>
      </c>
      <c r="F76" s="9"/>
      <c r="G76" s="57" t="b">
        <v>1</v>
      </c>
      <c r="H76" s="54" t="b">
        <v>1</v>
      </c>
      <c r="I76" s="10" t="b">
        <v>0</v>
      </c>
      <c r="J76" s="10" t="b">
        <v>0</v>
      </c>
      <c r="K76" s="10" t="b">
        <v>0</v>
      </c>
      <c r="L76" s="10" t="b">
        <v>0</v>
      </c>
      <c r="M76" s="10" t="b">
        <v>0</v>
      </c>
      <c r="N76" s="10" t="b">
        <v>0</v>
      </c>
      <c r="O76" s="10" t="b">
        <v>0</v>
      </c>
      <c r="P76" s="10" t="b">
        <v>0</v>
      </c>
      <c r="Q76" s="159">
        <v>46113.0</v>
      </c>
      <c r="R76" s="6" t="s">
        <v>357</v>
      </c>
      <c r="S76" s="6" t="s">
        <v>358</v>
      </c>
      <c r="T76" s="57" t="b">
        <v>0</v>
      </c>
      <c r="U76" s="9" t="s">
        <v>1748</v>
      </c>
      <c r="V76" s="70" t="b">
        <v>0</v>
      </c>
      <c r="W76" s="6" t="s">
        <v>684</v>
      </c>
      <c r="X76" s="6" t="s">
        <v>358</v>
      </c>
      <c r="Y76" s="9" t="s">
        <v>1749</v>
      </c>
      <c r="Z76" s="4"/>
      <c r="AA76" s="4"/>
      <c r="AB76" s="4"/>
      <c r="AC76" s="4"/>
      <c r="AD76" s="4"/>
      <c r="AE76" s="4"/>
      <c r="AF76" s="4"/>
    </row>
    <row r="77">
      <c r="A77" s="30" t="s">
        <v>146</v>
      </c>
      <c r="B77" s="155" t="s">
        <v>1507</v>
      </c>
      <c r="C77" s="9" t="s">
        <v>1750</v>
      </c>
      <c r="D77" s="13">
        <v>8.056671493E9</v>
      </c>
      <c r="E77" s="8" t="s">
        <v>69</v>
      </c>
      <c r="F77" s="9"/>
      <c r="G77" s="57" t="b">
        <v>1</v>
      </c>
      <c r="H77" s="57" t="b">
        <v>1</v>
      </c>
      <c r="I77" s="54" t="b">
        <v>1</v>
      </c>
      <c r="J77" s="10" t="b">
        <v>0</v>
      </c>
      <c r="K77" s="10" t="b">
        <v>0</v>
      </c>
      <c r="L77" s="10" t="b">
        <v>0</v>
      </c>
      <c r="M77" s="10" t="b">
        <v>0</v>
      </c>
      <c r="N77" s="10" t="b">
        <v>0</v>
      </c>
      <c r="O77" s="10" t="b">
        <v>0</v>
      </c>
      <c r="P77" s="10" t="b">
        <v>0</v>
      </c>
      <c r="Q77" s="157">
        <v>46119.0</v>
      </c>
      <c r="R77" s="6" t="s">
        <v>357</v>
      </c>
      <c r="S77" s="6" t="s">
        <v>358</v>
      </c>
      <c r="T77" s="57" t="b">
        <v>0</v>
      </c>
      <c r="U77" s="9" t="s">
        <v>1751</v>
      </c>
      <c r="V77" s="70" t="b">
        <v>0</v>
      </c>
      <c r="W77" s="6" t="s">
        <v>382</v>
      </c>
      <c r="X77" s="6" t="s">
        <v>358</v>
      </c>
      <c r="Y77" s="9" t="s">
        <v>1752</v>
      </c>
      <c r="Z77" s="4"/>
      <c r="AA77" s="4"/>
      <c r="AB77" s="4"/>
      <c r="AC77" s="4"/>
      <c r="AD77" s="4"/>
      <c r="AE77" s="4"/>
      <c r="AF77" s="4"/>
    </row>
    <row r="78">
      <c r="A78" s="30" t="s">
        <v>146</v>
      </c>
      <c r="B78" s="155" t="s">
        <v>1507</v>
      </c>
      <c r="C78" s="9" t="s">
        <v>1753</v>
      </c>
      <c r="D78" s="13">
        <v>7.845016102E9</v>
      </c>
      <c r="E78" s="8" t="s">
        <v>45</v>
      </c>
      <c r="F78" s="9" t="s">
        <v>1754</v>
      </c>
      <c r="G78" s="57" t="b">
        <v>1</v>
      </c>
      <c r="H78" s="57" t="b">
        <v>1</v>
      </c>
      <c r="I78" s="67" t="b">
        <v>1</v>
      </c>
      <c r="J78" s="71" t="b">
        <v>1</v>
      </c>
      <c r="K78" s="71" t="b">
        <v>1</v>
      </c>
      <c r="L78" s="71" t="b">
        <v>1</v>
      </c>
      <c r="M78" s="54" t="b">
        <v>1</v>
      </c>
      <c r="N78" s="10" t="b">
        <v>0</v>
      </c>
      <c r="O78" s="10" t="b">
        <v>0</v>
      </c>
      <c r="P78" s="10" t="b">
        <v>0</v>
      </c>
      <c r="Q78" s="157">
        <v>46113.0</v>
      </c>
      <c r="R78" s="6" t="s">
        <v>357</v>
      </c>
      <c r="S78" s="6" t="s">
        <v>358</v>
      </c>
      <c r="T78" s="54" t="b">
        <v>1</v>
      </c>
      <c r="U78" s="9" t="s">
        <v>1755</v>
      </c>
      <c r="V78" s="70" t="b">
        <v>0</v>
      </c>
      <c r="W78" s="6" t="s">
        <v>382</v>
      </c>
      <c r="X78" s="6" t="s">
        <v>358</v>
      </c>
      <c r="Y78" s="9" t="s">
        <v>1756</v>
      </c>
      <c r="Z78" s="4"/>
      <c r="AA78" s="4"/>
      <c r="AB78" s="4"/>
      <c r="AC78" s="4"/>
      <c r="AD78" s="4"/>
      <c r="AE78" s="4"/>
      <c r="AF78" s="4"/>
    </row>
    <row r="79">
      <c r="A79" s="30" t="s">
        <v>146</v>
      </c>
      <c r="B79" s="155" t="s">
        <v>1757</v>
      </c>
      <c r="C79" s="9" t="s">
        <v>1758</v>
      </c>
      <c r="D79" s="13">
        <v>8.754647816E9</v>
      </c>
      <c r="E79" s="8" t="s">
        <v>69</v>
      </c>
      <c r="F79" s="9"/>
      <c r="G79" s="57" t="b">
        <v>1</v>
      </c>
      <c r="H79" s="57" t="b">
        <v>1</v>
      </c>
      <c r="I79" s="67" t="b">
        <v>1</v>
      </c>
      <c r="J79" s="67" t="b">
        <v>1</v>
      </c>
      <c r="K79" s="10" t="b">
        <v>0</v>
      </c>
      <c r="L79" s="10" t="b">
        <v>0</v>
      </c>
      <c r="M79" s="10" t="b">
        <v>0</v>
      </c>
      <c r="N79" s="10" t="b">
        <v>0</v>
      </c>
      <c r="O79" s="10" t="b">
        <v>0</v>
      </c>
      <c r="P79" s="10" t="b">
        <v>0</v>
      </c>
      <c r="Q79" s="157">
        <v>46119.0</v>
      </c>
      <c r="R79" s="6" t="s">
        <v>1124</v>
      </c>
      <c r="S79" s="6" t="s">
        <v>429</v>
      </c>
      <c r="T79" s="57" t="b">
        <v>1</v>
      </c>
      <c r="U79" s="9" t="s">
        <v>1759</v>
      </c>
      <c r="V79" s="70" t="b">
        <v>0</v>
      </c>
      <c r="W79" s="6" t="s">
        <v>834</v>
      </c>
      <c r="X79" s="6" t="s">
        <v>429</v>
      </c>
      <c r="Y79" s="9" t="s">
        <v>1760</v>
      </c>
      <c r="Z79" s="4"/>
      <c r="AA79" s="4"/>
      <c r="AB79" s="4"/>
      <c r="AC79" s="4"/>
      <c r="AD79" s="4"/>
      <c r="AE79" s="4"/>
      <c r="AF79" s="4"/>
    </row>
    <row r="80">
      <c r="A80" s="30" t="s">
        <v>146</v>
      </c>
      <c r="B80" s="155" t="s">
        <v>1761</v>
      </c>
      <c r="C80" s="9" t="s">
        <v>600</v>
      </c>
      <c r="D80" s="13">
        <v>9.626727712E9</v>
      </c>
      <c r="E80" s="8" t="s">
        <v>45</v>
      </c>
      <c r="F80" s="9"/>
      <c r="G80" s="57" t="b">
        <v>1</v>
      </c>
      <c r="H80" s="67" t="b">
        <v>1</v>
      </c>
      <c r="I80" s="67" t="b">
        <v>1</v>
      </c>
      <c r="J80" s="67" t="b">
        <v>1</v>
      </c>
      <c r="K80" s="67" t="b">
        <v>1</v>
      </c>
      <c r="L80" s="54" t="b">
        <v>1</v>
      </c>
      <c r="M80" s="10" t="b">
        <v>0</v>
      </c>
      <c r="N80" s="10" t="b">
        <v>0</v>
      </c>
      <c r="O80" s="10" t="b">
        <v>0</v>
      </c>
      <c r="P80" s="10" t="b">
        <v>0</v>
      </c>
      <c r="Q80" s="157">
        <v>46136.0</v>
      </c>
      <c r="R80" s="6" t="s">
        <v>357</v>
      </c>
      <c r="S80" s="6" t="s">
        <v>358</v>
      </c>
      <c r="T80" s="54" t="b">
        <v>1</v>
      </c>
      <c r="U80" s="9" t="s">
        <v>1762</v>
      </c>
      <c r="V80" s="70" t="b">
        <v>0</v>
      </c>
      <c r="W80" s="6" t="s">
        <v>382</v>
      </c>
      <c r="X80" s="6" t="s">
        <v>358</v>
      </c>
      <c r="Y80" s="9" t="s">
        <v>1763</v>
      </c>
      <c r="Z80" s="4"/>
      <c r="AA80" s="4"/>
      <c r="AB80" s="4"/>
      <c r="AC80" s="4"/>
      <c r="AD80" s="4"/>
      <c r="AE80" s="4"/>
      <c r="AF80" s="4"/>
    </row>
    <row r="81">
      <c r="A81" s="30" t="s">
        <v>146</v>
      </c>
      <c r="B81" s="155" t="s">
        <v>1757</v>
      </c>
      <c r="C81" s="9" t="s">
        <v>1764</v>
      </c>
      <c r="D81" s="13">
        <v>7.339516168E9</v>
      </c>
      <c r="E81" s="8" t="s">
        <v>69</v>
      </c>
      <c r="F81" s="9" t="s">
        <v>1765</v>
      </c>
      <c r="G81" s="57" t="b">
        <v>1</v>
      </c>
      <c r="H81" s="57" t="b">
        <v>1</v>
      </c>
      <c r="I81" s="67" t="b">
        <v>1</v>
      </c>
      <c r="J81" s="71" t="b">
        <v>1</v>
      </c>
      <c r="K81" s="10" t="b">
        <v>0</v>
      </c>
      <c r="L81" s="10" t="b">
        <v>0</v>
      </c>
      <c r="M81" s="10" t="b">
        <v>0</v>
      </c>
      <c r="N81" s="10" t="b">
        <v>0</v>
      </c>
      <c r="O81" s="10" t="b">
        <v>0</v>
      </c>
      <c r="P81" s="10" t="b">
        <v>0</v>
      </c>
      <c r="Q81" s="157">
        <v>46114.0</v>
      </c>
      <c r="R81" s="6" t="s">
        <v>1124</v>
      </c>
      <c r="S81" s="6" t="s">
        <v>429</v>
      </c>
      <c r="T81" s="57" t="b">
        <v>1</v>
      </c>
      <c r="U81" s="9" t="s">
        <v>1766</v>
      </c>
      <c r="V81" s="70" t="b">
        <v>0</v>
      </c>
      <c r="W81" s="6" t="s">
        <v>431</v>
      </c>
      <c r="X81" s="6" t="s">
        <v>432</v>
      </c>
      <c r="Y81" s="9" t="s">
        <v>1767</v>
      </c>
      <c r="Z81" s="4"/>
      <c r="AA81" s="4"/>
      <c r="AB81" s="4"/>
      <c r="AC81" s="4"/>
      <c r="AD81" s="4"/>
      <c r="AE81" s="4"/>
      <c r="AF81" s="4"/>
    </row>
    <row r="82">
      <c r="A82" s="30" t="s">
        <v>146</v>
      </c>
      <c r="B82" s="155" t="s">
        <v>1757</v>
      </c>
      <c r="C82" s="9" t="s">
        <v>1768</v>
      </c>
      <c r="D82" s="13">
        <v>9.342914266E9</v>
      </c>
      <c r="E82" s="8" t="s">
        <v>69</v>
      </c>
      <c r="F82" s="9"/>
      <c r="G82" s="57" t="b">
        <v>1</v>
      </c>
      <c r="H82" s="57" t="b">
        <v>1</v>
      </c>
      <c r="I82" s="57" t="b">
        <v>1</v>
      </c>
      <c r="J82" s="57" t="b">
        <v>1</v>
      </c>
      <c r="K82" s="54" t="b">
        <v>1</v>
      </c>
      <c r="L82" s="10" t="b">
        <v>0</v>
      </c>
      <c r="M82" s="10" t="b">
        <v>0</v>
      </c>
      <c r="N82" s="10" t="b">
        <v>0</v>
      </c>
      <c r="O82" s="10" t="b">
        <v>0</v>
      </c>
      <c r="P82" s="10" t="b">
        <v>0</v>
      </c>
      <c r="Q82" s="157">
        <v>46127.0</v>
      </c>
      <c r="R82" s="6" t="s">
        <v>357</v>
      </c>
      <c r="S82" s="6" t="s">
        <v>358</v>
      </c>
      <c r="T82" s="54" t="b">
        <v>1</v>
      </c>
      <c r="U82" s="9" t="s">
        <v>1769</v>
      </c>
      <c r="V82" s="70" t="b">
        <v>0</v>
      </c>
      <c r="W82" s="6" t="s">
        <v>357</v>
      </c>
      <c r="X82" s="6" t="s">
        <v>358</v>
      </c>
      <c r="Y82" s="9" t="s">
        <v>1770</v>
      </c>
      <c r="Z82" s="4"/>
      <c r="AA82" s="4"/>
      <c r="AB82" s="4"/>
      <c r="AC82" s="4"/>
      <c r="AD82" s="4"/>
      <c r="AE82" s="4"/>
      <c r="AF82" s="4"/>
    </row>
    <row r="83">
      <c r="A83" s="30" t="s">
        <v>146</v>
      </c>
      <c r="B83" s="155" t="s">
        <v>1757</v>
      </c>
      <c r="C83" s="9" t="s">
        <v>1771</v>
      </c>
      <c r="D83" s="13">
        <v>6.38327462E9</v>
      </c>
      <c r="E83" s="8" t="s">
        <v>38</v>
      </c>
      <c r="F83" s="9" t="s">
        <v>1772</v>
      </c>
      <c r="G83" s="57" t="b">
        <v>1</v>
      </c>
      <c r="H83" s="67" t="b">
        <v>1</v>
      </c>
      <c r="I83" s="71" t="b">
        <v>1</v>
      </c>
      <c r="J83" s="71" t="b">
        <v>1</v>
      </c>
      <c r="K83" s="54" t="b">
        <v>1</v>
      </c>
      <c r="L83" s="10" t="b">
        <v>0</v>
      </c>
      <c r="M83" s="10" t="b">
        <v>0</v>
      </c>
      <c r="N83" s="10" t="b">
        <v>0</v>
      </c>
      <c r="O83" s="10" t="b">
        <v>0</v>
      </c>
      <c r="P83" s="10" t="b">
        <v>0</v>
      </c>
      <c r="Q83" s="157">
        <v>46120.0</v>
      </c>
      <c r="R83" s="6" t="s">
        <v>357</v>
      </c>
      <c r="S83" s="6" t="s">
        <v>358</v>
      </c>
      <c r="T83" s="54" t="b">
        <v>1</v>
      </c>
      <c r="U83" s="9" t="s">
        <v>1773</v>
      </c>
      <c r="V83" s="70" t="b">
        <v>0</v>
      </c>
      <c r="W83" s="6" t="s">
        <v>357</v>
      </c>
      <c r="X83" s="6" t="s">
        <v>358</v>
      </c>
      <c r="Y83" s="9" t="s">
        <v>1774</v>
      </c>
      <c r="Z83" s="4"/>
      <c r="AA83" s="4"/>
      <c r="AB83" s="4"/>
      <c r="AC83" s="4"/>
      <c r="AD83" s="4"/>
      <c r="AE83" s="4"/>
      <c r="AF83" s="4"/>
    </row>
    <row r="84">
      <c r="A84" s="30" t="s">
        <v>146</v>
      </c>
      <c r="B84" s="155" t="s">
        <v>1775</v>
      </c>
      <c r="C84" s="9" t="s">
        <v>1776</v>
      </c>
      <c r="D84" s="13">
        <v>7.736961806E9</v>
      </c>
      <c r="E84" s="8" t="s">
        <v>180</v>
      </c>
      <c r="F84" s="9"/>
      <c r="G84" s="57" t="b">
        <v>1</v>
      </c>
      <c r="H84" s="57" t="b">
        <v>1</v>
      </c>
      <c r="I84" s="54" t="b">
        <v>1</v>
      </c>
      <c r="J84" s="10" t="b">
        <v>0</v>
      </c>
      <c r="K84" s="10" t="b">
        <v>0</v>
      </c>
      <c r="L84" s="10" t="b">
        <v>0</v>
      </c>
      <c r="M84" s="10" t="b">
        <v>0</v>
      </c>
      <c r="N84" s="10" t="b">
        <v>0</v>
      </c>
      <c r="O84" s="10" t="b">
        <v>0</v>
      </c>
      <c r="P84" s="10" t="b">
        <v>0</v>
      </c>
      <c r="Q84" s="157">
        <v>46119.0</v>
      </c>
      <c r="R84" s="6" t="s">
        <v>357</v>
      </c>
      <c r="S84" s="6" t="s">
        <v>358</v>
      </c>
      <c r="T84" s="54" t="b">
        <v>1</v>
      </c>
      <c r="U84" s="9" t="s">
        <v>1777</v>
      </c>
      <c r="V84" s="70" t="b">
        <v>0</v>
      </c>
      <c r="W84" s="6" t="s">
        <v>684</v>
      </c>
      <c r="X84" s="6" t="s">
        <v>358</v>
      </c>
      <c r="Y84" s="9" t="s">
        <v>1778</v>
      </c>
      <c r="Z84" s="4"/>
      <c r="AA84" s="4"/>
      <c r="AB84" s="4"/>
      <c r="AC84" s="4"/>
      <c r="AD84" s="4"/>
      <c r="AE84" s="4"/>
      <c r="AF84" s="4"/>
    </row>
    <row r="85">
      <c r="A85" s="30" t="s">
        <v>146</v>
      </c>
      <c r="B85" s="155" t="s">
        <v>1757</v>
      </c>
      <c r="C85" s="9" t="s">
        <v>1779</v>
      </c>
      <c r="D85" s="13">
        <v>6.369602417E9</v>
      </c>
      <c r="E85" s="8" t="s">
        <v>69</v>
      </c>
      <c r="F85" s="9" t="s">
        <v>1780</v>
      </c>
      <c r="G85" s="57" t="b">
        <v>1</v>
      </c>
      <c r="H85" s="67" t="b">
        <v>1</v>
      </c>
      <c r="I85" s="54" t="b">
        <v>1</v>
      </c>
      <c r="J85" s="10" t="b">
        <v>0</v>
      </c>
      <c r="K85" s="10" t="b">
        <v>0</v>
      </c>
      <c r="L85" s="10" t="b">
        <v>0</v>
      </c>
      <c r="M85" s="10" t="b">
        <v>0</v>
      </c>
      <c r="N85" s="10" t="b">
        <v>0</v>
      </c>
      <c r="O85" s="10" t="b">
        <v>0</v>
      </c>
      <c r="P85" s="10" t="b">
        <v>0</v>
      </c>
      <c r="Q85" s="157">
        <v>46119.0</v>
      </c>
      <c r="R85" s="6" t="s">
        <v>357</v>
      </c>
      <c r="S85" s="6" t="s">
        <v>358</v>
      </c>
      <c r="T85" s="54" t="b">
        <v>1</v>
      </c>
      <c r="U85" s="9" t="s">
        <v>1781</v>
      </c>
      <c r="V85" s="70" t="b">
        <v>0</v>
      </c>
      <c r="W85" s="6" t="s">
        <v>661</v>
      </c>
      <c r="X85" s="6" t="s">
        <v>358</v>
      </c>
      <c r="Y85" s="9" t="s">
        <v>1782</v>
      </c>
      <c r="Z85" s="4"/>
      <c r="AA85" s="4"/>
      <c r="AB85" s="4"/>
      <c r="AC85" s="4"/>
      <c r="AD85" s="4"/>
      <c r="AE85" s="4"/>
      <c r="AF85" s="4"/>
    </row>
    <row r="86">
      <c r="A86" s="30" t="s">
        <v>146</v>
      </c>
      <c r="B86" s="155" t="s">
        <v>1757</v>
      </c>
      <c r="C86" s="9" t="s">
        <v>1783</v>
      </c>
      <c r="D86" s="13">
        <v>6.366202057E9</v>
      </c>
      <c r="E86" s="8" t="s">
        <v>45</v>
      </c>
      <c r="F86" s="9"/>
      <c r="G86" s="57" t="b">
        <v>1</v>
      </c>
      <c r="H86" s="57" t="b">
        <v>1</v>
      </c>
      <c r="I86" s="57" t="b">
        <v>1</v>
      </c>
      <c r="J86" s="54" t="b">
        <v>1</v>
      </c>
      <c r="K86" s="10" t="b">
        <v>0</v>
      </c>
      <c r="L86" s="10" t="b">
        <v>0</v>
      </c>
      <c r="M86" s="10" t="b">
        <v>0</v>
      </c>
      <c r="N86" s="10" t="b">
        <v>0</v>
      </c>
      <c r="O86" s="10" t="b">
        <v>0</v>
      </c>
      <c r="P86" s="10" t="b">
        <v>0</v>
      </c>
      <c r="Q86" s="157">
        <v>46119.0</v>
      </c>
      <c r="R86" s="6" t="s">
        <v>357</v>
      </c>
      <c r="S86" s="6" t="s">
        <v>358</v>
      </c>
      <c r="T86" s="54" t="b">
        <v>1</v>
      </c>
      <c r="U86" s="9" t="s">
        <v>1784</v>
      </c>
      <c r="V86" s="70" t="b">
        <v>0</v>
      </c>
      <c r="W86" s="6" t="s">
        <v>684</v>
      </c>
      <c r="X86" s="6" t="s">
        <v>358</v>
      </c>
      <c r="Y86" s="9" t="s">
        <v>1785</v>
      </c>
      <c r="Z86" s="4"/>
      <c r="AA86" s="4"/>
      <c r="AB86" s="4"/>
      <c r="AC86" s="4"/>
      <c r="AD86" s="4"/>
      <c r="AE86" s="4"/>
      <c r="AF86" s="4"/>
    </row>
    <row r="87">
      <c r="A87" s="30" t="s">
        <v>146</v>
      </c>
      <c r="B87" s="155" t="s">
        <v>1757</v>
      </c>
      <c r="C87" s="9" t="s">
        <v>1786</v>
      </c>
      <c r="D87" s="13">
        <v>8.122690093E9</v>
      </c>
      <c r="E87" s="8" t="s">
        <v>1378</v>
      </c>
      <c r="F87" s="161"/>
      <c r="G87" s="57" t="b">
        <v>1</v>
      </c>
      <c r="H87" s="57" t="b">
        <v>1</v>
      </c>
      <c r="I87" s="67" t="b">
        <v>1</v>
      </c>
      <c r="J87" s="54" t="b">
        <v>1</v>
      </c>
      <c r="K87" s="10" t="b">
        <v>0</v>
      </c>
      <c r="L87" s="10" t="b">
        <v>0</v>
      </c>
      <c r="M87" s="10" t="b">
        <v>0</v>
      </c>
      <c r="N87" s="10" t="b">
        <v>0</v>
      </c>
      <c r="O87" s="10" t="b">
        <v>0</v>
      </c>
      <c r="P87" s="10" t="b">
        <v>0</v>
      </c>
      <c r="Q87" s="157">
        <v>46136.0</v>
      </c>
      <c r="R87" s="6" t="s">
        <v>357</v>
      </c>
      <c r="S87" s="6" t="s">
        <v>358</v>
      </c>
      <c r="T87" s="54" t="b">
        <v>1</v>
      </c>
      <c r="U87" s="9" t="s">
        <v>1787</v>
      </c>
      <c r="V87" s="70" t="b">
        <v>0</v>
      </c>
      <c r="W87" s="6" t="s">
        <v>661</v>
      </c>
      <c r="X87" s="6" t="s">
        <v>358</v>
      </c>
      <c r="Z87" s="4"/>
      <c r="AA87" s="4"/>
      <c r="AB87" s="4"/>
      <c r="AC87" s="4"/>
      <c r="AD87" s="4"/>
      <c r="AE87" s="4"/>
      <c r="AF87" s="4"/>
    </row>
    <row r="88">
      <c r="A88" s="30" t="s">
        <v>146</v>
      </c>
      <c r="B88" s="155" t="s">
        <v>1757</v>
      </c>
      <c r="C88" s="9" t="s">
        <v>1788</v>
      </c>
      <c r="D88" s="13">
        <v>9.361526696E9</v>
      </c>
      <c r="E88" s="8" t="s">
        <v>69</v>
      </c>
      <c r="F88" s="9" t="s">
        <v>1754</v>
      </c>
      <c r="G88" s="57" t="b">
        <v>1</v>
      </c>
      <c r="H88" s="54" t="b">
        <v>1</v>
      </c>
      <c r="I88" s="10" t="b">
        <v>0</v>
      </c>
      <c r="J88" s="10" t="b">
        <v>0</v>
      </c>
      <c r="K88" s="10" t="b">
        <v>0</v>
      </c>
      <c r="L88" s="10" t="b">
        <v>0</v>
      </c>
      <c r="M88" s="10" t="b">
        <v>0</v>
      </c>
      <c r="N88" s="10" t="b">
        <v>0</v>
      </c>
      <c r="O88" s="10" t="b">
        <v>0</v>
      </c>
      <c r="P88" s="10" t="b">
        <v>0</v>
      </c>
      <c r="Q88" s="157">
        <v>46113.0</v>
      </c>
      <c r="R88" s="6" t="s">
        <v>357</v>
      </c>
      <c r="S88" s="6" t="s">
        <v>358</v>
      </c>
      <c r="T88" s="54" t="b">
        <v>1</v>
      </c>
      <c r="U88" s="9" t="s">
        <v>1789</v>
      </c>
      <c r="V88" s="70" t="b">
        <v>0</v>
      </c>
      <c r="W88" s="6" t="s">
        <v>684</v>
      </c>
      <c r="X88" s="6" t="s">
        <v>358</v>
      </c>
      <c r="Y88" s="9" t="s">
        <v>1790</v>
      </c>
      <c r="Z88" s="4"/>
      <c r="AA88" s="4"/>
      <c r="AB88" s="4"/>
      <c r="AC88" s="4"/>
      <c r="AD88" s="4"/>
      <c r="AE88" s="4"/>
      <c r="AF88" s="4"/>
    </row>
    <row r="89">
      <c r="A89" s="30" t="s">
        <v>146</v>
      </c>
      <c r="B89" s="155" t="s">
        <v>1757</v>
      </c>
      <c r="C89" s="9" t="s">
        <v>1791</v>
      </c>
      <c r="D89" s="13">
        <v>8.399004818E9</v>
      </c>
      <c r="E89" s="8" t="s">
        <v>1378</v>
      </c>
      <c r="F89" s="9"/>
      <c r="G89" s="57" t="b">
        <v>1</v>
      </c>
      <c r="H89" s="57" t="b">
        <v>1</v>
      </c>
      <c r="I89" s="54" t="b">
        <v>1</v>
      </c>
      <c r="J89" s="10" t="b">
        <v>0</v>
      </c>
      <c r="K89" s="10" t="b">
        <v>0</v>
      </c>
      <c r="L89" s="10" t="b">
        <v>0</v>
      </c>
      <c r="M89" s="10" t="b">
        <v>0</v>
      </c>
      <c r="N89" s="10" t="b">
        <v>0</v>
      </c>
      <c r="O89" s="10" t="b">
        <v>0</v>
      </c>
      <c r="P89" s="10" t="b">
        <v>0</v>
      </c>
      <c r="Q89" s="157">
        <v>46113.0</v>
      </c>
      <c r="R89" s="6" t="s">
        <v>357</v>
      </c>
      <c r="S89" s="6" t="s">
        <v>358</v>
      </c>
      <c r="T89" s="54" t="b">
        <v>1</v>
      </c>
      <c r="U89" s="9" t="s">
        <v>1792</v>
      </c>
      <c r="V89" s="70" t="b">
        <v>0</v>
      </c>
      <c r="W89" s="6" t="s">
        <v>357</v>
      </c>
      <c r="X89" s="6" t="s">
        <v>358</v>
      </c>
      <c r="Y89" s="9" t="s">
        <v>1793</v>
      </c>
      <c r="Z89" s="4"/>
      <c r="AA89" s="4"/>
      <c r="AB89" s="4"/>
      <c r="AC89" s="4"/>
      <c r="AD89" s="4"/>
      <c r="AE89" s="4"/>
      <c r="AF89" s="4"/>
    </row>
    <row r="90">
      <c r="A90" s="30" t="s">
        <v>146</v>
      </c>
      <c r="B90" s="155" t="s">
        <v>1757</v>
      </c>
      <c r="C90" s="9" t="s">
        <v>1794</v>
      </c>
      <c r="D90" s="13">
        <v>9.356482712E9</v>
      </c>
      <c r="E90" s="8" t="s">
        <v>69</v>
      </c>
      <c r="F90" s="9" t="s">
        <v>1795</v>
      </c>
      <c r="G90" s="57" t="b">
        <v>1</v>
      </c>
      <c r="H90" s="57" t="b">
        <v>1</v>
      </c>
      <c r="I90" s="57" t="b">
        <v>1</v>
      </c>
      <c r="J90" s="57" t="b">
        <v>1</v>
      </c>
      <c r="K90" s="67" t="b">
        <v>1</v>
      </c>
      <c r="L90" s="54" t="b">
        <v>1</v>
      </c>
      <c r="M90" s="10" t="b">
        <v>0</v>
      </c>
      <c r="N90" s="10" t="b">
        <v>0</v>
      </c>
      <c r="O90" s="10" t="b">
        <v>0</v>
      </c>
      <c r="P90" s="10" t="b">
        <v>0</v>
      </c>
      <c r="Q90" s="157">
        <v>46132.0</v>
      </c>
      <c r="R90" s="6" t="s">
        <v>357</v>
      </c>
      <c r="S90" s="6" t="s">
        <v>358</v>
      </c>
      <c r="T90" s="54" t="b">
        <v>1</v>
      </c>
      <c r="U90" s="9" t="s">
        <v>1796</v>
      </c>
      <c r="V90" s="70" t="b">
        <v>0</v>
      </c>
      <c r="W90" s="6" t="s">
        <v>684</v>
      </c>
      <c r="X90" s="6" t="s">
        <v>358</v>
      </c>
      <c r="Y90" s="9" t="s">
        <v>1797</v>
      </c>
      <c r="Z90" s="4"/>
      <c r="AA90" s="4"/>
      <c r="AB90" s="4"/>
      <c r="AC90" s="4"/>
      <c r="AD90" s="4"/>
      <c r="AE90" s="4"/>
      <c r="AF90" s="4"/>
    </row>
    <row r="91">
      <c r="A91" s="30" t="s">
        <v>146</v>
      </c>
      <c r="B91" s="155" t="s">
        <v>1757</v>
      </c>
      <c r="C91" s="9" t="s">
        <v>1798</v>
      </c>
      <c r="D91" s="13">
        <v>9.342312817E9</v>
      </c>
      <c r="E91" s="8" t="s">
        <v>69</v>
      </c>
      <c r="F91" s="9"/>
      <c r="G91" s="57" t="b">
        <v>1</v>
      </c>
      <c r="H91" s="57" t="b">
        <v>1</v>
      </c>
      <c r="I91" s="54" t="b">
        <v>1</v>
      </c>
      <c r="J91" s="10" t="b">
        <v>0</v>
      </c>
      <c r="K91" s="10" t="b">
        <v>0</v>
      </c>
      <c r="L91" s="10" t="b">
        <v>0</v>
      </c>
      <c r="M91" s="10" t="b">
        <v>0</v>
      </c>
      <c r="N91" s="10" t="b">
        <v>0</v>
      </c>
      <c r="O91" s="10" t="b">
        <v>0</v>
      </c>
      <c r="P91" s="10" t="b">
        <v>0</v>
      </c>
      <c r="Q91" s="157">
        <v>46119.0</v>
      </c>
      <c r="R91" s="6" t="s">
        <v>357</v>
      </c>
      <c r="S91" s="6" t="s">
        <v>358</v>
      </c>
      <c r="T91" s="54" t="b">
        <v>1</v>
      </c>
      <c r="U91" s="9" t="s">
        <v>1799</v>
      </c>
      <c r="V91" s="70" t="b">
        <v>0</v>
      </c>
      <c r="W91" s="6" t="s">
        <v>357</v>
      </c>
      <c r="X91" s="6" t="s">
        <v>358</v>
      </c>
      <c r="Y91" s="9" t="s">
        <v>1800</v>
      </c>
      <c r="Z91" s="4"/>
      <c r="AA91" s="4"/>
      <c r="AB91" s="4"/>
      <c r="AC91" s="4"/>
      <c r="AD91" s="4"/>
      <c r="AE91" s="4"/>
      <c r="AF91" s="4"/>
    </row>
    <row r="92">
      <c r="A92" s="30" t="s">
        <v>146</v>
      </c>
      <c r="B92" s="155" t="s">
        <v>1757</v>
      </c>
      <c r="C92" s="9" t="s">
        <v>1801</v>
      </c>
      <c r="D92" s="13">
        <v>9.0422652E9</v>
      </c>
      <c r="E92" s="8" t="s">
        <v>69</v>
      </c>
      <c r="F92" s="9" t="s">
        <v>1437</v>
      </c>
      <c r="G92" s="57" t="b">
        <v>1</v>
      </c>
      <c r="H92" s="67" t="b">
        <v>1</v>
      </c>
      <c r="I92" s="71" t="b">
        <v>1</v>
      </c>
      <c r="J92" s="54" t="b">
        <v>1</v>
      </c>
      <c r="K92" s="10" t="b">
        <v>0</v>
      </c>
      <c r="L92" s="10" t="b">
        <v>0</v>
      </c>
      <c r="M92" s="10" t="b">
        <v>0</v>
      </c>
      <c r="N92" s="10" t="b">
        <v>0</v>
      </c>
      <c r="O92" s="10" t="b">
        <v>0</v>
      </c>
      <c r="P92" s="10" t="b">
        <v>0</v>
      </c>
      <c r="Q92" s="157">
        <v>46128.0</v>
      </c>
      <c r="R92" s="6" t="s">
        <v>357</v>
      </c>
      <c r="S92" s="6" t="s">
        <v>358</v>
      </c>
      <c r="T92" s="54" t="b">
        <v>1</v>
      </c>
      <c r="U92" s="9" t="s">
        <v>1802</v>
      </c>
      <c r="V92" s="70" t="b">
        <v>0</v>
      </c>
      <c r="W92" s="6" t="s">
        <v>684</v>
      </c>
      <c r="X92" s="6" t="s">
        <v>358</v>
      </c>
      <c r="Y92" s="9" t="s">
        <v>1803</v>
      </c>
      <c r="Z92" s="4"/>
      <c r="AA92" s="4"/>
      <c r="AB92" s="4"/>
      <c r="AC92" s="4"/>
      <c r="AD92" s="4"/>
      <c r="AE92" s="4"/>
      <c r="AF92" s="4"/>
    </row>
    <row r="93">
      <c r="A93" s="30" t="s">
        <v>146</v>
      </c>
      <c r="B93" s="155" t="s">
        <v>1757</v>
      </c>
      <c r="C93" s="9" t="s">
        <v>1804</v>
      </c>
      <c r="D93" s="13">
        <v>7.2049608E9</v>
      </c>
      <c r="E93" s="8" t="s">
        <v>69</v>
      </c>
      <c r="F93" s="9" t="s">
        <v>1805</v>
      </c>
      <c r="G93" s="57" t="b">
        <v>1</v>
      </c>
      <c r="H93" s="57" t="b">
        <v>1</v>
      </c>
      <c r="I93" s="57" t="b">
        <v>1</v>
      </c>
      <c r="J93" s="54" t="b">
        <v>1</v>
      </c>
      <c r="K93" s="10" t="b">
        <v>0</v>
      </c>
      <c r="L93" s="10" t="b">
        <v>0</v>
      </c>
      <c r="M93" s="10" t="b">
        <v>0</v>
      </c>
      <c r="N93" s="10" t="b">
        <v>0</v>
      </c>
      <c r="O93" s="10" t="b">
        <v>0</v>
      </c>
      <c r="P93" s="10" t="b">
        <v>0</v>
      </c>
      <c r="Q93" s="157">
        <v>46127.0</v>
      </c>
      <c r="R93" s="6" t="s">
        <v>357</v>
      </c>
      <c r="S93" s="6" t="s">
        <v>358</v>
      </c>
      <c r="T93" s="54" t="b">
        <v>1</v>
      </c>
      <c r="U93" s="9" t="s">
        <v>1806</v>
      </c>
      <c r="V93" s="70" t="b">
        <v>0</v>
      </c>
      <c r="W93" s="6" t="s">
        <v>357</v>
      </c>
      <c r="X93" s="6" t="s">
        <v>358</v>
      </c>
      <c r="Y93" s="9" t="s">
        <v>1807</v>
      </c>
      <c r="Z93" s="4"/>
      <c r="AA93" s="4"/>
      <c r="AB93" s="4"/>
      <c r="AC93" s="4"/>
      <c r="AD93" s="4"/>
      <c r="AE93" s="4"/>
      <c r="AF93" s="4"/>
    </row>
    <row r="94">
      <c r="A94" s="30" t="s">
        <v>146</v>
      </c>
      <c r="B94" s="155" t="s">
        <v>1775</v>
      </c>
      <c r="C94" s="9" t="s">
        <v>1808</v>
      </c>
      <c r="D94" s="13">
        <v>7.025818011E9</v>
      </c>
      <c r="E94" s="8" t="s">
        <v>38</v>
      </c>
      <c r="F94" s="9" t="s">
        <v>1809</v>
      </c>
      <c r="G94" s="57" t="b">
        <v>1</v>
      </c>
      <c r="H94" s="57" t="b">
        <v>1</v>
      </c>
      <c r="I94" s="57" t="b">
        <v>1</v>
      </c>
      <c r="J94" s="54" t="b">
        <v>1</v>
      </c>
      <c r="K94" s="10" t="b">
        <v>0</v>
      </c>
      <c r="L94" s="10" t="b">
        <v>0</v>
      </c>
      <c r="M94" s="10" t="b">
        <v>0</v>
      </c>
      <c r="N94" s="10" t="b">
        <v>0</v>
      </c>
      <c r="O94" s="10" t="b">
        <v>0</v>
      </c>
      <c r="P94" s="10" t="b">
        <v>0</v>
      </c>
      <c r="Q94" s="157">
        <v>46127.0</v>
      </c>
      <c r="R94" s="6" t="s">
        <v>357</v>
      </c>
      <c r="S94" s="6" t="s">
        <v>358</v>
      </c>
      <c r="T94" s="54" t="b">
        <v>1</v>
      </c>
      <c r="U94" s="65" t="s">
        <v>1810</v>
      </c>
      <c r="V94" s="70" t="b">
        <v>0</v>
      </c>
      <c r="W94" s="6" t="s">
        <v>382</v>
      </c>
      <c r="X94" s="6" t="s">
        <v>358</v>
      </c>
      <c r="Y94" s="9" t="s">
        <v>1811</v>
      </c>
      <c r="Z94" s="4"/>
      <c r="AA94" s="4"/>
      <c r="AB94" s="4"/>
      <c r="AC94" s="4"/>
      <c r="AD94" s="4"/>
      <c r="AE94" s="4"/>
      <c r="AF94" s="4"/>
    </row>
    <row r="95">
      <c r="A95" s="30" t="s">
        <v>146</v>
      </c>
      <c r="B95" s="155" t="s">
        <v>1757</v>
      </c>
      <c r="C95" s="9" t="s">
        <v>1812</v>
      </c>
      <c r="D95" s="13">
        <v>9.585590948E9</v>
      </c>
      <c r="E95" s="8" t="s">
        <v>69</v>
      </c>
      <c r="F95" s="9" t="s">
        <v>1813</v>
      </c>
      <c r="G95" s="57" t="b">
        <v>1</v>
      </c>
      <c r="H95" s="67" t="b">
        <v>1</v>
      </c>
      <c r="I95" s="54" t="b">
        <v>1</v>
      </c>
      <c r="J95" s="10" t="b">
        <v>0</v>
      </c>
      <c r="K95" s="10" t="b">
        <v>0</v>
      </c>
      <c r="L95" s="10" t="b">
        <v>0</v>
      </c>
      <c r="M95" s="10" t="b">
        <v>0</v>
      </c>
      <c r="N95" s="10" t="b">
        <v>0</v>
      </c>
      <c r="O95" s="10" t="b">
        <v>0</v>
      </c>
      <c r="P95" s="10" t="b">
        <v>0</v>
      </c>
      <c r="Q95" s="157">
        <v>46119.0</v>
      </c>
      <c r="R95" s="6" t="s">
        <v>357</v>
      </c>
      <c r="S95" s="6" t="s">
        <v>358</v>
      </c>
      <c r="T95" s="54" t="b">
        <v>1</v>
      </c>
      <c r="U95" s="9" t="s">
        <v>1814</v>
      </c>
      <c r="V95" s="70" t="b">
        <v>0</v>
      </c>
      <c r="W95" s="6" t="s">
        <v>357</v>
      </c>
      <c r="X95" s="6" t="s">
        <v>358</v>
      </c>
      <c r="Y95" s="9" t="s">
        <v>1815</v>
      </c>
      <c r="Z95" s="4"/>
      <c r="AA95" s="4"/>
      <c r="AB95" s="4"/>
      <c r="AC95" s="4"/>
      <c r="AD95" s="4"/>
      <c r="AE95" s="4"/>
      <c r="AF95" s="4"/>
    </row>
    <row r="96">
      <c r="A96" s="30" t="s">
        <v>146</v>
      </c>
      <c r="B96" s="155" t="s">
        <v>1757</v>
      </c>
      <c r="C96" s="9" t="s">
        <v>1816</v>
      </c>
      <c r="D96" s="13">
        <v>9.182363691E9</v>
      </c>
      <c r="E96" s="8" t="s">
        <v>69</v>
      </c>
      <c r="F96" s="9"/>
      <c r="G96" s="57" t="b">
        <v>1</v>
      </c>
      <c r="H96" s="57" t="b">
        <v>1</v>
      </c>
      <c r="I96" s="67" t="b">
        <v>1</v>
      </c>
      <c r="J96" s="67" t="b">
        <v>1</v>
      </c>
      <c r="K96" s="67" t="b">
        <v>1</v>
      </c>
      <c r="L96" s="54" t="b">
        <v>1</v>
      </c>
      <c r="M96" s="10" t="b">
        <v>0</v>
      </c>
      <c r="N96" s="10" t="b">
        <v>0</v>
      </c>
      <c r="O96" s="10" t="b">
        <v>0</v>
      </c>
      <c r="P96" s="10" t="b">
        <v>0</v>
      </c>
      <c r="Q96" s="157">
        <v>46132.0</v>
      </c>
      <c r="R96" s="6" t="s">
        <v>357</v>
      </c>
      <c r="S96" s="6" t="s">
        <v>358</v>
      </c>
      <c r="T96" s="54" t="b">
        <v>1</v>
      </c>
      <c r="U96" s="9" t="s">
        <v>1817</v>
      </c>
      <c r="V96" s="70" t="b">
        <v>0</v>
      </c>
      <c r="W96" s="6" t="s">
        <v>661</v>
      </c>
      <c r="X96" s="6" t="s">
        <v>358</v>
      </c>
      <c r="Y96" s="9" t="s">
        <v>1818</v>
      </c>
      <c r="Z96" s="4"/>
      <c r="AA96" s="4"/>
      <c r="AB96" s="4"/>
      <c r="AC96" s="4"/>
      <c r="AD96" s="4"/>
      <c r="AE96" s="4"/>
      <c r="AF96" s="4"/>
    </row>
    <row r="97">
      <c r="A97" s="30" t="s">
        <v>146</v>
      </c>
      <c r="B97" s="155" t="s">
        <v>1757</v>
      </c>
      <c r="C97" s="9" t="s">
        <v>1819</v>
      </c>
      <c r="D97" s="13">
        <v>9.361797638E9</v>
      </c>
      <c r="E97" s="8" t="s">
        <v>69</v>
      </c>
      <c r="F97" s="9"/>
      <c r="G97" s="57" t="b">
        <v>1</v>
      </c>
      <c r="H97" s="67" t="b">
        <v>1</v>
      </c>
      <c r="I97" s="54" t="b">
        <v>1</v>
      </c>
      <c r="J97" s="10" t="b">
        <v>0</v>
      </c>
      <c r="K97" s="10" t="b">
        <v>0</v>
      </c>
      <c r="L97" s="10" t="b">
        <v>0</v>
      </c>
      <c r="M97" s="10" t="b">
        <v>0</v>
      </c>
      <c r="N97" s="10" t="b">
        <v>0</v>
      </c>
      <c r="O97" s="10" t="b">
        <v>0</v>
      </c>
      <c r="P97" s="10" t="b">
        <v>0</v>
      </c>
      <c r="Q97" s="157">
        <v>46119.0</v>
      </c>
      <c r="R97" s="6" t="s">
        <v>543</v>
      </c>
      <c r="S97" s="6" t="s">
        <v>358</v>
      </c>
      <c r="T97" s="54" t="b">
        <v>1</v>
      </c>
      <c r="U97" s="9" t="s">
        <v>1820</v>
      </c>
      <c r="V97" s="70" t="b">
        <v>0</v>
      </c>
      <c r="W97" s="6" t="s">
        <v>357</v>
      </c>
      <c r="X97" s="6" t="s">
        <v>358</v>
      </c>
      <c r="Y97" s="9" t="s">
        <v>1821</v>
      </c>
      <c r="Z97" s="4"/>
      <c r="AA97" s="4"/>
      <c r="AB97" s="4"/>
      <c r="AC97" s="4"/>
      <c r="AD97" s="4"/>
      <c r="AE97" s="4"/>
      <c r="AF97" s="4"/>
    </row>
    <row r="98" ht="13.5" customHeight="1">
      <c r="A98" s="30" t="s">
        <v>146</v>
      </c>
      <c r="B98" s="155" t="s">
        <v>1757</v>
      </c>
      <c r="C98" s="9" t="s">
        <v>1822</v>
      </c>
      <c r="D98" s="13">
        <v>9.159489147E9</v>
      </c>
      <c r="E98" s="8" t="s">
        <v>69</v>
      </c>
      <c r="F98" s="9"/>
      <c r="G98" s="57" t="b">
        <v>1</v>
      </c>
      <c r="H98" s="57" t="b">
        <v>1</v>
      </c>
      <c r="I98" s="57" t="b">
        <v>1</v>
      </c>
      <c r="J98" s="57" t="b">
        <v>1</v>
      </c>
      <c r="K98" s="54" t="b">
        <v>1</v>
      </c>
      <c r="L98" s="10" t="b">
        <v>0</v>
      </c>
      <c r="M98" s="10" t="b">
        <v>0</v>
      </c>
      <c r="N98" s="10" t="b">
        <v>0</v>
      </c>
      <c r="O98" s="10" t="b">
        <v>0</v>
      </c>
      <c r="P98" s="10" t="b">
        <v>0</v>
      </c>
      <c r="Q98" s="157">
        <v>46132.0</v>
      </c>
      <c r="R98" s="6" t="s">
        <v>357</v>
      </c>
      <c r="S98" s="6" t="s">
        <v>358</v>
      </c>
      <c r="T98" s="54" t="b">
        <v>1</v>
      </c>
      <c r="U98" s="9" t="s">
        <v>1823</v>
      </c>
      <c r="V98" s="70" t="b">
        <v>0</v>
      </c>
      <c r="W98" s="6" t="s">
        <v>382</v>
      </c>
      <c r="X98" s="6" t="s">
        <v>358</v>
      </c>
      <c r="Y98" s="9" t="s">
        <v>1824</v>
      </c>
      <c r="Z98" s="4"/>
      <c r="AA98" s="4"/>
      <c r="AB98" s="4"/>
      <c r="AC98" s="4"/>
      <c r="AD98" s="4"/>
      <c r="AE98" s="4"/>
      <c r="AF98" s="4"/>
    </row>
    <row r="99">
      <c r="A99" s="30" t="s">
        <v>146</v>
      </c>
      <c r="B99" s="155" t="s">
        <v>1507</v>
      </c>
      <c r="C99" s="9" t="s">
        <v>1825</v>
      </c>
      <c r="D99" s="13">
        <v>9.361071343E9</v>
      </c>
      <c r="E99" s="8" t="s">
        <v>1378</v>
      </c>
      <c r="F99" s="9" t="s">
        <v>1826</v>
      </c>
      <c r="G99" s="57" t="b">
        <v>1</v>
      </c>
      <c r="H99" s="67" t="b">
        <v>1</v>
      </c>
      <c r="I99" s="71" t="b">
        <v>1</v>
      </c>
      <c r="J99" s="95" t="b">
        <v>1</v>
      </c>
      <c r="K99" s="95" t="b">
        <v>1</v>
      </c>
      <c r="L99" s="10" t="b">
        <v>0</v>
      </c>
      <c r="M99" s="10" t="b">
        <v>0</v>
      </c>
      <c r="N99" s="10" t="b">
        <v>0</v>
      </c>
      <c r="O99" s="10" t="b">
        <v>0</v>
      </c>
      <c r="P99" s="10" t="b">
        <v>0</v>
      </c>
      <c r="Q99" s="157">
        <v>46118.0</v>
      </c>
      <c r="R99" s="6" t="s">
        <v>890</v>
      </c>
      <c r="S99" s="6" t="s">
        <v>891</v>
      </c>
      <c r="T99" s="57" t="b">
        <v>1</v>
      </c>
      <c r="U99" s="9" t="s">
        <v>1827</v>
      </c>
      <c r="V99" s="70" t="b">
        <v>0</v>
      </c>
      <c r="W99" s="6" t="s">
        <v>890</v>
      </c>
      <c r="X99" s="6" t="s">
        <v>891</v>
      </c>
      <c r="Y99" s="9" t="s">
        <v>1828</v>
      </c>
      <c r="Z99" s="4"/>
      <c r="AA99" s="4"/>
      <c r="AB99" s="4"/>
      <c r="AC99" s="4"/>
      <c r="AD99" s="4"/>
      <c r="AE99" s="4"/>
      <c r="AF99" s="4"/>
    </row>
    <row r="100">
      <c r="A100" s="30" t="s">
        <v>146</v>
      </c>
      <c r="B100" s="155" t="s">
        <v>1757</v>
      </c>
      <c r="C100" s="9" t="s">
        <v>1829</v>
      </c>
      <c r="D100" s="13">
        <v>9.003719492E9</v>
      </c>
      <c r="E100" s="8" t="s">
        <v>38</v>
      </c>
      <c r="F100" s="9"/>
      <c r="G100" s="57" t="b">
        <v>1</v>
      </c>
      <c r="H100" s="57" t="b">
        <v>1</v>
      </c>
      <c r="I100" s="57" t="b">
        <v>1</v>
      </c>
      <c r="J100" s="57" t="b">
        <v>1</v>
      </c>
      <c r="K100" s="57" t="b">
        <v>1</v>
      </c>
      <c r="L100" s="54" t="b">
        <v>1</v>
      </c>
      <c r="M100" s="10" t="b">
        <v>0</v>
      </c>
      <c r="N100" s="10" t="b">
        <v>0</v>
      </c>
      <c r="O100" s="10" t="b">
        <v>0</v>
      </c>
      <c r="P100" s="10" t="b">
        <v>0</v>
      </c>
      <c r="Q100" s="157">
        <v>46132.0</v>
      </c>
      <c r="R100" s="6" t="s">
        <v>357</v>
      </c>
      <c r="S100" s="6" t="s">
        <v>358</v>
      </c>
      <c r="T100" s="54" t="b">
        <v>1</v>
      </c>
      <c r="U100" s="9" t="s">
        <v>1830</v>
      </c>
      <c r="V100" s="70" t="b">
        <v>0</v>
      </c>
      <c r="W100" s="6" t="s">
        <v>382</v>
      </c>
      <c r="X100" s="6" t="s">
        <v>358</v>
      </c>
      <c r="Y100" s="9" t="s">
        <v>1831</v>
      </c>
      <c r="Z100" s="4"/>
      <c r="AA100" s="4"/>
      <c r="AB100" s="4"/>
      <c r="AC100" s="4"/>
      <c r="AD100" s="4"/>
      <c r="AE100" s="4"/>
      <c r="AF100" s="4"/>
    </row>
    <row r="101">
      <c r="A101" s="30" t="s">
        <v>146</v>
      </c>
      <c r="B101" s="155" t="s">
        <v>1757</v>
      </c>
      <c r="C101" s="9" t="s">
        <v>1832</v>
      </c>
      <c r="D101" s="13">
        <v>8.056911129E9</v>
      </c>
      <c r="E101" s="8" t="s">
        <v>38</v>
      </c>
      <c r="F101" s="9"/>
      <c r="G101" s="57" t="b">
        <v>1</v>
      </c>
      <c r="H101" s="57" t="b">
        <v>1</v>
      </c>
      <c r="I101" s="57" t="b">
        <v>1</v>
      </c>
      <c r="J101" s="54" t="b">
        <v>1</v>
      </c>
      <c r="K101" s="10" t="b">
        <v>0</v>
      </c>
      <c r="L101" s="10" t="b">
        <v>0</v>
      </c>
      <c r="M101" s="10" t="b">
        <v>0</v>
      </c>
      <c r="N101" s="10" t="b">
        <v>0</v>
      </c>
      <c r="O101" s="10" t="b">
        <v>0</v>
      </c>
      <c r="P101" s="10" t="b">
        <v>0</v>
      </c>
      <c r="Q101" s="157">
        <v>46132.0</v>
      </c>
      <c r="R101" s="6" t="s">
        <v>357</v>
      </c>
      <c r="S101" s="6" t="s">
        <v>358</v>
      </c>
      <c r="T101" s="57" t="b">
        <v>0</v>
      </c>
      <c r="U101" s="9" t="s">
        <v>1833</v>
      </c>
      <c r="V101" s="70" t="b">
        <v>0</v>
      </c>
      <c r="W101" s="6" t="s">
        <v>382</v>
      </c>
      <c r="X101" s="6" t="s">
        <v>358</v>
      </c>
      <c r="Y101" s="9" t="s">
        <v>1834</v>
      </c>
      <c r="Z101" s="4"/>
      <c r="AA101" s="4"/>
      <c r="AB101" s="4"/>
      <c r="AC101" s="4"/>
      <c r="AD101" s="4"/>
      <c r="AE101" s="4"/>
      <c r="AF101" s="4"/>
    </row>
    <row r="102">
      <c r="A102" s="30" t="s">
        <v>146</v>
      </c>
      <c r="B102" s="155" t="s">
        <v>1757</v>
      </c>
      <c r="C102" s="9" t="s">
        <v>1835</v>
      </c>
      <c r="D102" s="13">
        <v>7.904480991E9</v>
      </c>
      <c r="E102" s="8" t="s">
        <v>1378</v>
      </c>
      <c r="F102" s="9" t="s">
        <v>1836</v>
      </c>
      <c r="G102" s="57" t="b">
        <v>1</v>
      </c>
      <c r="H102" s="57" t="b">
        <v>1</v>
      </c>
      <c r="I102" s="54" t="b">
        <v>1</v>
      </c>
      <c r="J102" s="10" t="b">
        <v>0</v>
      </c>
      <c r="K102" s="10" t="b">
        <v>0</v>
      </c>
      <c r="L102" s="10" t="b">
        <v>0</v>
      </c>
      <c r="M102" s="10" t="b">
        <v>0</v>
      </c>
      <c r="N102" s="10" t="b">
        <v>0</v>
      </c>
      <c r="O102" s="10" t="b">
        <v>0</v>
      </c>
      <c r="P102" s="10" t="b">
        <v>0</v>
      </c>
      <c r="Q102" s="157">
        <v>46128.0</v>
      </c>
      <c r="R102" s="6" t="s">
        <v>357</v>
      </c>
      <c r="S102" s="6" t="s">
        <v>358</v>
      </c>
      <c r="T102" s="54" t="b">
        <v>1</v>
      </c>
      <c r="U102" s="9" t="s">
        <v>1837</v>
      </c>
      <c r="V102" s="70" t="b">
        <v>0</v>
      </c>
      <c r="W102" s="6" t="s">
        <v>357</v>
      </c>
      <c r="X102" s="6" t="s">
        <v>358</v>
      </c>
      <c r="Y102" s="9" t="s">
        <v>1838</v>
      </c>
      <c r="Z102" s="4"/>
      <c r="AA102" s="4"/>
      <c r="AB102" s="4"/>
      <c r="AC102" s="4"/>
      <c r="AD102" s="4"/>
      <c r="AE102" s="4"/>
      <c r="AF102" s="4"/>
    </row>
    <row r="103">
      <c r="A103" s="30" t="s">
        <v>146</v>
      </c>
      <c r="B103" s="155" t="s">
        <v>1757</v>
      </c>
      <c r="C103" s="9" t="s">
        <v>1839</v>
      </c>
      <c r="D103" s="13">
        <v>8.825996028E9</v>
      </c>
      <c r="E103" s="8" t="s">
        <v>69</v>
      </c>
      <c r="F103" s="9"/>
      <c r="G103" s="57" t="b">
        <v>1</v>
      </c>
      <c r="H103" s="54" t="b">
        <v>1</v>
      </c>
      <c r="I103" s="10" t="b">
        <v>0</v>
      </c>
      <c r="J103" s="10" t="b">
        <v>0</v>
      </c>
      <c r="K103" s="10" t="b">
        <v>0</v>
      </c>
      <c r="L103" s="10" t="b">
        <v>0</v>
      </c>
      <c r="M103" s="10" t="b">
        <v>0</v>
      </c>
      <c r="N103" s="10" t="b">
        <v>0</v>
      </c>
      <c r="O103" s="10" t="b">
        <v>0</v>
      </c>
      <c r="P103" s="10" t="b">
        <v>0</v>
      </c>
      <c r="Q103" s="157">
        <v>46119.0</v>
      </c>
      <c r="R103" s="6" t="s">
        <v>357</v>
      </c>
      <c r="S103" s="6" t="s">
        <v>358</v>
      </c>
      <c r="T103" s="57" t="b">
        <v>0</v>
      </c>
      <c r="U103" s="9" t="s">
        <v>1840</v>
      </c>
      <c r="V103" s="70" t="b">
        <v>0</v>
      </c>
      <c r="W103" s="6" t="s">
        <v>382</v>
      </c>
      <c r="X103" s="6" t="s">
        <v>358</v>
      </c>
      <c r="Y103" s="9" t="s">
        <v>1841</v>
      </c>
      <c r="Z103" s="4"/>
      <c r="AA103" s="4"/>
      <c r="AB103" s="4"/>
      <c r="AC103" s="4"/>
      <c r="AD103" s="4"/>
      <c r="AE103" s="4"/>
      <c r="AF103" s="4"/>
    </row>
    <row r="104">
      <c r="A104" s="30" t="s">
        <v>146</v>
      </c>
      <c r="B104" s="155" t="s">
        <v>1757</v>
      </c>
      <c r="C104" s="9" t="s">
        <v>1842</v>
      </c>
      <c r="D104" s="13">
        <v>9.344636318E9</v>
      </c>
      <c r="E104" s="8" t="s">
        <v>69</v>
      </c>
      <c r="F104" s="9"/>
      <c r="G104" s="57" t="b">
        <v>1</v>
      </c>
      <c r="H104" s="57" t="b">
        <v>1</v>
      </c>
      <c r="I104" s="57" t="b">
        <v>1</v>
      </c>
      <c r="J104" s="57" t="b">
        <v>1</v>
      </c>
      <c r="K104" s="54" t="b">
        <v>1</v>
      </c>
      <c r="L104" s="10" t="b">
        <v>0</v>
      </c>
      <c r="M104" s="10" t="b">
        <v>0</v>
      </c>
      <c r="N104" s="10" t="b">
        <v>0</v>
      </c>
      <c r="O104" s="10" t="b">
        <v>0</v>
      </c>
      <c r="P104" s="10" t="b">
        <v>0</v>
      </c>
      <c r="Q104" s="157">
        <v>46132.0</v>
      </c>
      <c r="R104" s="6" t="s">
        <v>357</v>
      </c>
      <c r="S104" s="6" t="s">
        <v>358</v>
      </c>
      <c r="T104" s="54" t="b">
        <v>1</v>
      </c>
      <c r="U104" s="9" t="s">
        <v>1843</v>
      </c>
      <c r="V104" s="70" t="b">
        <v>0</v>
      </c>
      <c r="W104" s="6" t="s">
        <v>357</v>
      </c>
      <c r="X104" s="6" t="s">
        <v>358</v>
      </c>
      <c r="Y104" s="9" t="s">
        <v>1844</v>
      </c>
      <c r="Z104" s="4"/>
      <c r="AA104" s="4"/>
      <c r="AB104" s="4"/>
      <c r="AC104" s="4"/>
      <c r="AD104" s="4"/>
      <c r="AE104" s="4"/>
      <c r="AF104" s="4"/>
    </row>
    <row r="105">
      <c r="A105" s="30" t="s">
        <v>146</v>
      </c>
      <c r="B105" s="155" t="s">
        <v>1757</v>
      </c>
      <c r="C105" s="9" t="s">
        <v>1845</v>
      </c>
      <c r="D105" s="13">
        <v>6.207117852E9</v>
      </c>
      <c r="E105" s="8" t="s">
        <v>69</v>
      </c>
      <c r="F105" s="9"/>
      <c r="G105" s="57" t="b">
        <v>1</v>
      </c>
      <c r="H105" s="54" t="b">
        <v>1</v>
      </c>
      <c r="I105" s="10" t="b">
        <v>0</v>
      </c>
      <c r="J105" s="10" t="b">
        <v>0</v>
      </c>
      <c r="K105" s="10" t="b">
        <v>0</v>
      </c>
      <c r="L105" s="10" t="b">
        <v>0</v>
      </c>
      <c r="M105" s="10" t="b">
        <v>0</v>
      </c>
      <c r="N105" s="10" t="b">
        <v>0</v>
      </c>
      <c r="O105" s="10" t="b">
        <v>0</v>
      </c>
      <c r="P105" s="10" t="b">
        <v>0</v>
      </c>
      <c r="Q105" s="157">
        <v>46125.0</v>
      </c>
      <c r="R105" s="6" t="s">
        <v>357</v>
      </c>
      <c r="S105" s="6" t="s">
        <v>358</v>
      </c>
      <c r="T105" s="57" t="b">
        <v>0</v>
      </c>
      <c r="U105" s="9" t="s">
        <v>1846</v>
      </c>
      <c r="V105" s="70" t="b">
        <v>0</v>
      </c>
      <c r="W105" s="53"/>
      <c r="X105" s="53"/>
      <c r="Y105" s="4"/>
      <c r="Z105" s="4"/>
      <c r="AA105" s="4"/>
      <c r="AB105" s="4"/>
      <c r="AC105" s="4"/>
      <c r="AD105" s="4"/>
      <c r="AE105" s="4"/>
      <c r="AF105" s="4"/>
    </row>
    <row r="106">
      <c r="A106" s="30" t="s">
        <v>146</v>
      </c>
      <c r="B106" s="155" t="s">
        <v>1757</v>
      </c>
      <c r="C106" s="9" t="s">
        <v>1847</v>
      </c>
      <c r="D106" s="13">
        <v>6.383076927E9</v>
      </c>
      <c r="E106" s="8" t="s">
        <v>69</v>
      </c>
      <c r="F106" s="9"/>
      <c r="G106" s="57" t="b">
        <v>1</v>
      </c>
      <c r="H106" s="57" t="b">
        <v>1</v>
      </c>
      <c r="I106" s="54" t="b">
        <v>1</v>
      </c>
      <c r="J106" s="10" t="b">
        <v>0</v>
      </c>
      <c r="K106" s="10" t="b">
        <v>0</v>
      </c>
      <c r="L106" s="10" t="b">
        <v>0</v>
      </c>
      <c r="M106" s="10" t="b">
        <v>0</v>
      </c>
      <c r="N106" s="10" t="b">
        <v>0</v>
      </c>
      <c r="O106" s="10" t="b">
        <v>0</v>
      </c>
      <c r="P106" s="10" t="b">
        <v>0</v>
      </c>
      <c r="Q106" s="157">
        <v>46128.0</v>
      </c>
      <c r="R106" s="6" t="s">
        <v>357</v>
      </c>
      <c r="S106" s="6" t="s">
        <v>358</v>
      </c>
      <c r="T106" s="57" t="b">
        <v>0</v>
      </c>
      <c r="U106" s="9" t="s">
        <v>1848</v>
      </c>
      <c r="V106" s="70" t="b">
        <v>0</v>
      </c>
      <c r="W106" s="6" t="s">
        <v>357</v>
      </c>
      <c r="X106" s="6" t="s">
        <v>358</v>
      </c>
      <c r="Y106" s="9" t="s">
        <v>1849</v>
      </c>
      <c r="Z106" s="4"/>
      <c r="AA106" s="4"/>
      <c r="AB106" s="4"/>
      <c r="AC106" s="4"/>
      <c r="AD106" s="4"/>
      <c r="AE106" s="4"/>
      <c r="AF106" s="4"/>
    </row>
    <row r="107">
      <c r="A107" s="30" t="s">
        <v>146</v>
      </c>
      <c r="B107" s="155" t="s">
        <v>1757</v>
      </c>
      <c r="C107" s="9" t="s">
        <v>1850</v>
      </c>
      <c r="D107" s="13">
        <v>7.350275555E9</v>
      </c>
      <c r="E107" s="8" t="s">
        <v>69</v>
      </c>
      <c r="F107" s="9" t="s">
        <v>1851</v>
      </c>
      <c r="G107" s="57" t="b">
        <v>1</v>
      </c>
      <c r="H107" s="67" t="b">
        <v>1</v>
      </c>
      <c r="I107" s="54" t="b">
        <v>1</v>
      </c>
      <c r="J107" s="10" t="b">
        <v>0</v>
      </c>
      <c r="K107" s="10" t="b">
        <v>0</v>
      </c>
      <c r="L107" s="10" t="b">
        <v>0</v>
      </c>
      <c r="M107" s="10" t="b">
        <v>0</v>
      </c>
      <c r="N107" s="10" t="b">
        <v>0</v>
      </c>
      <c r="O107" s="10" t="b">
        <v>0</v>
      </c>
      <c r="P107" s="10" t="b">
        <v>0</v>
      </c>
      <c r="Q107" s="157">
        <v>46128.0</v>
      </c>
      <c r="R107" s="6" t="s">
        <v>357</v>
      </c>
      <c r="S107" s="6" t="s">
        <v>358</v>
      </c>
      <c r="T107" s="54" t="b">
        <v>1</v>
      </c>
      <c r="U107" s="9" t="s">
        <v>1852</v>
      </c>
      <c r="V107" s="70" t="b">
        <v>0</v>
      </c>
      <c r="W107" s="6" t="s">
        <v>357</v>
      </c>
      <c r="X107" s="6" t="s">
        <v>358</v>
      </c>
      <c r="Y107" s="9" t="s">
        <v>1853</v>
      </c>
      <c r="Z107" s="4"/>
      <c r="AA107" s="4"/>
      <c r="AB107" s="4"/>
      <c r="AC107" s="4"/>
      <c r="AD107" s="4"/>
      <c r="AE107" s="4"/>
      <c r="AF107" s="4"/>
    </row>
    <row r="108">
      <c r="A108" s="30" t="s">
        <v>146</v>
      </c>
      <c r="B108" s="155" t="s">
        <v>1757</v>
      </c>
      <c r="C108" s="9" t="s">
        <v>1854</v>
      </c>
      <c r="D108" s="13">
        <v>8.801616766E9</v>
      </c>
      <c r="E108" s="8" t="s">
        <v>69</v>
      </c>
      <c r="F108" s="9"/>
      <c r="G108" s="57" t="b">
        <v>1</v>
      </c>
      <c r="H108" s="57" t="b">
        <v>1</v>
      </c>
      <c r="I108" s="67" t="b">
        <v>1</v>
      </c>
      <c r="J108" s="54" t="b">
        <v>1</v>
      </c>
      <c r="K108" s="10" t="b">
        <v>0</v>
      </c>
      <c r="L108" s="10" t="b">
        <v>0</v>
      </c>
      <c r="M108" s="10" t="b">
        <v>0</v>
      </c>
      <c r="N108" s="10" t="b">
        <v>0</v>
      </c>
      <c r="O108" s="10" t="b">
        <v>0</v>
      </c>
      <c r="P108" s="10" t="b">
        <v>0</v>
      </c>
      <c r="Q108" s="157">
        <v>46132.0</v>
      </c>
      <c r="R108" s="6" t="s">
        <v>357</v>
      </c>
      <c r="S108" s="6" t="s">
        <v>358</v>
      </c>
      <c r="T108" s="54" t="b">
        <v>1</v>
      </c>
      <c r="U108" s="9" t="s">
        <v>1855</v>
      </c>
      <c r="V108" s="70" t="b">
        <v>0</v>
      </c>
      <c r="W108" s="6" t="s">
        <v>661</v>
      </c>
      <c r="X108" s="6" t="s">
        <v>358</v>
      </c>
      <c r="Y108" s="9" t="s">
        <v>1856</v>
      </c>
      <c r="Z108" s="4"/>
      <c r="AA108" s="4"/>
      <c r="AB108" s="4"/>
      <c r="AC108" s="4"/>
      <c r="AD108" s="4"/>
      <c r="AE108" s="4"/>
      <c r="AF108" s="4"/>
    </row>
    <row r="109">
      <c r="A109" s="30" t="s">
        <v>146</v>
      </c>
      <c r="B109" s="155" t="s">
        <v>1757</v>
      </c>
      <c r="C109" s="9" t="s">
        <v>1857</v>
      </c>
      <c r="D109" s="13">
        <v>9.025800873E9</v>
      </c>
      <c r="E109" s="8" t="s">
        <v>69</v>
      </c>
      <c r="F109" s="9"/>
      <c r="G109" s="57" t="b">
        <v>1</v>
      </c>
      <c r="H109" s="67" t="b">
        <v>1</v>
      </c>
      <c r="I109" s="54" t="b">
        <v>1</v>
      </c>
      <c r="J109" s="10" t="b">
        <v>0</v>
      </c>
      <c r="K109" s="10" t="b">
        <v>0</v>
      </c>
      <c r="L109" s="10" t="b">
        <v>0</v>
      </c>
      <c r="M109" s="10" t="b">
        <v>0</v>
      </c>
      <c r="N109" s="10" t="b">
        <v>0</v>
      </c>
      <c r="O109" s="10" t="b">
        <v>0</v>
      </c>
      <c r="P109" s="10" t="b">
        <v>0</v>
      </c>
      <c r="Q109" s="157">
        <v>46132.0</v>
      </c>
      <c r="R109" s="6" t="s">
        <v>357</v>
      </c>
      <c r="S109" s="6" t="s">
        <v>358</v>
      </c>
      <c r="T109" s="54" t="b">
        <v>1</v>
      </c>
      <c r="U109" s="9" t="s">
        <v>1858</v>
      </c>
      <c r="V109" s="70" t="b">
        <v>0</v>
      </c>
      <c r="W109" s="6" t="s">
        <v>661</v>
      </c>
      <c r="X109" s="6" t="s">
        <v>358</v>
      </c>
      <c r="Y109" s="9" t="s">
        <v>1859</v>
      </c>
      <c r="Z109" s="4"/>
      <c r="AA109" s="4"/>
      <c r="AB109" s="4"/>
      <c r="AC109" s="4"/>
      <c r="AD109" s="4"/>
      <c r="AE109" s="4"/>
      <c r="AF109" s="4"/>
    </row>
    <row r="110">
      <c r="A110" s="30" t="s">
        <v>146</v>
      </c>
      <c r="B110" s="155" t="s">
        <v>1757</v>
      </c>
      <c r="C110" s="9" t="s">
        <v>1860</v>
      </c>
      <c r="D110" s="13">
        <v>7.981791571E9</v>
      </c>
      <c r="E110" s="8" t="s">
        <v>69</v>
      </c>
      <c r="F110" s="9"/>
      <c r="G110" s="57" t="b">
        <v>1</v>
      </c>
      <c r="H110" s="67" t="b">
        <v>1</v>
      </c>
      <c r="I110" s="67" t="b">
        <v>1</v>
      </c>
      <c r="J110" s="67" t="b">
        <v>1</v>
      </c>
      <c r="K110" s="54" t="b">
        <v>1</v>
      </c>
      <c r="L110" s="10" t="b">
        <v>0</v>
      </c>
      <c r="M110" s="10" t="b">
        <v>0</v>
      </c>
      <c r="N110" s="10" t="b">
        <v>0</v>
      </c>
      <c r="O110" s="10" t="b">
        <v>0</v>
      </c>
      <c r="P110" s="10" t="b">
        <v>0</v>
      </c>
      <c r="Q110" s="157">
        <v>46133.0</v>
      </c>
      <c r="R110" s="6" t="s">
        <v>357</v>
      </c>
      <c r="S110" s="6" t="s">
        <v>358</v>
      </c>
      <c r="T110" s="54" t="b">
        <v>1</v>
      </c>
      <c r="U110" s="9" t="s">
        <v>1861</v>
      </c>
      <c r="V110" s="70" t="b">
        <v>0</v>
      </c>
      <c r="W110" s="6" t="s">
        <v>357</v>
      </c>
      <c r="X110" s="6" t="s">
        <v>358</v>
      </c>
      <c r="Y110" s="9" t="s">
        <v>1862</v>
      </c>
      <c r="Z110" s="4"/>
      <c r="AA110" s="4"/>
      <c r="AB110" s="4"/>
      <c r="AC110" s="4"/>
      <c r="AD110" s="4"/>
      <c r="AE110" s="4"/>
      <c r="AF110" s="4"/>
    </row>
    <row r="111">
      <c r="A111" s="30" t="s">
        <v>146</v>
      </c>
      <c r="B111" s="155" t="s">
        <v>1757</v>
      </c>
      <c r="C111" s="9" t="s">
        <v>1863</v>
      </c>
      <c r="D111" s="13">
        <v>9.100267241E9</v>
      </c>
      <c r="E111" s="8" t="s">
        <v>69</v>
      </c>
      <c r="F111" s="9"/>
      <c r="G111" s="57" t="b">
        <v>1</v>
      </c>
      <c r="H111" s="67" t="b">
        <v>1</v>
      </c>
      <c r="I111" s="54" t="b">
        <v>1</v>
      </c>
      <c r="J111" s="10" t="b">
        <v>0</v>
      </c>
      <c r="K111" s="10" t="b">
        <v>0</v>
      </c>
      <c r="L111" s="10" t="b">
        <v>0</v>
      </c>
      <c r="M111" s="10" t="b">
        <v>0</v>
      </c>
      <c r="N111" s="10" t="b">
        <v>0</v>
      </c>
      <c r="O111" s="10" t="b">
        <v>0</v>
      </c>
      <c r="P111" s="10" t="b">
        <v>0</v>
      </c>
      <c r="Q111" s="157">
        <v>46128.0</v>
      </c>
      <c r="R111" s="6" t="s">
        <v>424</v>
      </c>
      <c r="S111" s="6" t="s">
        <v>358</v>
      </c>
      <c r="T111" s="54" t="b">
        <v>1</v>
      </c>
      <c r="U111" s="9" t="s">
        <v>1864</v>
      </c>
      <c r="V111" s="70" t="b">
        <v>0</v>
      </c>
      <c r="W111" s="6" t="s">
        <v>424</v>
      </c>
      <c r="X111" s="6" t="s">
        <v>358</v>
      </c>
      <c r="Y111" s="9" t="s">
        <v>1865</v>
      </c>
      <c r="Z111" s="4"/>
      <c r="AA111" s="4"/>
      <c r="AB111" s="4"/>
      <c r="AC111" s="4"/>
      <c r="AD111" s="4"/>
      <c r="AE111" s="4"/>
      <c r="AF111" s="4"/>
    </row>
    <row r="112">
      <c r="A112" s="30" t="s">
        <v>146</v>
      </c>
      <c r="B112" s="155" t="s">
        <v>1757</v>
      </c>
      <c r="C112" s="9" t="s">
        <v>1866</v>
      </c>
      <c r="D112" s="13">
        <v>7.806999797E9</v>
      </c>
      <c r="E112" s="8" t="s">
        <v>69</v>
      </c>
      <c r="F112" s="9"/>
      <c r="G112" s="57" t="b">
        <v>1</v>
      </c>
      <c r="H112" s="67" t="b">
        <v>1</v>
      </c>
      <c r="I112" s="71" t="b">
        <v>1</v>
      </c>
      <c r="J112" s="10" t="b">
        <v>0</v>
      </c>
      <c r="K112" s="10" t="b">
        <v>0</v>
      </c>
      <c r="L112" s="10" t="b">
        <v>0</v>
      </c>
      <c r="M112" s="10" t="b">
        <v>0</v>
      </c>
      <c r="N112" s="10" t="b">
        <v>0</v>
      </c>
      <c r="O112" s="10" t="b">
        <v>0</v>
      </c>
      <c r="P112" s="10" t="b">
        <v>0</v>
      </c>
      <c r="Q112" s="157">
        <v>46127.0</v>
      </c>
      <c r="R112" s="6" t="s">
        <v>890</v>
      </c>
      <c r="S112" s="6" t="s">
        <v>891</v>
      </c>
      <c r="T112" s="57" t="b">
        <v>1</v>
      </c>
      <c r="U112" s="9" t="s">
        <v>1867</v>
      </c>
      <c r="V112" s="70" t="b">
        <v>0</v>
      </c>
      <c r="W112" s="6" t="s">
        <v>890</v>
      </c>
      <c r="X112" s="6" t="s">
        <v>891</v>
      </c>
      <c r="Y112" s="9" t="s">
        <v>1868</v>
      </c>
      <c r="Z112" s="4"/>
      <c r="AA112" s="4"/>
      <c r="AB112" s="4"/>
      <c r="AC112" s="4"/>
      <c r="AD112" s="4"/>
      <c r="AE112" s="4"/>
      <c r="AF112" s="4"/>
    </row>
    <row r="113">
      <c r="A113" s="30" t="s">
        <v>146</v>
      </c>
      <c r="B113" s="155" t="s">
        <v>1757</v>
      </c>
      <c r="C113" s="9" t="s">
        <v>1869</v>
      </c>
      <c r="D113" s="13">
        <v>6.370784051E9</v>
      </c>
      <c r="E113" s="8" t="s">
        <v>69</v>
      </c>
      <c r="F113" s="9"/>
      <c r="G113" s="57" t="b">
        <v>1</v>
      </c>
      <c r="H113" s="57" t="b">
        <v>1</v>
      </c>
      <c r="I113" s="57" t="b">
        <v>1</v>
      </c>
      <c r="J113" s="67" t="b">
        <v>1</v>
      </c>
      <c r="K113" s="67" t="b">
        <v>1</v>
      </c>
      <c r="L113" s="54" t="b">
        <v>1</v>
      </c>
      <c r="M113" s="10" t="b">
        <v>0</v>
      </c>
      <c r="N113" s="10" t="b">
        <v>0</v>
      </c>
      <c r="O113" s="10" t="b">
        <v>0</v>
      </c>
      <c r="P113" s="10" t="b">
        <v>0</v>
      </c>
      <c r="Q113" s="157">
        <v>46132.0</v>
      </c>
      <c r="R113" s="6" t="s">
        <v>357</v>
      </c>
      <c r="S113" s="6" t="s">
        <v>358</v>
      </c>
      <c r="T113" s="54" t="b">
        <v>1</v>
      </c>
      <c r="U113" s="9" t="s">
        <v>1870</v>
      </c>
      <c r="V113" s="70" t="b">
        <v>0</v>
      </c>
      <c r="W113" s="6" t="s">
        <v>684</v>
      </c>
      <c r="X113" s="6" t="s">
        <v>358</v>
      </c>
      <c r="Y113" s="9" t="s">
        <v>1871</v>
      </c>
      <c r="Z113" s="4"/>
      <c r="AA113" s="4"/>
      <c r="AB113" s="4"/>
      <c r="AC113" s="4"/>
      <c r="AD113" s="4"/>
      <c r="AE113" s="4"/>
      <c r="AF113" s="4"/>
    </row>
    <row r="114">
      <c r="A114" s="30" t="s">
        <v>146</v>
      </c>
      <c r="B114" s="155" t="s">
        <v>1757</v>
      </c>
      <c r="C114" s="9" t="s">
        <v>1872</v>
      </c>
      <c r="D114" s="13">
        <v>8.957035956E9</v>
      </c>
      <c r="E114" s="8" t="s">
        <v>69</v>
      </c>
      <c r="F114" s="9" t="s">
        <v>1873</v>
      </c>
      <c r="G114" s="57" t="b">
        <v>1</v>
      </c>
      <c r="H114" s="57" t="b">
        <v>1</v>
      </c>
      <c r="I114" s="57" t="b">
        <v>1</v>
      </c>
      <c r="J114" s="54" t="b">
        <v>1</v>
      </c>
      <c r="K114" s="10" t="b">
        <v>0</v>
      </c>
      <c r="L114" s="10" t="b">
        <v>0</v>
      </c>
      <c r="M114" s="10" t="b">
        <v>0</v>
      </c>
      <c r="N114" s="10" t="b">
        <v>0</v>
      </c>
      <c r="O114" s="10" t="b">
        <v>0</v>
      </c>
      <c r="P114" s="10" t="b">
        <v>0</v>
      </c>
      <c r="Q114" s="157">
        <v>46132.0</v>
      </c>
      <c r="R114" s="6" t="s">
        <v>357</v>
      </c>
      <c r="S114" s="6" t="s">
        <v>358</v>
      </c>
      <c r="T114" s="57" t="b">
        <v>0</v>
      </c>
      <c r="U114" s="9" t="s">
        <v>1874</v>
      </c>
      <c r="V114" s="70" t="b">
        <v>0</v>
      </c>
      <c r="W114" s="6" t="s">
        <v>684</v>
      </c>
      <c r="X114" s="6" t="s">
        <v>358</v>
      </c>
      <c r="Y114" s="9" t="s">
        <v>1875</v>
      </c>
      <c r="Z114" s="4"/>
      <c r="AA114" s="4"/>
      <c r="AB114" s="4"/>
      <c r="AC114" s="4"/>
      <c r="AD114" s="4"/>
      <c r="AE114" s="4"/>
      <c r="AF114" s="4"/>
    </row>
    <row r="115">
      <c r="A115" s="30" t="s">
        <v>146</v>
      </c>
      <c r="B115" s="155" t="s">
        <v>1757</v>
      </c>
      <c r="C115" s="9" t="s">
        <v>1876</v>
      </c>
      <c r="D115" s="13">
        <v>7.397668451E9</v>
      </c>
      <c r="E115" s="9" t="s">
        <v>185</v>
      </c>
      <c r="F115" s="4"/>
      <c r="G115" s="57" t="b">
        <v>1</v>
      </c>
      <c r="H115" s="57" t="b">
        <v>1</v>
      </c>
      <c r="I115" s="54" t="b">
        <v>1</v>
      </c>
      <c r="J115" s="10" t="b">
        <v>0</v>
      </c>
      <c r="K115" s="10" t="b">
        <v>0</v>
      </c>
      <c r="L115" s="10" t="b">
        <v>0</v>
      </c>
      <c r="M115" s="10" t="b">
        <v>0</v>
      </c>
      <c r="N115" s="10" t="b">
        <v>0</v>
      </c>
      <c r="O115" s="10" t="b">
        <v>0</v>
      </c>
      <c r="P115" s="10" t="b">
        <v>0</v>
      </c>
      <c r="Q115" s="157">
        <v>46132.0</v>
      </c>
      <c r="R115" s="6" t="s">
        <v>357</v>
      </c>
      <c r="S115" s="6" t="s">
        <v>358</v>
      </c>
      <c r="T115" s="57" t="b">
        <v>0</v>
      </c>
      <c r="U115" s="9" t="s">
        <v>1877</v>
      </c>
      <c r="V115" s="70" t="b">
        <v>0</v>
      </c>
      <c r="W115" s="6" t="s">
        <v>382</v>
      </c>
      <c r="X115" s="6" t="s">
        <v>358</v>
      </c>
      <c r="Y115" s="9" t="s">
        <v>1878</v>
      </c>
      <c r="Z115" s="4"/>
      <c r="AA115" s="4"/>
      <c r="AB115" s="4"/>
      <c r="AC115" s="4"/>
      <c r="AD115" s="4"/>
      <c r="AE115" s="4"/>
      <c r="AF115" s="4"/>
    </row>
    <row r="116">
      <c r="A116" s="4"/>
      <c r="B116" s="4"/>
      <c r="C116" s="4"/>
      <c r="D116" s="93"/>
      <c r="E116" s="4"/>
      <c r="F116" s="4"/>
      <c r="G116" s="4"/>
      <c r="H116" s="4"/>
      <c r="I116" s="4"/>
      <c r="J116" s="4"/>
      <c r="K116" s="4"/>
      <c r="L116" s="4"/>
      <c r="M116" s="4"/>
      <c r="N116" s="4"/>
      <c r="S116" s="4"/>
      <c r="T116" s="4"/>
      <c r="U116" s="9"/>
      <c r="V116" s="70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4"/>
      <c r="B117" s="4"/>
      <c r="C117" s="4"/>
      <c r="D117" s="93"/>
      <c r="E117" s="4"/>
      <c r="F117" s="4"/>
      <c r="G117" s="4"/>
      <c r="H117" s="4"/>
      <c r="I117" s="4"/>
      <c r="J117" s="4"/>
      <c r="K117" s="4"/>
      <c r="L117" s="4"/>
      <c r="M117" s="4"/>
      <c r="N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4"/>
      <c r="B118" s="4"/>
      <c r="C118" s="4"/>
      <c r="D118" s="93"/>
      <c r="E118" s="4"/>
      <c r="F118" s="4"/>
      <c r="G118" s="4"/>
      <c r="H118" s="4"/>
      <c r="I118" s="4"/>
      <c r="J118" s="4"/>
      <c r="K118" s="4"/>
      <c r="L118" s="4"/>
      <c r="M118" s="4"/>
      <c r="N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4"/>
      <c r="B119" s="4"/>
      <c r="C119" s="4"/>
      <c r="D119" s="93"/>
      <c r="E119" s="4"/>
      <c r="F119" s="4"/>
      <c r="G119" s="4"/>
      <c r="H119" s="4"/>
      <c r="I119" s="4"/>
      <c r="J119" s="4"/>
      <c r="K119" s="4"/>
      <c r="L119" s="4"/>
      <c r="M119" s="4"/>
      <c r="N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4"/>
      <c r="B120" s="4"/>
      <c r="C120" s="4"/>
      <c r="D120" s="93"/>
      <c r="E120" s="4"/>
      <c r="F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4"/>
      <c r="B121" s="4"/>
      <c r="C121" s="4"/>
      <c r="D121" s="93"/>
      <c r="E121" s="4"/>
      <c r="F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4"/>
      <c r="B122" s="4"/>
      <c r="C122" s="4"/>
      <c r="D122" s="93"/>
      <c r="E122" s="4"/>
      <c r="F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4"/>
      <c r="B123" s="4"/>
      <c r="C123" s="4"/>
      <c r="D123" s="93"/>
      <c r="E123" s="4"/>
      <c r="F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4"/>
      <c r="B124" s="4"/>
      <c r="C124" s="4"/>
      <c r="D124" s="93"/>
      <c r="E124" s="4"/>
      <c r="F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4"/>
      <c r="B125" s="4"/>
      <c r="C125" s="4"/>
      <c r="D125" s="9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4"/>
      <c r="B126" s="4"/>
      <c r="C126" s="4"/>
      <c r="D126" s="9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4"/>
      <c r="B127" s="4"/>
      <c r="C127" s="4"/>
      <c r="D127" s="9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4"/>
      <c r="B128" s="4"/>
      <c r="C128" s="4"/>
      <c r="D128" s="9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4"/>
      <c r="B129" s="4"/>
      <c r="C129" s="4"/>
      <c r="D129" s="9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4"/>
      <c r="B130" s="4"/>
      <c r="C130" s="4"/>
      <c r="D130" s="9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4"/>
      <c r="B131" s="4"/>
      <c r="C131" s="4"/>
      <c r="D131" s="9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4"/>
      <c r="B132" s="4"/>
      <c r="C132" s="4"/>
      <c r="D132" s="9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4"/>
      <c r="B133" s="4"/>
      <c r="C133" s="4"/>
      <c r="D133" s="9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4"/>
      <c r="B134" s="4"/>
      <c r="C134" s="4"/>
      <c r="D134" s="9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4"/>
      <c r="B135" s="4"/>
      <c r="C135" s="4"/>
      <c r="D135" s="9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4"/>
      <c r="B136" s="4"/>
      <c r="C136" s="4"/>
      <c r="D136" s="9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4"/>
      <c r="B137" s="4"/>
      <c r="C137" s="4"/>
      <c r="D137" s="9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4"/>
      <c r="B138" s="4"/>
      <c r="C138" s="4"/>
      <c r="D138" s="9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4"/>
      <c r="B139" s="4"/>
      <c r="C139" s="4"/>
      <c r="D139" s="9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4"/>
      <c r="B140" s="4"/>
      <c r="C140" s="4"/>
      <c r="D140" s="9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4"/>
      <c r="B141" s="4"/>
      <c r="C141" s="4"/>
      <c r="D141" s="9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4"/>
      <c r="B142" s="4"/>
      <c r="C142" s="4"/>
      <c r="D142" s="9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4"/>
      <c r="B143" s="4"/>
      <c r="C143" s="4"/>
      <c r="D143" s="9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4"/>
      <c r="B144" s="4"/>
      <c r="C144" s="4"/>
      <c r="D144" s="9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4"/>
      <c r="B145" s="4"/>
      <c r="C145" s="4"/>
      <c r="D145" s="9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4"/>
      <c r="B146" s="4"/>
      <c r="C146" s="4"/>
      <c r="D146" s="9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4"/>
      <c r="B147" s="4"/>
      <c r="C147" s="4"/>
      <c r="D147" s="9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4"/>
      <c r="B148" s="4"/>
      <c r="C148" s="4"/>
      <c r="D148" s="9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4"/>
      <c r="B149" s="4"/>
      <c r="C149" s="4"/>
      <c r="D149" s="9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4"/>
      <c r="B150" s="4"/>
      <c r="C150" s="4"/>
      <c r="D150" s="9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4"/>
      <c r="B151" s="4"/>
      <c r="C151" s="4"/>
      <c r="D151" s="9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4"/>
      <c r="B152" s="4"/>
      <c r="C152" s="4"/>
      <c r="D152" s="9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4"/>
      <c r="B153" s="4"/>
      <c r="C153" s="4"/>
      <c r="D153" s="9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4"/>
      <c r="B154" s="4"/>
      <c r="C154" s="4"/>
      <c r="D154" s="9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4"/>
      <c r="B155" s="4"/>
      <c r="C155" s="4"/>
      <c r="D155" s="9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4"/>
      <c r="B156" s="4"/>
      <c r="C156" s="4"/>
      <c r="D156" s="9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4"/>
      <c r="B157" s="4"/>
      <c r="C157" s="4"/>
      <c r="D157" s="9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4"/>
      <c r="B158" s="4"/>
      <c r="C158" s="4"/>
      <c r="D158" s="9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4"/>
      <c r="B159" s="4"/>
      <c r="C159" s="4"/>
      <c r="D159" s="9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4"/>
      <c r="B160" s="4"/>
      <c r="C160" s="4"/>
      <c r="D160" s="9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4"/>
      <c r="B161" s="4"/>
      <c r="C161" s="4"/>
      <c r="D161" s="9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4"/>
      <c r="B162" s="4"/>
      <c r="C162" s="4"/>
      <c r="D162" s="9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4"/>
      <c r="B163" s="4"/>
      <c r="C163" s="4"/>
      <c r="D163" s="9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4"/>
      <c r="B164" s="4"/>
      <c r="C164" s="4"/>
      <c r="D164" s="9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4"/>
      <c r="B165" s="4"/>
      <c r="C165" s="4"/>
      <c r="D165" s="9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4"/>
      <c r="B166" s="4"/>
      <c r="C166" s="4"/>
      <c r="D166" s="9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4"/>
      <c r="B167" s="4"/>
      <c r="C167" s="4"/>
      <c r="D167" s="9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4"/>
      <c r="B168" s="4"/>
      <c r="C168" s="4"/>
      <c r="D168" s="9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4"/>
      <c r="B169" s="4"/>
      <c r="C169" s="4"/>
      <c r="D169" s="9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4"/>
      <c r="B170" s="4"/>
      <c r="C170" s="4"/>
      <c r="D170" s="9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4"/>
      <c r="B171" s="4"/>
      <c r="C171" s="4"/>
      <c r="D171" s="9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4"/>
      <c r="B172" s="4"/>
      <c r="C172" s="4"/>
      <c r="D172" s="9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4"/>
      <c r="B173" s="4"/>
      <c r="C173" s="4"/>
      <c r="D173" s="9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4"/>
      <c r="B174" s="4"/>
      <c r="C174" s="4"/>
      <c r="D174" s="9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4"/>
      <c r="B175" s="4"/>
      <c r="C175" s="4"/>
      <c r="D175" s="9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4"/>
      <c r="B176" s="4"/>
      <c r="C176" s="4"/>
      <c r="D176" s="9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4"/>
      <c r="B177" s="4"/>
      <c r="C177" s="4"/>
      <c r="D177" s="9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4"/>
      <c r="B178" s="4"/>
      <c r="C178" s="4"/>
      <c r="D178" s="9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4"/>
      <c r="B179" s="4"/>
      <c r="C179" s="4"/>
      <c r="D179" s="9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4"/>
      <c r="B180" s="4"/>
      <c r="C180" s="4"/>
      <c r="D180" s="9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4"/>
      <c r="B181" s="4"/>
      <c r="C181" s="4"/>
      <c r="D181" s="9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4"/>
      <c r="B182" s="4"/>
      <c r="C182" s="4"/>
      <c r="D182" s="9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4"/>
      <c r="B183" s="4"/>
      <c r="C183" s="4"/>
      <c r="D183" s="9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4"/>
      <c r="B184" s="4"/>
      <c r="C184" s="4"/>
      <c r="D184" s="9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4"/>
      <c r="B185" s="4"/>
      <c r="C185" s="4"/>
      <c r="D185" s="9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4"/>
      <c r="B186" s="4"/>
      <c r="C186" s="4"/>
      <c r="D186" s="9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4"/>
      <c r="B187" s="4"/>
      <c r="C187" s="4"/>
      <c r="D187" s="9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4"/>
      <c r="B188" s="4"/>
      <c r="C188" s="4"/>
      <c r="D188" s="9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4"/>
      <c r="B189" s="4"/>
      <c r="C189" s="4"/>
      <c r="D189" s="9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4"/>
      <c r="B190" s="4"/>
      <c r="C190" s="4"/>
      <c r="D190" s="9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4"/>
      <c r="B191" s="4"/>
      <c r="C191" s="4"/>
      <c r="D191" s="9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4"/>
      <c r="B192" s="4"/>
      <c r="C192" s="4"/>
      <c r="D192" s="9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4"/>
      <c r="B193" s="4"/>
      <c r="C193" s="4"/>
      <c r="D193" s="9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4"/>
      <c r="B194" s="4"/>
      <c r="C194" s="4"/>
      <c r="D194" s="9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4"/>
      <c r="B195" s="4"/>
      <c r="C195" s="4"/>
      <c r="D195" s="9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4"/>
      <c r="B196" s="4"/>
      <c r="C196" s="4"/>
      <c r="D196" s="9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4"/>
      <c r="B197" s="4"/>
      <c r="C197" s="4"/>
      <c r="D197" s="9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4"/>
      <c r="B198" s="4"/>
      <c r="C198" s="4"/>
      <c r="D198" s="9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4"/>
      <c r="B199" s="4"/>
      <c r="C199" s="4"/>
      <c r="D199" s="9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4"/>
      <c r="B200" s="4"/>
      <c r="C200" s="4"/>
      <c r="D200" s="9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4"/>
      <c r="B201" s="4"/>
      <c r="C201" s="4"/>
      <c r="D201" s="9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4"/>
      <c r="B202" s="4"/>
      <c r="C202" s="4"/>
      <c r="D202" s="9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4"/>
      <c r="B203" s="4"/>
      <c r="C203" s="4"/>
      <c r="D203" s="9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4"/>
      <c r="B204" s="4"/>
      <c r="C204" s="4"/>
      <c r="D204" s="9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4"/>
      <c r="B205" s="4"/>
      <c r="C205" s="4"/>
      <c r="D205" s="9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9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4"/>
      <c r="B207" s="4"/>
      <c r="C207" s="4"/>
      <c r="D207" s="9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9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9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9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9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9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9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9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9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9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9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9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9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9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9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9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9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9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9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9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9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9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9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9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9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9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9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9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9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9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9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9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9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9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9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9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9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9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9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9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9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9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9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9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9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9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9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9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9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9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9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9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9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9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9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9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9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9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9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9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9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9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9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9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9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9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9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9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9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9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9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9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9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9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9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9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9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9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9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9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9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9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9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9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9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9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9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9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9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9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9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9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9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9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9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9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9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9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9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9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9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9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9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9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9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9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9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9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9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9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9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9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9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9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9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9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9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9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9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9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9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9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9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9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9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9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9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9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9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9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9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9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9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9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9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9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9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9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9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9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9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9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9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9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9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9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9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9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9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9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9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9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9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9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9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9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9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9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9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9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9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9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9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9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9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9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9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9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9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9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9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9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9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9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9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9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9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9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9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9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9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9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9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9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9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9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9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9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9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9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9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9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9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9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9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9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9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9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9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9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9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9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9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9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9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9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9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9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9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9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9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9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9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9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9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9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9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9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9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9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9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9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9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9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9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9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9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9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9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9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9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9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9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9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9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9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9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9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9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9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9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9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9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9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9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9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9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9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9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9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9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9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9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9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9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9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9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9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9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9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9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9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9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9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9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9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9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9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9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9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9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9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9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9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9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9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9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9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9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9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9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9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9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9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9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9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9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9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9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9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9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9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9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9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9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9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9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9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9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9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9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9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9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9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9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9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9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9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9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9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9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9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9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9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9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9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9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9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9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9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9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9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9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9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9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9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9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9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9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9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9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9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9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9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9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9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9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9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9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9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9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9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9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9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9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9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9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9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9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9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9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9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9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9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9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9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9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9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9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9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9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9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9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9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9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9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9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9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9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9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9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9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9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9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9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9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9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9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9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9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9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9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9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9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9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9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9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9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9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9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9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9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9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9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9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9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9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9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9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9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9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9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9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9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9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9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9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9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9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9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9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9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9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9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9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9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9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9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9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9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9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9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9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9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9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9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9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9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9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9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9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9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9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9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9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9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9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9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9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9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9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9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9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9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9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9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9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9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9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9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9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9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9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9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9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9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9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9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9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9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9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9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9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9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9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9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9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9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9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9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9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9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9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9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9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9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9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9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9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9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9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9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9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9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9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9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9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9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9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9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9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9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9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9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9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9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9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9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9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9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9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9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9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9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9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9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9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9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9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9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9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9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9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9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9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9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9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9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9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9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9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9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9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9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9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9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9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9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9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9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9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9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9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9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9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9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9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9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9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9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9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9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9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9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9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9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9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9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9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9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9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9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9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9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9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9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9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9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9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9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9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9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9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9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9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9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9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9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9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9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9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9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9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9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9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9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9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9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9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9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9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9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9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9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9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9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9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9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9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9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9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9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9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9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9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9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9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9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9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9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9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9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9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9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9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9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9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9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9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9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9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9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9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9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9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9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9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9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9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9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9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9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9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9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9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9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9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9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9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9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9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9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9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9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9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9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9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9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9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9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9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9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9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9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9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9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9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9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9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9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9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9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9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9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9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9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9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9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9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9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9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9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9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9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9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9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9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9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9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9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9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9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9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9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9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9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9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9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9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9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9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9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9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9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9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9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9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9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9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9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9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9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9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9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9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9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9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9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9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9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9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9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9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9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9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9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9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9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9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9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9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9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9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9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9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9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9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9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9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9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9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9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9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9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9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9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9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9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9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9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9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9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9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9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9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9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9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9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9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9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9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9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9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9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9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9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9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9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9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9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9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9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9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9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9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9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9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9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9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9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9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9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9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9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9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9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9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9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9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9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9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9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9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9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9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9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9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9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9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9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9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9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9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9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9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9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9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4"/>
      <c r="B994" s="4"/>
      <c r="C994" s="4"/>
      <c r="D994" s="9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4"/>
      <c r="B995" s="4"/>
      <c r="C995" s="4"/>
      <c r="D995" s="9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4"/>
      <c r="B996" s="4"/>
      <c r="C996" s="4"/>
      <c r="D996" s="9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4"/>
      <c r="B997" s="4"/>
      <c r="C997" s="4"/>
      <c r="D997" s="9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4"/>
      <c r="B998" s="4"/>
      <c r="C998" s="4"/>
      <c r="D998" s="9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4"/>
      <c r="B999" s="4"/>
      <c r="C999" s="4"/>
      <c r="D999" s="9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4"/>
      <c r="B1000" s="4"/>
      <c r="C1000" s="4"/>
      <c r="D1000" s="9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4"/>
      <c r="C1001" s="4"/>
      <c r="D1001" s="93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4"/>
      <c r="C1002" s="4"/>
      <c r="D1002" s="93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4"/>
      <c r="C1003" s="4"/>
      <c r="D1003" s="93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4"/>
      <c r="C1004" s="4"/>
      <c r="D1004" s="93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4"/>
      <c r="C1005" s="4"/>
      <c r="D1005" s="93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4"/>
      <c r="C1006" s="4"/>
      <c r="D1006" s="93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4"/>
      <c r="B1007" s="4"/>
      <c r="C1007" s="4"/>
      <c r="D1007" s="93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4"/>
      <c r="B1008" s="4"/>
      <c r="C1008" s="4"/>
      <c r="D1008" s="93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4"/>
      <c r="B1009" s="4"/>
      <c r="C1009" s="4"/>
      <c r="D1009" s="93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4"/>
      <c r="B1010" s="4"/>
      <c r="C1010" s="4"/>
      <c r="D1010" s="93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>
      <c r="A1011" s="4"/>
      <c r="B1011" s="4"/>
      <c r="C1011" s="4"/>
      <c r="D1011" s="93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>
      <c r="A1012" s="4"/>
      <c r="B1012" s="4"/>
      <c r="C1012" s="4"/>
      <c r="D1012" s="93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>
      <c r="A1013" s="4"/>
      <c r="B1013" s="4"/>
      <c r="C1013" s="4"/>
      <c r="D1013" s="93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>
      <c r="A1014" s="4"/>
      <c r="B1014" s="4"/>
      <c r="C1014" s="4"/>
      <c r="D1014" s="93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>
      <c r="A1015" s="4"/>
      <c r="B1015" s="4"/>
      <c r="C1015" s="4"/>
      <c r="D1015" s="93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>
      <c r="A1016" s="4"/>
      <c r="B1016" s="4"/>
      <c r="C1016" s="4"/>
      <c r="D1016" s="93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>
      <c r="A1017" s="4"/>
      <c r="B1017" s="4"/>
      <c r="C1017" s="4"/>
      <c r="D1017" s="93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>
      <c r="A1018" s="4"/>
      <c r="B1018" s="4"/>
      <c r="C1018" s="4"/>
      <c r="D1018" s="93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>
      <c r="A1019" s="4"/>
      <c r="B1019" s="4"/>
      <c r="C1019" s="4"/>
      <c r="D1019" s="93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>
      <c r="A1020" s="4"/>
      <c r="B1020" s="4"/>
      <c r="C1020" s="4"/>
      <c r="D1020" s="93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>
      <c r="A1021" s="4"/>
      <c r="B1021" s="4"/>
      <c r="C1021" s="4"/>
      <c r="D1021" s="93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>
      <c r="A1022" s="4"/>
      <c r="B1022" s="4"/>
      <c r="C1022" s="4"/>
      <c r="D1022" s="93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>
      <c r="A1023" s="4"/>
      <c r="B1023" s="4"/>
      <c r="C1023" s="4"/>
      <c r="D1023" s="93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>
      <c r="A1024" s="4"/>
      <c r="B1024" s="4"/>
      <c r="C1024" s="4"/>
      <c r="D1024" s="93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  <row r="1025">
      <c r="A1025" s="4"/>
      <c r="B1025" s="4"/>
      <c r="C1025" s="4"/>
      <c r="D1025" s="93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</row>
    <row r="1026">
      <c r="A1026" s="4"/>
      <c r="B1026" s="4"/>
      <c r="C1026" s="4"/>
      <c r="D1026" s="93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</row>
    <row r="1027">
      <c r="A1027" s="4"/>
      <c r="B1027" s="4"/>
      <c r="C1027" s="4"/>
      <c r="D1027" s="93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</row>
    <row r="1028">
      <c r="A1028" s="4"/>
      <c r="B1028" s="4"/>
      <c r="C1028" s="4"/>
      <c r="D1028" s="93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</row>
    <row r="1029">
      <c r="A1029" s="4"/>
      <c r="B1029" s="4"/>
      <c r="C1029" s="4"/>
      <c r="D1029" s="93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</row>
    <row r="1030">
      <c r="A1030" s="4"/>
      <c r="B1030" s="4"/>
      <c r="C1030" s="4"/>
      <c r="D1030" s="93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</row>
    <row r="1031">
      <c r="A1031" s="4"/>
      <c r="B1031" s="4"/>
      <c r="C1031" s="4"/>
      <c r="D1031" s="93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</row>
    <row r="1032">
      <c r="A1032" s="4"/>
      <c r="B1032" s="4"/>
      <c r="C1032" s="4"/>
      <c r="D1032" s="93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</row>
    <row r="1033">
      <c r="A1033" s="4"/>
      <c r="B1033" s="4"/>
      <c r="C1033" s="4"/>
      <c r="D1033" s="93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</row>
    <row r="1034">
      <c r="A1034" s="4"/>
      <c r="B1034" s="4"/>
      <c r="C1034" s="4"/>
      <c r="D1034" s="93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</row>
    <row r="1035">
      <c r="A1035" s="4"/>
      <c r="B1035" s="4"/>
      <c r="C1035" s="4"/>
      <c r="D1035" s="93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</row>
    <row r="1036">
      <c r="A1036" s="4"/>
      <c r="B1036" s="4"/>
      <c r="C1036" s="4"/>
      <c r="D1036" s="93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</row>
    <row r="1037">
      <c r="A1037" s="4"/>
      <c r="B1037" s="4"/>
      <c r="C1037" s="4"/>
      <c r="D1037" s="93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</row>
    <row r="1038">
      <c r="A1038" s="4"/>
      <c r="B1038" s="4"/>
      <c r="C1038" s="4"/>
      <c r="D1038" s="93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</row>
    <row r="1039">
      <c r="A1039" s="4"/>
      <c r="B1039" s="4"/>
      <c r="C1039" s="4"/>
      <c r="D1039" s="93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</row>
    <row r="1040">
      <c r="A1040" s="4"/>
      <c r="B1040" s="4"/>
      <c r="C1040" s="4"/>
      <c r="D1040" s="93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</row>
    <row r="1041">
      <c r="A1041" s="4"/>
      <c r="B1041" s="4"/>
      <c r="C1041" s="4"/>
      <c r="D1041" s="93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</row>
    <row r="1042">
      <c r="A1042" s="4"/>
      <c r="B1042" s="4"/>
      <c r="C1042" s="4"/>
      <c r="D1042" s="93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</row>
    <row r="1043">
      <c r="A1043" s="4"/>
      <c r="B1043" s="4"/>
      <c r="C1043" s="4"/>
      <c r="D1043" s="93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</row>
    <row r="1044">
      <c r="A1044" s="4"/>
      <c r="B1044" s="4"/>
      <c r="C1044" s="4"/>
      <c r="D1044" s="93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</row>
    <row r="1045">
      <c r="A1045" s="4"/>
      <c r="B1045" s="4"/>
      <c r="C1045" s="4"/>
      <c r="D1045" s="93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</row>
    <row r="1046">
      <c r="A1046" s="4"/>
      <c r="B1046" s="4"/>
      <c r="C1046" s="4"/>
      <c r="D1046" s="93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</row>
    <row r="1047">
      <c r="A1047" s="4"/>
      <c r="B1047" s="4"/>
      <c r="C1047" s="4"/>
      <c r="D1047" s="93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</row>
    <row r="1048">
      <c r="A1048" s="4"/>
      <c r="B1048" s="4"/>
      <c r="C1048" s="4"/>
      <c r="D1048" s="93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</row>
    <row r="1049">
      <c r="A1049" s="4"/>
      <c r="B1049" s="4"/>
      <c r="C1049" s="4"/>
      <c r="D1049" s="93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</row>
    <row r="1050">
      <c r="A1050" s="4"/>
      <c r="B1050" s="4"/>
      <c r="C1050" s="4"/>
      <c r="D1050" s="93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</row>
    <row r="1051">
      <c r="A1051" s="4"/>
      <c r="B1051" s="4"/>
      <c r="C1051" s="4"/>
      <c r="D1051" s="93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</row>
    <row r="1052">
      <c r="A1052" s="4"/>
      <c r="B1052" s="4"/>
      <c r="C1052" s="4"/>
      <c r="D1052" s="93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</row>
    <row r="1053">
      <c r="A1053" s="4"/>
      <c r="B1053" s="4"/>
      <c r="C1053" s="4"/>
      <c r="D1053" s="93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</row>
    <row r="1054">
      <c r="A1054" s="4"/>
      <c r="B1054" s="4"/>
      <c r="C1054" s="4"/>
      <c r="D1054" s="93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</row>
    <row r="1055">
      <c r="A1055" s="4"/>
      <c r="B1055" s="4"/>
      <c r="C1055" s="4"/>
      <c r="D1055" s="93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</row>
    <row r="1056">
      <c r="A1056" s="4"/>
      <c r="B1056" s="4"/>
      <c r="C1056" s="4"/>
      <c r="D1056" s="93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</row>
    <row r="1057">
      <c r="A1057" s="4"/>
      <c r="B1057" s="4"/>
      <c r="C1057" s="4"/>
      <c r="D1057" s="93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</row>
    <row r="1058">
      <c r="A1058" s="4"/>
      <c r="B1058" s="4"/>
      <c r="C1058" s="4"/>
      <c r="D1058" s="93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</row>
    <row r="1059">
      <c r="A1059" s="4"/>
      <c r="B1059" s="4"/>
      <c r="C1059" s="4"/>
      <c r="D1059" s="93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</row>
    <row r="1060">
      <c r="A1060" s="4"/>
      <c r="B1060" s="4"/>
      <c r="C1060" s="4"/>
      <c r="D1060" s="93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</row>
    <row r="1061">
      <c r="A1061" s="4"/>
      <c r="B1061" s="4"/>
      <c r="C1061" s="4"/>
      <c r="D1061" s="93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</row>
    <row r="1062">
      <c r="A1062" s="4"/>
      <c r="B1062" s="4"/>
      <c r="C1062" s="4"/>
      <c r="D1062" s="93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</row>
    <row r="1063">
      <c r="A1063" s="4"/>
      <c r="B1063" s="4"/>
      <c r="C1063" s="4"/>
      <c r="D1063" s="93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</row>
    <row r="1064">
      <c r="A1064" s="4"/>
      <c r="B1064" s="4"/>
      <c r="C1064" s="4"/>
      <c r="D1064" s="93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</row>
    <row r="1065">
      <c r="A1065" s="4"/>
      <c r="B1065" s="4"/>
      <c r="C1065" s="4"/>
      <c r="D1065" s="93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</row>
    <row r="1066">
      <c r="A1066" s="4"/>
      <c r="B1066" s="4"/>
      <c r="C1066" s="4"/>
      <c r="D1066" s="93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</row>
    <row r="1067">
      <c r="A1067" s="4"/>
      <c r="B1067" s="4"/>
      <c r="C1067" s="4"/>
      <c r="D1067" s="93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</row>
    <row r="1068">
      <c r="A1068" s="4"/>
      <c r="B1068" s="4"/>
      <c r="C1068" s="4"/>
      <c r="D1068" s="93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</row>
    <row r="1069">
      <c r="A1069" s="4"/>
      <c r="B1069" s="4"/>
      <c r="C1069" s="4"/>
      <c r="D1069" s="93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</row>
    <row r="1070">
      <c r="A1070" s="4"/>
      <c r="B1070" s="4"/>
      <c r="C1070" s="4"/>
      <c r="D1070" s="93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</row>
    <row r="1071">
      <c r="A1071" s="4"/>
      <c r="B1071" s="4"/>
      <c r="C1071" s="4"/>
      <c r="D1071" s="93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</row>
    <row r="1072">
      <c r="A1072" s="4"/>
      <c r="B1072" s="4"/>
      <c r="C1072" s="4"/>
      <c r="D1072" s="93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</row>
    <row r="1073">
      <c r="A1073" s="4"/>
      <c r="B1073" s="4"/>
      <c r="C1073" s="4"/>
      <c r="D1073" s="93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</row>
    <row r="1074">
      <c r="A1074" s="4"/>
      <c r="B1074" s="4"/>
      <c r="C1074" s="4"/>
      <c r="D1074" s="93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</row>
    <row r="1075">
      <c r="A1075" s="4"/>
      <c r="B1075" s="4"/>
      <c r="C1075" s="4"/>
      <c r="D1075" s="93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</row>
    <row r="1076">
      <c r="A1076" s="4"/>
      <c r="B1076" s="4"/>
      <c r="C1076" s="4"/>
      <c r="D1076" s="93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</row>
    <row r="1077">
      <c r="A1077" s="4"/>
      <c r="B1077" s="4"/>
      <c r="C1077" s="4"/>
      <c r="D1077" s="93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</row>
    <row r="1078">
      <c r="A1078" s="4"/>
      <c r="B1078" s="4"/>
      <c r="C1078" s="4"/>
      <c r="D1078" s="93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</row>
    <row r="1079">
      <c r="A1079" s="4"/>
      <c r="B1079" s="4"/>
      <c r="C1079" s="4"/>
      <c r="D1079" s="93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</row>
    <row r="1080">
      <c r="A1080" s="4"/>
      <c r="B1080" s="4"/>
      <c r="C1080" s="4"/>
      <c r="D1080" s="93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</row>
    <row r="1081">
      <c r="A1081" s="4"/>
      <c r="B1081" s="4"/>
      <c r="C1081" s="4"/>
      <c r="D1081" s="93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</row>
    <row r="1082">
      <c r="A1082" s="4"/>
      <c r="B1082" s="4"/>
      <c r="C1082" s="4"/>
      <c r="D1082" s="93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</row>
    <row r="1083">
      <c r="A1083" s="4"/>
      <c r="B1083" s="4"/>
      <c r="C1083" s="4"/>
      <c r="D1083" s="93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</row>
    <row r="1084">
      <c r="A1084" s="4"/>
      <c r="B1084" s="4"/>
      <c r="C1084" s="4"/>
      <c r="D1084" s="93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</row>
    <row r="1085">
      <c r="A1085" s="4"/>
      <c r="B1085" s="4"/>
      <c r="C1085" s="4"/>
      <c r="D1085" s="93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</row>
    <row r="1086">
      <c r="A1086" s="4"/>
      <c r="B1086" s="4"/>
      <c r="C1086" s="4"/>
      <c r="D1086" s="93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</row>
    <row r="1087">
      <c r="A1087" s="4"/>
      <c r="B1087" s="4"/>
      <c r="C1087" s="4"/>
      <c r="D1087" s="93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</row>
    <row r="1088">
      <c r="A1088" s="4"/>
      <c r="B1088" s="4"/>
      <c r="C1088" s="4"/>
      <c r="D1088" s="93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</row>
    <row r="1089">
      <c r="A1089" s="4"/>
      <c r="B1089" s="4"/>
      <c r="C1089" s="4"/>
      <c r="D1089" s="93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</row>
    <row r="1090">
      <c r="A1090" s="4"/>
      <c r="B1090" s="4"/>
      <c r="C1090" s="4"/>
      <c r="D1090" s="93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</row>
    <row r="1091">
      <c r="A1091" s="4"/>
      <c r="B1091" s="4"/>
      <c r="C1091" s="4"/>
      <c r="D1091" s="93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</row>
    <row r="1092">
      <c r="A1092" s="4"/>
      <c r="B1092" s="4"/>
      <c r="C1092" s="4"/>
      <c r="D1092" s="93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</row>
    <row r="1093">
      <c r="A1093" s="4"/>
      <c r="B1093" s="4"/>
      <c r="C1093" s="4"/>
      <c r="D1093" s="93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</row>
    <row r="1094">
      <c r="A1094" s="4"/>
      <c r="B1094" s="4"/>
      <c r="C1094" s="4"/>
      <c r="D1094" s="93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</row>
    <row r="1095">
      <c r="A1095" s="4"/>
      <c r="B1095" s="4"/>
      <c r="C1095" s="4"/>
      <c r="D1095" s="93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</row>
    <row r="1096">
      <c r="A1096" s="4"/>
      <c r="B1096" s="4"/>
      <c r="C1096" s="4"/>
      <c r="D1096" s="93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</row>
    <row r="1097">
      <c r="A1097" s="4"/>
      <c r="B1097" s="4"/>
      <c r="C1097" s="4"/>
      <c r="D1097" s="93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</row>
    <row r="1098">
      <c r="A1098" s="4"/>
      <c r="B1098" s="4"/>
      <c r="C1098" s="4"/>
      <c r="D1098" s="93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</row>
    <row r="1099">
      <c r="A1099" s="4"/>
      <c r="B1099" s="4"/>
      <c r="C1099" s="4"/>
      <c r="D1099" s="93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</row>
    <row r="1100">
      <c r="A1100" s="4"/>
      <c r="B1100" s="4"/>
      <c r="C1100" s="4"/>
      <c r="D1100" s="93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</row>
    <row r="1101">
      <c r="A1101" s="4"/>
      <c r="B1101" s="4"/>
      <c r="C1101" s="4"/>
      <c r="D1101" s="93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</row>
    <row r="1102">
      <c r="A1102" s="4"/>
      <c r="B1102" s="4"/>
      <c r="C1102" s="4"/>
      <c r="D1102" s="93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</row>
    <row r="1103">
      <c r="A1103" s="4"/>
      <c r="B1103" s="4"/>
      <c r="C1103" s="4"/>
      <c r="D1103" s="93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</row>
    <row r="1104">
      <c r="A1104" s="4"/>
      <c r="B1104" s="4"/>
      <c r="C1104" s="4"/>
      <c r="D1104" s="93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</row>
    <row r="1105">
      <c r="A1105" s="4"/>
      <c r="B1105" s="4"/>
      <c r="C1105" s="4"/>
      <c r="D1105" s="93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</row>
    <row r="1106">
      <c r="A1106" s="4"/>
      <c r="B1106" s="4"/>
      <c r="C1106" s="4"/>
      <c r="D1106" s="93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</row>
    <row r="1107">
      <c r="A1107" s="4"/>
      <c r="B1107" s="4"/>
      <c r="C1107" s="4"/>
      <c r="D1107" s="93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</row>
    <row r="1108">
      <c r="A1108" s="4"/>
      <c r="B1108" s="4"/>
      <c r="C1108" s="4"/>
      <c r="D1108" s="93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</row>
    <row r="1109">
      <c r="A1109" s="4"/>
      <c r="B1109" s="4"/>
      <c r="C1109" s="4"/>
      <c r="D1109" s="93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</row>
    <row r="1110">
      <c r="A1110" s="4"/>
      <c r="B1110" s="4"/>
      <c r="C1110" s="4"/>
      <c r="D1110" s="93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</row>
    <row r="1111">
      <c r="A1111" s="4"/>
      <c r="B1111" s="4"/>
      <c r="C1111" s="4"/>
      <c r="D1111" s="93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</row>
    <row r="1112">
      <c r="A1112" s="4"/>
      <c r="B1112" s="4"/>
      <c r="C1112" s="4"/>
      <c r="D1112" s="93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</row>
    <row r="1113">
      <c r="A1113" s="4"/>
      <c r="B1113" s="4"/>
      <c r="C1113" s="4"/>
      <c r="D1113" s="93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</row>
    <row r="1114">
      <c r="A1114" s="4"/>
      <c r="B1114" s="4"/>
      <c r="C1114" s="4"/>
      <c r="D1114" s="93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</row>
    <row r="1115">
      <c r="A1115" s="4"/>
      <c r="B1115" s="4"/>
      <c r="C1115" s="4"/>
      <c r="D1115" s="93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</row>
    <row r="1116">
      <c r="A1116" s="4"/>
      <c r="B1116" s="4"/>
      <c r="C1116" s="4"/>
      <c r="D1116" s="93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</row>
    <row r="1117">
      <c r="A1117" s="4"/>
      <c r="B1117" s="4"/>
      <c r="C1117" s="4"/>
      <c r="D1117" s="93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</row>
    <row r="1118">
      <c r="A1118" s="4"/>
      <c r="B1118" s="4"/>
      <c r="C1118" s="4"/>
      <c r="D1118" s="93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</row>
    <row r="1119">
      <c r="A1119" s="4"/>
      <c r="B1119" s="4"/>
      <c r="C1119" s="4"/>
      <c r="D1119" s="93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</row>
    <row r="1120">
      <c r="A1120" s="4"/>
      <c r="B1120" s="4"/>
      <c r="C1120" s="4"/>
      <c r="D1120" s="93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</row>
    <row r="1121">
      <c r="A1121" s="4"/>
      <c r="B1121" s="4"/>
      <c r="C1121" s="4"/>
      <c r="D1121" s="93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</row>
    <row r="1122">
      <c r="A1122" s="4"/>
      <c r="B1122" s="4"/>
      <c r="C1122" s="4"/>
      <c r="D1122" s="93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</row>
    <row r="1123">
      <c r="A1123" s="4"/>
      <c r="B1123" s="4"/>
      <c r="C1123" s="4"/>
      <c r="D1123" s="93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</row>
    <row r="1124">
      <c r="A1124" s="4"/>
      <c r="B1124" s="4"/>
      <c r="C1124" s="4"/>
      <c r="D1124" s="93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</row>
    <row r="1125">
      <c r="A1125" s="4"/>
      <c r="B1125" s="4"/>
      <c r="C1125" s="4"/>
      <c r="D1125" s="93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</row>
    <row r="1126">
      <c r="A1126" s="4"/>
      <c r="B1126" s="4"/>
      <c r="C1126" s="4"/>
      <c r="D1126" s="93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</row>
    <row r="1127">
      <c r="A1127" s="4"/>
      <c r="B1127" s="4"/>
      <c r="C1127" s="4"/>
      <c r="D1127" s="93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</row>
    <row r="1128">
      <c r="A1128" s="4"/>
      <c r="B1128" s="4"/>
      <c r="C1128" s="4"/>
      <c r="D1128" s="93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</row>
    <row r="1129">
      <c r="A1129" s="4"/>
      <c r="B1129" s="4"/>
      <c r="C1129" s="4"/>
      <c r="D1129" s="93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</row>
    <row r="1130">
      <c r="A1130" s="4"/>
      <c r="B1130" s="4"/>
      <c r="C1130" s="4"/>
      <c r="D1130" s="93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</row>
    <row r="1131">
      <c r="A1131" s="4"/>
      <c r="B1131" s="4"/>
      <c r="C1131" s="4"/>
      <c r="D1131" s="93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</row>
    <row r="1132">
      <c r="A1132" s="4"/>
      <c r="B1132" s="4"/>
      <c r="C1132" s="4"/>
      <c r="D1132" s="93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</row>
    <row r="1133">
      <c r="A1133" s="4"/>
      <c r="B1133" s="4"/>
      <c r="C1133" s="4"/>
      <c r="D1133" s="93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</row>
    <row r="1134">
      <c r="A1134" s="4"/>
      <c r="B1134" s="4"/>
      <c r="C1134" s="4"/>
      <c r="D1134" s="93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</row>
    <row r="1135">
      <c r="A1135" s="4"/>
      <c r="B1135" s="4"/>
      <c r="C1135" s="4"/>
      <c r="D1135" s="93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</row>
    <row r="1136">
      <c r="A1136" s="4"/>
      <c r="B1136" s="4"/>
      <c r="C1136" s="4"/>
      <c r="D1136" s="93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</row>
    <row r="1137">
      <c r="A1137" s="4"/>
      <c r="B1137" s="4"/>
      <c r="C1137" s="4"/>
      <c r="D1137" s="93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</row>
    <row r="1138">
      <c r="A1138" s="4"/>
      <c r="B1138" s="4"/>
      <c r="C1138" s="4"/>
      <c r="D1138" s="93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</row>
    <row r="1139">
      <c r="A1139" s="4"/>
      <c r="B1139" s="4"/>
      <c r="C1139" s="4"/>
      <c r="D1139" s="93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</row>
    <row r="1140">
      <c r="A1140" s="4"/>
      <c r="B1140" s="4"/>
      <c r="C1140" s="4"/>
      <c r="D1140" s="93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</row>
    <row r="1141">
      <c r="A1141" s="4"/>
      <c r="B1141" s="4"/>
      <c r="C1141" s="4"/>
      <c r="D1141" s="93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</row>
    <row r="1142">
      <c r="A1142" s="4"/>
      <c r="B1142" s="4"/>
      <c r="C1142" s="4"/>
      <c r="D1142" s="93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</row>
    <row r="1143">
      <c r="A1143" s="4"/>
      <c r="B1143" s="4"/>
      <c r="C1143" s="4"/>
      <c r="D1143" s="93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</row>
    <row r="1144">
      <c r="A1144" s="4"/>
      <c r="B1144" s="4"/>
      <c r="C1144" s="4"/>
      <c r="D1144" s="93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</row>
    <row r="1145">
      <c r="A1145" s="4"/>
      <c r="B1145" s="4"/>
      <c r="C1145" s="4"/>
      <c r="D1145" s="93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</row>
    <row r="1146">
      <c r="A1146" s="4"/>
      <c r="B1146" s="4"/>
      <c r="C1146" s="4"/>
      <c r="D1146" s="93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</row>
    <row r="1147">
      <c r="A1147" s="4"/>
      <c r="B1147" s="4"/>
      <c r="C1147" s="4"/>
      <c r="D1147" s="93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</row>
    <row r="1148">
      <c r="A1148" s="4"/>
      <c r="B1148" s="4"/>
      <c r="C1148" s="4"/>
      <c r="D1148" s="93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</row>
    <row r="1149">
      <c r="A1149" s="4"/>
      <c r="B1149" s="4"/>
      <c r="C1149" s="4"/>
      <c r="D1149" s="93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</row>
    <row r="1150">
      <c r="A1150" s="4"/>
      <c r="B1150" s="4"/>
      <c r="C1150" s="4"/>
      <c r="D1150" s="93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</row>
    <row r="1151">
      <c r="A1151" s="4"/>
      <c r="B1151" s="4"/>
      <c r="C1151" s="4"/>
      <c r="D1151" s="93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</row>
    <row r="1152">
      <c r="A1152" s="4"/>
      <c r="B1152" s="4"/>
      <c r="C1152" s="4"/>
      <c r="D1152" s="93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</row>
    <row r="1153">
      <c r="A1153" s="4"/>
      <c r="B1153" s="4"/>
      <c r="C1153" s="4"/>
      <c r="D1153" s="93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</row>
    <row r="1154">
      <c r="A1154" s="4"/>
      <c r="B1154" s="4"/>
      <c r="C1154" s="4"/>
      <c r="D1154" s="93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</row>
    <row r="1155">
      <c r="A1155" s="4"/>
      <c r="B1155" s="4"/>
      <c r="C1155" s="4"/>
      <c r="D1155" s="93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</row>
    <row r="1156">
      <c r="A1156" s="4"/>
      <c r="B1156" s="4"/>
      <c r="C1156" s="4"/>
      <c r="D1156" s="93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</row>
    <row r="1157">
      <c r="A1157" s="4"/>
      <c r="B1157" s="4"/>
      <c r="C1157" s="4"/>
      <c r="D1157" s="93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</row>
    <row r="1158">
      <c r="A1158" s="4"/>
      <c r="B1158" s="4"/>
      <c r="C1158" s="4"/>
      <c r="D1158" s="93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</row>
    <row r="1159">
      <c r="A1159" s="4"/>
      <c r="B1159" s="4"/>
      <c r="C1159" s="4"/>
      <c r="D1159" s="93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</row>
    <row r="1160">
      <c r="A1160" s="4"/>
      <c r="B1160" s="4"/>
      <c r="C1160" s="4"/>
      <c r="D1160" s="93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</row>
    <row r="1161">
      <c r="A1161" s="4"/>
      <c r="B1161" s="4"/>
      <c r="C1161" s="4"/>
      <c r="D1161" s="93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</row>
    <row r="1162">
      <c r="A1162" s="4"/>
      <c r="B1162" s="4"/>
      <c r="C1162" s="4"/>
      <c r="D1162" s="93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</row>
    <row r="1163">
      <c r="A1163" s="4"/>
      <c r="B1163" s="4"/>
      <c r="C1163" s="4"/>
      <c r="D1163" s="93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</row>
    <row r="1164">
      <c r="A1164" s="4"/>
      <c r="B1164" s="4"/>
      <c r="C1164" s="4"/>
      <c r="D1164" s="93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</row>
    <row r="1165">
      <c r="A1165" s="4"/>
      <c r="B1165" s="4"/>
      <c r="C1165" s="4"/>
      <c r="D1165" s="93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</row>
    <row r="1166">
      <c r="A1166" s="4"/>
      <c r="B1166" s="4"/>
      <c r="C1166" s="4"/>
      <c r="D1166" s="93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</row>
    <row r="1167">
      <c r="A1167" s="4"/>
      <c r="B1167" s="4"/>
      <c r="C1167" s="4"/>
      <c r="D1167" s="93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</row>
    <row r="1168">
      <c r="A1168" s="4"/>
      <c r="B1168" s="4"/>
      <c r="C1168" s="4"/>
      <c r="D1168" s="93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</row>
    <row r="1169">
      <c r="A1169" s="4"/>
      <c r="B1169" s="4"/>
      <c r="C1169" s="4"/>
      <c r="D1169" s="93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</row>
    <row r="1170">
      <c r="A1170" s="4"/>
      <c r="B1170" s="4"/>
      <c r="C1170" s="4"/>
      <c r="D1170" s="93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</row>
    <row r="1171">
      <c r="A1171" s="4"/>
      <c r="B1171" s="4"/>
      <c r="C1171" s="4"/>
      <c r="D1171" s="93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</row>
    <row r="1172">
      <c r="A1172" s="4"/>
      <c r="B1172" s="4"/>
      <c r="C1172" s="4"/>
      <c r="D1172" s="93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</row>
    <row r="1173">
      <c r="A1173" s="4"/>
      <c r="B1173" s="4"/>
      <c r="C1173" s="4"/>
      <c r="D1173" s="93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</row>
    <row r="1174">
      <c r="A1174" s="4"/>
      <c r="B1174" s="4"/>
      <c r="C1174" s="4"/>
      <c r="D1174" s="93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</row>
    <row r="1175">
      <c r="A1175" s="4"/>
      <c r="B1175" s="4"/>
      <c r="C1175" s="4"/>
      <c r="D1175" s="93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</row>
    <row r="1176">
      <c r="A1176" s="4"/>
      <c r="B1176" s="4"/>
      <c r="C1176" s="4"/>
      <c r="D1176" s="93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</row>
    <row r="1177">
      <c r="A1177" s="4"/>
      <c r="B1177" s="4"/>
      <c r="C1177" s="4"/>
      <c r="D1177" s="93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</row>
    <row r="1178">
      <c r="A1178" s="4"/>
      <c r="B1178" s="4"/>
      <c r="C1178" s="4"/>
      <c r="D1178" s="93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</row>
    <row r="1179">
      <c r="A1179" s="4"/>
      <c r="B1179" s="4"/>
      <c r="C1179" s="4"/>
      <c r="D1179" s="93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</row>
    <row r="1180">
      <c r="A1180" s="4"/>
      <c r="B1180" s="4"/>
      <c r="C1180" s="4"/>
      <c r="D1180" s="93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</row>
    <row r="1181">
      <c r="A1181" s="4"/>
      <c r="B1181" s="4"/>
      <c r="C1181" s="4"/>
      <c r="D1181" s="93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</row>
    <row r="1182">
      <c r="A1182" s="4"/>
      <c r="B1182" s="4"/>
      <c r="C1182" s="4"/>
      <c r="D1182" s="93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</row>
    <row r="1183">
      <c r="A1183" s="4"/>
      <c r="B1183" s="4"/>
      <c r="C1183" s="4"/>
      <c r="D1183" s="93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</row>
    <row r="1184">
      <c r="A1184" s="4"/>
      <c r="B1184" s="4"/>
      <c r="C1184" s="4"/>
      <c r="D1184" s="93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</row>
    <row r="1185">
      <c r="A1185" s="4"/>
      <c r="B1185" s="4"/>
      <c r="C1185" s="4"/>
      <c r="D1185" s="93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</row>
    <row r="1186">
      <c r="A1186" s="4"/>
      <c r="B1186" s="4"/>
      <c r="C1186" s="4"/>
      <c r="D1186" s="93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</row>
    <row r="1187">
      <c r="A1187" s="4"/>
      <c r="B1187" s="4"/>
      <c r="C1187" s="4"/>
      <c r="D1187" s="93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</row>
    <row r="1188">
      <c r="A1188" s="4"/>
      <c r="B1188" s="4"/>
      <c r="C1188" s="4"/>
      <c r="D1188" s="93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</row>
    <row r="1189">
      <c r="A1189" s="4"/>
      <c r="B1189" s="4"/>
      <c r="C1189" s="4"/>
      <c r="D1189" s="93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</row>
    <row r="1190">
      <c r="A1190" s="4"/>
      <c r="B1190" s="4"/>
      <c r="C1190" s="4"/>
      <c r="D1190" s="93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</row>
    <row r="1191">
      <c r="A1191" s="4"/>
      <c r="B1191" s="4"/>
      <c r="C1191" s="4"/>
      <c r="D1191" s="93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</row>
    <row r="1192">
      <c r="A1192" s="4"/>
      <c r="B1192" s="4"/>
      <c r="C1192" s="4"/>
      <c r="D1192" s="93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</row>
    <row r="1193">
      <c r="A1193" s="4"/>
      <c r="B1193" s="4"/>
      <c r="C1193" s="4"/>
      <c r="D1193" s="93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</row>
    <row r="1194">
      <c r="A1194" s="4"/>
      <c r="B1194" s="4"/>
      <c r="C1194" s="4"/>
      <c r="D1194" s="93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</row>
    <row r="1195">
      <c r="A1195" s="4"/>
      <c r="B1195" s="4"/>
      <c r="C1195" s="4"/>
      <c r="D1195" s="93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</row>
    <row r="1196">
      <c r="A1196" s="4"/>
      <c r="B1196" s="4"/>
      <c r="C1196" s="4"/>
      <c r="D1196" s="93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</row>
    <row r="1197">
      <c r="A1197" s="4"/>
      <c r="B1197" s="4"/>
      <c r="C1197" s="4"/>
      <c r="D1197" s="93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</row>
    <row r="1198">
      <c r="A1198" s="4"/>
      <c r="B1198" s="4"/>
      <c r="C1198" s="4"/>
      <c r="D1198" s="93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</row>
    <row r="1199">
      <c r="A1199" s="4"/>
      <c r="B1199" s="4"/>
      <c r="C1199" s="4"/>
      <c r="D1199" s="93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</row>
    <row r="1200">
      <c r="A1200" s="4"/>
      <c r="B1200" s="4"/>
      <c r="C1200" s="4"/>
      <c r="D1200" s="93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</row>
    <row r="1201">
      <c r="A1201" s="4"/>
      <c r="B1201" s="4"/>
      <c r="C1201" s="4"/>
      <c r="D1201" s="93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</row>
    <row r="1202">
      <c r="A1202" s="4"/>
      <c r="B1202" s="4"/>
      <c r="C1202" s="4"/>
      <c r="D1202" s="93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</row>
    <row r="1203">
      <c r="A1203" s="4"/>
      <c r="B1203" s="4"/>
      <c r="C1203" s="4"/>
      <c r="D1203" s="93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</row>
    <row r="1204">
      <c r="A1204" s="4"/>
      <c r="B1204" s="4"/>
      <c r="C1204" s="4"/>
      <c r="D1204" s="93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</row>
    <row r="1205">
      <c r="A1205" s="4"/>
      <c r="B1205" s="4"/>
      <c r="C1205" s="4"/>
      <c r="D1205" s="93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</row>
    <row r="1206">
      <c r="A1206" s="4"/>
      <c r="B1206" s="4"/>
      <c r="C1206" s="4"/>
      <c r="D1206" s="93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</row>
    <row r="1207">
      <c r="A1207" s="4"/>
      <c r="B1207" s="4"/>
      <c r="C1207" s="4"/>
      <c r="D1207" s="93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</row>
    <row r="1208">
      <c r="A1208" s="4"/>
      <c r="B1208" s="4"/>
      <c r="C1208" s="4"/>
      <c r="D1208" s="93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</row>
    <row r="1209">
      <c r="A1209" s="4"/>
      <c r="B1209" s="4"/>
      <c r="C1209" s="4"/>
      <c r="D1209" s="93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</row>
    <row r="1210">
      <c r="A1210" s="4"/>
      <c r="B1210" s="4"/>
      <c r="C1210" s="4"/>
      <c r="D1210" s="93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</row>
    <row r="1211">
      <c r="A1211" s="4"/>
      <c r="B1211" s="4"/>
      <c r="C1211" s="4"/>
      <c r="D1211" s="93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</row>
    <row r="1212">
      <c r="A1212" s="4"/>
      <c r="B1212" s="4"/>
      <c r="C1212" s="4"/>
      <c r="D1212" s="93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</row>
    <row r="1213">
      <c r="A1213" s="4"/>
      <c r="B1213" s="4"/>
      <c r="C1213" s="4"/>
      <c r="D1213" s="93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</row>
    <row r="1214">
      <c r="A1214" s="4"/>
      <c r="B1214" s="4"/>
      <c r="C1214" s="4"/>
      <c r="D1214" s="93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</row>
    <row r="1215">
      <c r="A1215" s="4"/>
      <c r="B1215" s="4"/>
      <c r="C1215" s="4"/>
      <c r="D1215" s="93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</row>
    <row r="1216">
      <c r="A1216" s="4"/>
      <c r="B1216" s="4"/>
      <c r="C1216" s="4"/>
      <c r="D1216" s="93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</row>
    <row r="1217">
      <c r="A1217" s="4"/>
      <c r="B1217" s="4"/>
      <c r="C1217" s="4"/>
      <c r="D1217" s="93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</row>
    <row r="1218">
      <c r="A1218" s="4"/>
      <c r="B1218" s="4"/>
      <c r="C1218" s="4"/>
      <c r="D1218" s="93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</row>
    <row r="1219">
      <c r="A1219" s="4"/>
      <c r="B1219" s="4"/>
      <c r="C1219" s="4"/>
      <c r="D1219" s="93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</row>
    <row r="1220">
      <c r="A1220" s="4"/>
      <c r="B1220" s="4"/>
      <c r="C1220" s="4"/>
      <c r="D1220" s="93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</row>
    <row r="1221">
      <c r="A1221" s="4"/>
      <c r="B1221" s="4"/>
      <c r="C1221" s="4"/>
      <c r="D1221" s="93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</row>
    <row r="1222">
      <c r="A1222" s="4"/>
      <c r="B1222" s="4"/>
      <c r="C1222" s="4"/>
      <c r="D1222" s="93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</row>
    <row r="1223">
      <c r="A1223" s="4"/>
      <c r="B1223" s="4"/>
      <c r="C1223" s="4"/>
      <c r="D1223" s="93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</row>
    <row r="1224">
      <c r="A1224" s="4"/>
      <c r="B1224" s="4"/>
      <c r="C1224" s="4"/>
      <c r="D1224" s="93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</row>
    <row r="1225">
      <c r="A1225" s="4"/>
      <c r="B1225" s="4"/>
      <c r="C1225" s="4"/>
      <c r="D1225" s="93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</row>
    <row r="1226">
      <c r="A1226" s="4"/>
      <c r="B1226" s="4"/>
      <c r="C1226" s="4"/>
      <c r="D1226" s="93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</row>
    <row r="1227">
      <c r="A1227" s="4"/>
      <c r="B1227" s="4"/>
      <c r="C1227" s="4"/>
      <c r="D1227" s="93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</row>
    <row r="1228">
      <c r="A1228" s="4"/>
      <c r="B1228" s="4"/>
      <c r="C1228" s="4"/>
      <c r="D1228" s="93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</row>
    <row r="1229">
      <c r="A1229" s="4"/>
      <c r="B1229" s="4"/>
      <c r="C1229" s="4"/>
      <c r="D1229" s="93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</row>
    <row r="1230">
      <c r="A1230" s="4"/>
      <c r="B1230" s="4"/>
      <c r="C1230" s="4"/>
      <c r="D1230" s="93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</row>
    <row r="1231">
      <c r="A1231" s="4"/>
      <c r="B1231" s="4"/>
      <c r="C1231" s="4"/>
      <c r="D1231" s="93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</row>
    <row r="1232">
      <c r="A1232" s="4"/>
      <c r="B1232" s="4"/>
      <c r="C1232" s="4"/>
      <c r="D1232" s="93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</row>
    <row r="1233">
      <c r="A1233" s="4"/>
      <c r="B1233" s="4"/>
      <c r="C1233" s="4"/>
      <c r="D1233" s="93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</row>
    <row r="1234">
      <c r="A1234" s="4"/>
      <c r="B1234" s="4"/>
      <c r="C1234" s="4"/>
      <c r="D1234" s="93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</row>
    <row r="1235">
      <c r="A1235" s="4"/>
      <c r="B1235" s="4"/>
      <c r="C1235" s="4"/>
      <c r="D1235" s="93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</row>
    <row r="1236">
      <c r="A1236" s="4"/>
      <c r="B1236" s="4"/>
      <c r="C1236" s="4"/>
      <c r="D1236" s="93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</row>
    <row r="1237">
      <c r="A1237" s="4"/>
      <c r="B1237" s="4"/>
      <c r="C1237" s="4"/>
      <c r="D1237" s="93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</row>
    <row r="1238">
      <c r="A1238" s="4"/>
      <c r="B1238" s="4"/>
      <c r="C1238" s="4"/>
      <c r="D1238" s="93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</row>
    <row r="1239">
      <c r="A1239" s="4"/>
      <c r="B1239" s="4"/>
      <c r="C1239" s="4"/>
      <c r="D1239" s="93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</row>
    <row r="1240">
      <c r="A1240" s="4"/>
      <c r="B1240" s="4"/>
      <c r="C1240" s="4"/>
      <c r="D1240" s="93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</row>
    <row r="1241">
      <c r="A1241" s="4"/>
      <c r="B1241" s="4"/>
      <c r="C1241" s="4"/>
      <c r="D1241" s="93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</row>
    <row r="1242">
      <c r="A1242" s="4"/>
      <c r="B1242" s="4"/>
      <c r="C1242" s="4"/>
      <c r="D1242" s="93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</row>
    <row r="1243">
      <c r="A1243" s="4"/>
      <c r="B1243" s="4"/>
      <c r="C1243" s="4"/>
      <c r="D1243" s="93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</row>
    <row r="1244">
      <c r="A1244" s="4"/>
      <c r="B1244" s="4"/>
      <c r="C1244" s="4"/>
      <c r="D1244" s="93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</row>
    <row r="1245">
      <c r="A1245" s="4"/>
      <c r="B1245" s="4"/>
      <c r="C1245" s="4"/>
      <c r="D1245" s="93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</row>
    <row r="1246">
      <c r="A1246" s="4"/>
      <c r="B1246" s="4"/>
      <c r="C1246" s="4"/>
      <c r="D1246" s="93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</row>
    <row r="1247">
      <c r="A1247" s="4"/>
      <c r="B1247" s="4"/>
      <c r="C1247" s="4"/>
      <c r="D1247" s="93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</row>
    <row r="1248">
      <c r="A1248" s="4"/>
      <c r="B1248" s="4"/>
      <c r="C1248" s="4"/>
      <c r="D1248" s="93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</row>
    <row r="1249">
      <c r="A1249" s="4"/>
      <c r="B1249" s="4"/>
      <c r="C1249" s="4"/>
      <c r="D1249" s="93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</row>
    <row r="1250">
      <c r="A1250" s="4"/>
      <c r="B1250" s="4"/>
      <c r="C1250" s="4"/>
      <c r="D1250" s="93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</row>
    <row r="1251">
      <c r="A1251" s="4"/>
      <c r="B1251" s="4"/>
      <c r="C1251" s="4"/>
      <c r="D1251" s="93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</row>
    <row r="1252">
      <c r="A1252" s="4"/>
      <c r="B1252" s="4"/>
      <c r="C1252" s="4"/>
      <c r="D1252" s="93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</row>
    <row r="1253">
      <c r="A1253" s="4"/>
      <c r="B1253" s="4"/>
      <c r="C1253" s="4"/>
      <c r="D1253" s="93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</row>
    <row r="1254">
      <c r="A1254" s="4"/>
      <c r="B1254" s="4"/>
      <c r="C1254" s="4"/>
      <c r="D1254" s="93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</row>
    <row r="1255">
      <c r="A1255" s="4"/>
      <c r="B1255" s="4"/>
      <c r="C1255" s="4"/>
      <c r="D1255" s="93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</row>
    <row r="1256">
      <c r="A1256" s="4"/>
      <c r="B1256" s="4"/>
      <c r="C1256" s="4"/>
      <c r="D1256" s="93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</row>
    <row r="1257">
      <c r="A1257" s="4"/>
      <c r="B1257" s="4"/>
      <c r="C1257" s="4"/>
      <c r="D1257" s="93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</row>
    <row r="1258">
      <c r="A1258" s="4"/>
      <c r="B1258" s="4"/>
      <c r="C1258" s="4"/>
      <c r="D1258" s="93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</row>
    <row r="1259">
      <c r="A1259" s="4"/>
      <c r="B1259" s="4"/>
      <c r="C1259" s="4"/>
      <c r="D1259" s="93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</row>
    <row r="1260">
      <c r="A1260" s="4"/>
      <c r="B1260" s="4"/>
      <c r="C1260" s="4"/>
      <c r="D1260" s="93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</row>
    <row r="1261">
      <c r="A1261" s="4"/>
      <c r="B1261" s="4"/>
      <c r="C1261" s="4"/>
      <c r="D1261" s="93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</row>
    <row r="1262">
      <c r="A1262" s="4"/>
      <c r="B1262" s="4"/>
      <c r="C1262" s="4"/>
      <c r="D1262" s="93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</row>
    <row r="1263">
      <c r="A1263" s="4"/>
      <c r="B1263" s="4"/>
      <c r="C1263" s="4"/>
      <c r="D1263" s="93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</row>
    <row r="1264">
      <c r="A1264" s="4"/>
      <c r="B1264" s="4"/>
      <c r="C1264" s="4"/>
      <c r="D1264" s="93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</row>
    <row r="1265">
      <c r="A1265" s="4"/>
      <c r="B1265" s="4"/>
      <c r="C1265" s="4"/>
      <c r="D1265" s="93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</row>
    <row r="1266">
      <c r="A1266" s="4"/>
      <c r="B1266" s="4"/>
      <c r="C1266" s="4"/>
      <c r="D1266" s="93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</row>
    <row r="1267">
      <c r="A1267" s="4"/>
      <c r="B1267" s="4"/>
      <c r="C1267" s="4"/>
      <c r="D1267" s="93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</row>
    <row r="1268">
      <c r="A1268" s="4"/>
      <c r="B1268" s="4"/>
      <c r="C1268" s="4"/>
      <c r="D1268" s="93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</row>
    <row r="1269">
      <c r="A1269" s="4"/>
      <c r="B1269" s="4"/>
      <c r="C1269" s="4"/>
      <c r="D1269" s="93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</row>
    <row r="1270">
      <c r="A1270" s="4"/>
      <c r="B1270" s="4"/>
      <c r="C1270" s="4"/>
      <c r="D1270" s="93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</row>
    <row r="1271">
      <c r="A1271" s="4"/>
      <c r="B1271" s="4"/>
      <c r="C1271" s="4"/>
      <c r="D1271" s="93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</row>
    <row r="1272">
      <c r="A1272" s="4"/>
      <c r="B1272" s="4"/>
      <c r="C1272" s="4"/>
      <c r="D1272" s="93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</row>
    <row r="1273">
      <c r="A1273" s="4"/>
      <c r="B1273" s="4"/>
      <c r="C1273" s="4"/>
      <c r="D1273" s="93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</row>
    <row r="1274">
      <c r="A1274" s="4"/>
      <c r="B1274" s="4"/>
      <c r="C1274" s="4"/>
      <c r="D1274" s="93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</row>
    <row r="1275">
      <c r="A1275" s="4"/>
      <c r="B1275" s="4"/>
      <c r="C1275" s="4"/>
      <c r="D1275" s="93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</row>
    <row r="1276">
      <c r="A1276" s="4"/>
      <c r="B1276" s="4"/>
      <c r="C1276" s="4"/>
      <c r="D1276" s="93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</row>
    <row r="1277">
      <c r="A1277" s="4"/>
      <c r="B1277" s="4"/>
      <c r="C1277" s="4"/>
      <c r="D1277" s="93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</row>
    <row r="1278">
      <c r="A1278" s="4"/>
      <c r="B1278" s="4"/>
      <c r="C1278" s="4"/>
      <c r="D1278" s="93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</row>
    <row r="1279">
      <c r="A1279" s="4"/>
      <c r="B1279" s="4"/>
      <c r="C1279" s="4"/>
      <c r="D1279" s="93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</row>
    <row r="1280">
      <c r="A1280" s="4"/>
      <c r="B1280" s="4"/>
      <c r="C1280" s="4"/>
      <c r="D1280" s="93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</row>
    <row r="1281">
      <c r="A1281" s="4"/>
      <c r="B1281" s="4"/>
      <c r="C1281" s="4"/>
      <c r="D1281" s="93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</row>
    <row r="1282">
      <c r="A1282" s="4"/>
      <c r="B1282" s="4"/>
      <c r="C1282" s="4"/>
      <c r="D1282" s="93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</row>
    <row r="1283">
      <c r="A1283" s="4"/>
      <c r="B1283" s="4"/>
      <c r="C1283" s="4"/>
      <c r="D1283" s="93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</row>
    <row r="1284">
      <c r="A1284" s="4"/>
      <c r="B1284" s="4"/>
      <c r="C1284" s="4"/>
      <c r="D1284" s="93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</row>
    <row r="1285">
      <c r="A1285" s="4"/>
      <c r="B1285" s="4"/>
      <c r="C1285" s="4"/>
      <c r="D1285" s="93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</row>
    <row r="1286">
      <c r="A1286" s="4"/>
      <c r="B1286" s="4"/>
      <c r="C1286" s="4"/>
      <c r="D1286" s="93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</row>
    <row r="1287">
      <c r="A1287" s="4"/>
      <c r="B1287" s="4"/>
      <c r="C1287" s="4"/>
      <c r="D1287" s="93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</row>
    <row r="1288">
      <c r="A1288" s="4"/>
      <c r="B1288" s="4"/>
      <c r="C1288" s="4"/>
      <c r="D1288" s="93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</row>
    <row r="1289">
      <c r="A1289" s="4"/>
      <c r="B1289" s="4"/>
      <c r="C1289" s="4"/>
      <c r="D1289" s="93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</row>
    <row r="1290">
      <c r="A1290" s="4"/>
      <c r="B1290" s="4"/>
      <c r="C1290" s="4"/>
      <c r="D1290" s="93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</row>
    <row r="1291">
      <c r="A1291" s="4"/>
      <c r="B1291" s="4"/>
      <c r="C1291" s="4"/>
      <c r="D1291" s="93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</row>
    <row r="1292">
      <c r="A1292" s="4"/>
      <c r="B1292" s="4"/>
      <c r="C1292" s="4"/>
      <c r="D1292" s="93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</row>
    <row r="1293">
      <c r="A1293" s="4"/>
      <c r="B1293" s="4"/>
      <c r="C1293" s="4"/>
      <c r="D1293" s="93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</row>
    <row r="1294">
      <c r="A1294" s="4"/>
      <c r="B1294" s="4"/>
      <c r="C1294" s="4"/>
      <c r="D1294" s="93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</row>
    <row r="1295">
      <c r="A1295" s="4"/>
      <c r="B1295" s="4"/>
      <c r="C1295" s="4"/>
      <c r="D1295" s="93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</row>
    <row r="1296">
      <c r="A1296" s="4"/>
      <c r="B1296" s="4"/>
      <c r="C1296" s="4"/>
      <c r="D1296" s="93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</row>
    <row r="1297">
      <c r="A1297" s="4"/>
      <c r="B1297" s="4"/>
      <c r="C1297" s="4"/>
      <c r="D1297" s="93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</row>
    <row r="1298">
      <c r="A1298" s="4"/>
      <c r="B1298" s="4"/>
      <c r="C1298" s="4"/>
      <c r="D1298" s="93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</row>
    <row r="1299">
      <c r="A1299" s="4"/>
      <c r="B1299" s="4"/>
      <c r="C1299" s="4"/>
      <c r="D1299" s="93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</row>
    <row r="1300">
      <c r="A1300" s="4"/>
      <c r="B1300" s="4"/>
      <c r="C1300" s="4"/>
      <c r="D1300" s="93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</row>
    <row r="1301">
      <c r="A1301" s="4"/>
      <c r="B1301" s="4"/>
      <c r="C1301" s="4"/>
      <c r="D1301" s="93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</row>
    <row r="1302">
      <c r="A1302" s="4"/>
      <c r="B1302" s="4"/>
      <c r="C1302" s="4"/>
      <c r="D1302" s="93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</row>
    <row r="1303">
      <c r="A1303" s="4"/>
      <c r="B1303" s="4"/>
      <c r="C1303" s="4"/>
      <c r="D1303" s="93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</row>
    <row r="1304">
      <c r="A1304" s="4"/>
      <c r="B1304" s="4"/>
      <c r="C1304" s="4"/>
      <c r="D1304" s="93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</row>
    <row r="1305">
      <c r="A1305" s="4"/>
      <c r="B1305" s="4"/>
      <c r="C1305" s="4"/>
      <c r="D1305" s="93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</row>
    <row r="1306">
      <c r="A1306" s="4"/>
      <c r="B1306" s="4"/>
      <c r="C1306" s="4"/>
      <c r="D1306" s="93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</row>
    <row r="1307">
      <c r="A1307" s="4"/>
      <c r="B1307" s="4"/>
      <c r="C1307" s="4"/>
      <c r="D1307" s="93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</row>
    <row r="1308">
      <c r="A1308" s="4"/>
      <c r="B1308" s="4"/>
      <c r="C1308" s="4"/>
      <c r="D1308" s="93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</row>
    <row r="1309">
      <c r="A1309" s="4"/>
      <c r="B1309" s="4"/>
      <c r="C1309" s="4"/>
      <c r="D1309" s="93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</row>
    <row r="1310">
      <c r="A1310" s="4"/>
      <c r="B1310" s="4"/>
      <c r="C1310" s="4"/>
      <c r="D1310" s="93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</row>
    <row r="1311">
      <c r="A1311" s="4"/>
      <c r="B1311" s="4"/>
      <c r="C1311" s="4"/>
      <c r="D1311" s="93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</row>
    <row r="1312">
      <c r="A1312" s="4"/>
      <c r="B1312" s="4"/>
      <c r="C1312" s="4"/>
      <c r="D1312" s="93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</row>
    <row r="1313">
      <c r="A1313" s="4"/>
      <c r="B1313" s="4"/>
      <c r="C1313" s="4"/>
      <c r="D1313" s="93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</row>
    <row r="1314">
      <c r="A1314" s="4"/>
      <c r="B1314" s="4"/>
      <c r="C1314" s="4"/>
      <c r="D1314" s="93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</row>
    <row r="1315">
      <c r="A1315" s="4"/>
      <c r="B1315" s="4"/>
      <c r="C1315" s="4"/>
      <c r="D1315" s="93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</row>
    <row r="1316">
      <c r="A1316" s="4"/>
      <c r="B1316" s="4"/>
      <c r="C1316" s="4"/>
      <c r="D1316" s="93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</row>
    <row r="1317">
      <c r="A1317" s="4"/>
      <c r="B1317" s="4"/>
      <c r="C1317" s="4"/>
      <c r="D1317" s="93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</row>
    <row r="1318">
      <c r="A1318" s="4"/>
      <c r="B1318" s="4"/>
      <c r="C1318" s="4"/>
      <c r="D1318" s="93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</row>
    <row r="1319">
      <c r="A1319" s="4"/>
      <c r="B1319" s="4"/>
      <c r="C1319" s="4"/>
      <c r="D1319" s="93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</row>
    <row r="1320">
      <c r="A1320" s="4"/>
      <c r="B1320" s="4"/>
      <c r="C1320" s="4"/>
      <c r="D1320" s="93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</row>
    <row r="1321">
      <c r="A1321" s="4"/>
      <c r="B1321" s="4"/>
      <c r="C1321" s="4"/>
      <c r="D1321" s="93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</row>
    <row r="1322">
      <c r="A1322" s="4"/>
      <c r="B1322" s="4"/>
      <c r="C1322" s="4"/>
      <c r="D1322" s="93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</row>
    <row r="1323">
      <c r="A1323" s="4"/>
      <c r="B1323" s="4"/>
      <c r="C1323" s="4"/>
      <c r="D1323" s="93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</row>
    <row r="1324">
      <c r="A1324" s="4"/>
      <c r="B1324" s="4"/>
      <c r="C1324" s="4"/>
      <c r="D1324" s="93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</row>
    <row r="1325">
      <c r="A1325" s="4"/>
      <c r="B1325" s="4"/>
      <c r="C1325" s="4"/>
      <c r="D1325" s="93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</row>
    <row r="1326">
      <c r="A1326" s="4"/>
      <c r="B1326" s="4"/>
      <c r="C1326" s="4"/>
      <c r="D1326" s="93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</row>
    <row r="1327">
      <c r="A1327" s="4"/>
      <c r="B1327" s="4"/>
      <c r="C1327" s="4"/>
      <c r="D1327" s="93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</row>
    <row r="1328">
      <c r="A1328" s="4"/>
      <c r="B1328" s="4"/>
      <c r="C1328" s="4"/>
      <c r="D1328" s="93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</row>
    <row r="1329">
      <c r="A1329" s="4"/>
      <c r="B1329" s="4"/>
      <c r="C1329" s="4"/>
      <c r="D1329" s="93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</row>
    <row r="1330">
      <c r="A1330" s="4"/>
      <c r="B1330" s="4"/>
      <c r="C1330" s="4"/>
      <c r="D1330" s="93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</row>
    <row r="1331">
      <c r="A1331" s="4"/>
      <c r="B1331" s="4"/>
      <c r="C1331" s="4"/>
      <c r="D1331" s="93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</row>
    <row r="1332">
      <c r="A1332" s="4"/>
      <c r="B1332" s="4"/>
      <c r="C1332" s="4"/>
      <c r="D1332" s="93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</row>
    <row r="1333">
      <c r="A1333" s="4"/>
      <c r="B1333" s="4"/>
      <c r="C1333" s="4"/>
      <c r="D1333" s="93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</row>
    <row r="1334">
      <c r="A1334" s="4"/>
      <c r="B1334" s="4"/>
      <c r="C1334" s="4"/>
      <c r="D1334" s="93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</row>
    <row r="1335">
      <c r="A1335" s="4"/>
      <c r="B1335" s="4"/>
      <c r="C1335" s="4"/>
      <c r="D1335" s="93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</row>
    <row r="1336">
      <c r="A1336" s="4"/>
      <c r="B1336" s="4"/>
      <c r="C1336" s="4"/>
      <c r="D1336" s="93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</row>
    <row r="1337">
      <c r="A1337" s="4"/>
      <c r="B1337" s="4"/>
      <c r="C1337" s="4"/>
      <c r="D1337" s="93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</row>
    <row r="1338">
      <c r="A1338" s="4"/>
      <c r="B1338" s="4"/>
      <c r="C1338" s="4"/>
      <c r="D1338" s="93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</row>
    <row r="1339">
      <c r="A1339" s="4"/>
      <c r="B1339" s="4"/>
      <c r="C1339" s="4"/>
      <c r="D1339" s="93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</row>
    <row r="1340">
      <c r="A1340" s="4"/>
      <c r="B1340" s="4"/>
      <c r="C1340" s="4"/>
      <c r="D1340" s="93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</row>
    <row r="1341">
      <c r="A1341" s="4"/>
      <c r="B1341" s="4"/>
      <c r="C1341" s="4"/>
      <c r="D1341" s="93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</row>
    <row r="1342">
      <c r="A1342" s="4"/>
      <c r="B1342" s="4"/>
      <c r="C1342" s="4"/>
      <c r="D1342" s="93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</row>
    <row r="1343">
      <c r="A1343" s="4"/>
      <c r="B1343" s="4"/>
      <c r="C1343" s="4"/>
      <c r="D1343" s="93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</row>
    <row r="1344">
      <c r="A1344" s="4"/>
      <c r="B1344" s="4"/>
      <c r="C1344" s="4"/>
      <c r="D1344" s="93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</row>
    <row r="1345">
      <c r="A1345" s="4"/>
      <c r="B1345" s="4"/>
      <c r="C1345" s="4"/>
      <c r="D1345" s="93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</row>
    <row r="1346">
      <c r="A1346" s="4"/>
      <c r="B1346" s="4"/>
      <c r="C1346" s="4"/>
      <c r="D1346" s="93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</row>
    <row r="1347">
      <c r="A1347" s="4"/>
      <c r="B1347" s="4"/>
      <c r="C1347" s="4"/>
      <c r="D1347" s="93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</row>
    <row r="1348">
      <c r="A1348" s="4"/>
      <c r="B1348" s="4"/>
      <c r="C1348" s="4"/>
      <c r="D1348" s="93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</row>
    <row r="1349">
      <c r="A1349" s="4"/>
      <c r="B1349" s="4"/>
      <c r="C1349" s="4"/>
      <c r="D1349" s="93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</row>
    <row r="1350">
      <c r="A1350" s="4"/>
      <c r="B1350" s="4"/>
      <c r="C1350" s="4"/>
      <c r="D1350" s="93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</row>
    <row r="1351">
      <c r="A1351" s="4"/>
      <c r="B1351" s="4"/>
      <c r="C1351" s="4"/>
      <c r="D1351" s="93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</row>
    <row r="1352">
      <c r="A1352" s="4"/>
      <c r="B1352" s="4"/>
      <c r="C1352" s="4"/>
      <c r="D1352" s="93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</row>
    <row r="1353">
      <c r="A1353" s="4"/>
      <c r="B1353" s="4"/>
      <c r="C1353" s="4"/>
      <c r="D1353" s="93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</row>
    <row r="1354">
      <c r="A1354" s="4"/>
      <c r="B1354" s="4"/>
      <c r="C1354" s="4"/>
      <c r="D1354" s="93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</row>
    <row r="1355">
      <c r="A1355" s="4"/>
      <c r="B1355" s="4"/>
      <c r="C1355" s="4"/>
      <c r="D1355" s="93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</row>
    <row r="1356">
      <c r="A1356" s="4"/>
      <c r="B1356" s="4"/>
      <c r="C1356" s="4"/>
      <c r="D1356" s="93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</row>
    <row r="1357">
      <c r="A1357" s="4"/>
      <c r="B1357" s="4"/>
      <c r="C1357" s="4"/>
      <c r="D1357" s="93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</row>
    <row r="1358">
      <c r="A1358" s="4"/>
      <c r="B1358" s="4"/>
      <c r="C1358" s="4"/>
      <c r="D1358" s="93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</row>
    <row r="1359">
      <c r="A1359" s="4"/>
      <c r="B1359" s="4"/>
      <c r="C1359" s="4"/>
      <c r="D1359" s="93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</row>
    <row r="1360">
      <c r="A1360" s="4"/>
      <c r="B1360" s="4"/>
      <c r="C1360" s="4"/>
      <c r="D1360" s="93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</row>
    <row r="1361">
      <c r="A1361" s="4"/>
      <c r="B1361" s="4"/>
      <c r="C1361" s="4"/>
      <c r="D1361" s="93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</row>
    <row r="1362">
      <c r="A1362" s="4"/>
      <c r="B1362" s="4"/>
      <c r="C1362" s="4"/>
      <c r="D1362" s="93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</row>
    <row r="1363">
      <c r="A1363" s="4"/>
      <c r="B1363" s="4"/>
      <c r="C1363" s="4"/>
      <c r="D1363" s="93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</row>
    <row r="1364">
      <c r="A1364" s="4"/>
      <c r="B1364" s="4"/>
      <c r="C1364" s="4"/>
      <c r="D1364" s="93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</row>
    <row r="1365">
      <c r="A1365" s="4"/>
      <c r="B1365" s="4"/>
      <c r="C1365" s="4"/>
      <c r="D1365" s="93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</row>
    <row r="1366">
      <c r="A1366" s="4"/>
      <c r="B1366" s="4"/>
      <c r="C1366" s="4"/>
      <c r="D1366" s="93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</row>
    <row r="1367">
      <c r="A1367" s="4"/>
      <c r="B1367" s="4"/>
      <c r="C1367" s="4"/>
      <c r="D1367" s="93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</row>
    <row r="1368">
      <c r="A1368" s="4"/>
      <c r="B1368" s="4"/>
      <c r="C1368" s="4"/>
      <c r="D1368" s="93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</row>
    <row r="1369">
      <c r="A1369" s="4"/>
      <c r="B1369" s="4"/>
      <c r="C1369" s="4"/>
      <c r="D1369" s="93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</row>
    <row r="1370">
      <c r="A1370" s="4"/>
      <c r="B1370" s="4"/>
      <c r="C1370" s="4"/>
      <c r="D1370" s="93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</row>
    <row r="1371">
      <c r="A1371" s="4"/>
      <c r="B1371" s="4"/>
      <c r="C1371" s="4"/>
      <c r="D1371" s="93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</row>
    <row r="1372">
      <c r="A1372" s="4"/>
      <c r="B1372" s="4"/>
      <c r="C1372" s="4"/>
      <c r="D1372" s="93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</row>
    <row r="1373">
      <c r="A1373" s="4"/>
      <c r="B1373" s="4"/>
      <c r="C1373" s="4"/>
      <c r="D1373" s="93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</row>
    <row r="1374">
      <c r="A1374" s="4"/>
      <c r="B1374" s="4"/>
      <c r="C1374" s="4"/>
      <c r="D1374" s="93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</row>
    <row r="1375">
      <c r="A1375" s="4"/>
      <c r="B1375" s="4"/>
      <c r="C1375" s="4"/>
      <c r="D1375" s="93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</row>
    <row r="1376">
      <c r="A1376" s="4"/>
      <c r="B1376" s="4"/>
      <c r="C1376" s="4"/>
      <c r="D1376" s="93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</row>
    <row r="1377">
      <c r="A1377" s="4"/>
      <c r="B1377" s="4"/>
      <c r="C1377" s="4"/>
      <c r="D1377" s="93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</row>
    <row r="1378">
      <c r="A1378" s="4"/>
      <c r="B1378" s="4"/>
      <c r="C1378" s="4"/>
      <c r="D1378" s="93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</row>
    <row r="1379">
      <c r="A1379" s="4"/>
      <c r="B1379" s="4"/>
      <c r="C1379" s="4"/>
      <c r="D1379" s="93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</row>
    <row r="1380">
      <c r="A1380" s="4"/>
      <c r="B1380" s="4"/>
      <c r="C1380" s="4"/>
      <c r="D1380" s="93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</row>
    <row r="1381">
      <c r="A1381" s="4"/>
      <c r="B1381" s="4"/>
      <c r="C1381" s="4"/>
      <c r="D1381" s="93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</row>
    <row r="1382">
      <c r="A1382" s="4"/>
      <c r="B1382" s="4"/>
      <c r="C1382" s="4"/>
      <c r="D1382" s="93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</row>
    <row r="1383">
      <c r="A1383" s="4"/>
      <c r="B1383" s="4"/>
      <c r="C1383" s="4"/>
      <c r="D1383" s="93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</row>
    <row r="1384">
      <c r="A1384" s="4"/>
      <c r="B1384" s="4"/>
      <c r="C1384" s="4"/>
      <c r="D1384" s="93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</row>
    <row r="1385">
      <c r="A1385" s="4"/>
      <c r="B1385" s="4"/>
      <c r="C1385" s="4"/>
      <c r="D1385" s="93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</row>
    <row r="1386">
      <c r="A1386" s="4"/>
      <c r="B1386" s="4"/>
      <c r="C1386" s="4"/>
      <c r="D1386" s="93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</row>
    <row r="1387">
      <c r="A1387" s="4"/>
      <c r="B1387" s="4"/>
      <c r="C1387" s="4"/>
      <c r="D1387" s="93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</row>
    <row r="1388">
      <c r="A1388" s="4"/>
      <c r="B1388" s="4"/>
      <c r="C1388" s="4"/>
      <c r="D1388" s="93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</row>
    <row r="1389">
      <c r="A1389" s="4"/>
      <c r="B1389" s="4"/>
      <c r="C1389" s="4"/>
      <c r="D1389" s="93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</row>
    <row r="1390">
      <c r="A1390" s="4"/>
      <c r="B1390" s="4"/>
      <c r="C1390" s="4"/>
      <c r="D1390" s="93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</row>
    <row r="1391">
      <c r="A1391" s="4"/>
      <c r="B1391" s="4"/>
      <c r="C1391" s="4"/>
      <c r="D1391" s="93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</row>
    <row r="1392">
      <c r="A1392" s="4"/>
      <c r="B1392" s="4"/>
      <c r="C1392" s="4"/>
      <c r="D1392" s="93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</row>
    <row r="1393">
      <c r="A1393" s="4"/>
      <c r="B1393" s="4"/>
      <c r="C1393" s="4"/>
      <c r="D1393" s="93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</row>
    <row r="1394">
      <c r="A1394" s="4"/>
      <c r="B1394" s="4"/>
      <c r="C1394" s="4"/>
      <c r="D1394" s="93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</row>
    <row r="1395">
      <c r="A1395" s="4"/>
      <c r="B1395" s="4"/>
      <c r="C1395" s="4"/>
      <c r="D1395" s="93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</row>
    <row r="1396">
      <c r="A1396" s="4"/>
      <c r="B1396" s="4"/>
      <c r="C1396" s="4"/>
      <c r="D1396" s="93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</row>
    <row r="1397">
      <c r="A1397" s="4"/>
      <c r="B1397" s="4"/>
      <c r="C1397" s="4"/>
      <c r="D1397" s="93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</row>
    <row r="1398">
      <c r="A1398" s="4"/>
      <c r="B1398" s="4"/>
      <c r="C1398" s="4"/>
      <c r="D1398" s="93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</row>
    <row r="1399">
      <c r="A1399" s="4"/>
      <c r="B1399" s="4"/>
      <c r="C1399" s="4"/>
      <c r="D1399" s="93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</row>
    <row r="1400">
      <c r="A1400" s="4"/>
      <c r="B1400" s="4"/>
      <c r="C1400" s="4"/>
      <c r="D1400" s="93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</row>
    <row r="1401">
      <c r="A1401" s="4"/>
      <c r="B1401" s="4"/>
      <c r="C1401" s="4"/>
      <c r="D1401" s="93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</row>
    <row r="1402">
      <c r="A1402" s="4"/>
      <c r="B1402" s="4"/>
      <c r="C1402" s="4"/>
      <c r="D1402" s="93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</row>
    <row r="1403">
      <c r="A1403" s="4"/>
      <c r="B1403" s="4"/>
      <c r="C1403" s="4"/>
      <c r="D1403" s="93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</row>
    <row r="1404">
      <c r="A1404" s="4"/>
      <c r="B1404" s="4"/>
      <c r="C1404" s="4"/>
      <c r="D1404" s="93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</row>
    <row r="1405">
      <c r="A1405" s="4"/>
      <c r="B1405" s="4"/>
      <c r="C1405" s="4"/>
      <c r="D1405" s="93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</row>
    <row r="1406">
      <c r="A1406" s="4"/>
      <c r="B1406" s="4"/>
      <c r="C1406" s="4"/>
      <c r="D1406" s="93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</row>
    <row r="1407">
      <c r="A1407" s="4"/>
      <c r="B1407" s="4"/>
      <c r="C1407" s="4"/>
      <c r="D1407" s="93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</row>
    <row r="1408">
      <c r="A1408" s="4"/>
      <c r="B1408" s="4"/>
      <c r="C1408" s="4"/>
      <c r="D1408" s="93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</row>
    <row r="1409">
      <c r="A1409" s="4"/>
      <c r="B1409" s="4"/>
      <c r="C1409" s="4"/>
      <c r="D1409" s="93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</row>
    <row r="1410">
      <c r="A1410" s="4"/>
      <c r="B1410" s="4"/>
      <c r="C1410" s="4"/>
      <c r="D1410" s="93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</row>
    <row r="1411">
      <c r="A1411" s="4"/>
      <c r="B1411" s="4"/>
      <c r="C1411" s="4"/>
      <c r="D1411" s="93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</row>
    <row r="1412">
      <c r="A1412" s="4"/>
      <c r="B1412" s="4"/>
      <c r="C1412" s="4"/>
      <c r="D1412" s="93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</row>
    <row r="1413">
      <c r="A1413" s="4"/>
      <c r="B1413" s="4"/>
      <c r="C1413" s="4"/>
      <c r="D1413" s="93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</row>
    <row r="1414">
      <c r="A1414" s="4"/>
      <c r="B1414" s="4"/>
      <c r="C1414" s="4"/>
      <c r="D1414" s="93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</row>
    <row r="1415">
      <c r="A1415" s="4"/>
      <c r="B1415" s="4"/>
      <c r="C1415" s="4"/>
      <c r="D1415" s="93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</row>
    <row r="1416">
      <c r="A1416" s="4"/>
      <c r="B1416" s="4"/>
      <c r="C1416" s="4"/>
      <c r="D1416" s="93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</row>
    <row r="1417">
      <c r="A1417" s="4"/>
      <c r="B1417" s="4"/>
      <c r="C1417" s="4"/>
      <c r="D1417" s="93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</row>
    <row r="1418">
      <c r="A1418" s="4"/>
      <c r="B1418" s="4"/>
      <c r="C1418" s="4"/>
      <c r="D1418" s="93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</row>
    <row r="1419">
      <c r="A1419" s="4"/>
      <c r="B1419" s="4"/>
      <c r="C1419" s="4"/>
      <c r="D1419" s="93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</row>
    <row r="1420">
      <c r="A1420" s="4"/>
      <c r="B1420" s="4"/>
      <c r="C1420" s="4"/>
      <c r="D1420" s="93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</row>
    <row r="1421">
      <c r="A1421" s="4"/>
      <c r="B1421" s="4"/>
      <c r="C1421" s="4"/>
      <c r="D1421" s="93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</row>
    <row r="1422">
      <c r="A1422" s="4"/>
      <c r="B1422" s="4"/>
      <c r="C1422" s="4"/>
      <c r="D1422" s="93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</row>
    <row r="1423">
      <c r="A1423" s="4"/>
      <c r="B1423" s="4"/>
      <c r="C1423" s="4"/>
      <c r="D1423" s="93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</row>
    <row r="1424">
      <c r="A1424" s="4"/>
      <c r="B1424" s="4"/>
      <c r="C1424" s="4"/>
      <c r="D1424" s="93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</row>
    <row r="1425">
      <c r="A1425" s="4"/>
      <c r="B1425" s="4"/>
      <c r="C1425" s="4"/>
      <c r="D1425" s="93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</row>
    <row r="1426">
      <c r="A1426" s="4"/>
      <c r="B1426" s="4"/>
      <c r="C1426" s="4"/>
      <c r="D1426" s="93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</row>
    <row r="1427">
      <c r="A1427" s="4"/>
      <c r="B1427" s="4"/>
      <c r="C1427" s="4"/>
      <c r="D1427" s="93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</row>
    <row r="1428">
      <c r="A1428" s="4"/>
      <c r="B1428" s="4"/>
      <c r="C1428" s="4"/>
      <c r="D1428" s="93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</row>
    <row r="1429">
      <c r="A1429" s="4"/>
      <c r="B1429" s="4"/>
      <c r="C1429" s="4"/>
      <c r="D1429" s="93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</row>
    <row r="1430">
      <c r="A1430" s="4"/>
      <c r="B1430" s="4"/>
      <c r="C1430" s="4"/>
      <c r="D1430" s="93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</row>
    <row r="1431">
      <c r="A1431" s="4"/>
      <c r="B1431" s="4"/>
      <c r="C1431" s="4"/>
      <c r="D1431" s="93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</row>
    <row r="1432">
      <c r="A1432" s="4"/>
      <c r="B1432" s="4"/>
      <c r="C1432" s="4"/>
      <c r="D1432" s="93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</row>
    <row r="1433">
      <c r="A1433" s="4"/>
      <c r="B1433" s="4"/>
      <c r="C1433" s="4"/>
      <c r="D1433" s="93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</row>
    <row r="1434">
      <c r="A1434" s="4"/>
      <c r="B1434" s="4"/>
      <c r="C1434" s="4"/>
      <c r="D1434" s="93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</row>
    <row r="1435">
      <c r="A1435" s="4"/>
      <c r="B1435" s="4"/>
      <c r="C1435" s="4"/>
      <c r="D1435" s="93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</row>
    <row r="1436">
      <c r="A1436" s="4"/>
      <c r="B1436" s="4"/>
      <c r="C1436" s="4"/>
      <c r="D1436" s="93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</row>
    <row r="1437">
      <c r="A1437" s="4"/>
      <c r="B1437" s="4"/>
      <c r="C1437" s="4"/>
      <c r="D1437" s="93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</row>
    <row r="1438">
      <c r="A1438" s="4"/>
      <c r="B1438" s="4"/>
      <c r="C1438" s="4"/>
      <c r="D1438" s="93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</row>
    <row r="1439">
      <c r="A1439" s="4"/>
      <c r="B1439" s="4"/>
      <c r="C1439" s="4"/>
      <c r="D1439" s="93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</row>
    <row r="1440">
      <c r="A1440" s="4"/>
      <c r="B1440" s="4"/>
      <c r="C1440" s="4"/>
      <c r="D1440" s="93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</row>
    <row r="1441">
      <c r="A1441" s="4"/>
      <c r="B1441" s="4"/>
      <c r="C1441" s="4"/>
      <c r="D1441" s="93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</row>
    <row r="1442">
      <c r="A1442" s="4"/>
      <c r="B1442" s="4"/>
      <c r="C1442" s="4"/>
      <c r="D1442" s="93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</row>
    <row r="1443">
      <c r="A1443" s="4"/>
      <c r="B1443" s="4"/>
      <c r="C1443" s="4"/>
      <c r="D1443" s="93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</row>
    <row r="1444">
      <c r="A1444" s="4"/>
      <c r="B1444" s="4"/>
      <c r="C1444" s="4"/>
      <c r="D1444" s="93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</row>
    <row r="1445">
      <c r="A1445" s="4"/>
      <c r="B1445" s="4"/>
      <c r="C1445" s="4"/>
      <c r="D1445" s="93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</row>
    <row r="1446">
      <c r="A1446" s="4"/>
      <c r="B1446" s="4"/>
      <c r="C1446" s="4"/>
      <c r="D1446" s="93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</row>
    <row r="1447">
      <c r="A1447" s="4"/>
      <c r="B1447" s="4"/>
      <c r="C1447" s="4"/>
      <c r="D1447" s="93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</row>
    <row r="1448">
      <c r="A1448" s="4"/>
      <c r="B1448" s="4"/>
      <c r="C1448" s="4"/>
      <c r="D1448" s="93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</row>
    <row r="1449">
      <c r="A1449" s="4"/>
      <c r="B1449" s="4"/>
      <c r="C1449" s="4"/>
      <c r="D1449" s="93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</row>
    <row r="1450">
      <c r="A1450" s="4"/>
      <c r="B1450" s="4"/>
      <c r="C1450" s="4"/>
      <c r="D1450" s="93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</row>
    <row r="1451">
      <c r="A1451" s="4"/>
      <c r="B1451" s="4"/>
      <c r="C1451" s="4"/>
      <c r="D1451" s="93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</row>
    <row r="1452">
      <c r="A1452" s="4"/>
      <c r="B1452" s="4"/>
      <c r="C1452" s="4"/>
      <c r="D1452" s="93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</row>
    <row r="1453">
      <c r="A1453" s="4"/>
      <c r="B1453" s="4"/>
      <c r="C1453" s="4"/>
      <c r="D1453" s="93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</row>
    <row r="1454">
      <c r="A1454" s="4"/>
      <c r="B1454" s="4"/>
      <c r="C1454" s="4"/>
      <c r="D1454" s="93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</row>
    <row r="1455">
      <c r="A1455" s="4"/>
      <c r="B1455" s="4"/>
      <c r="C1455" s="4"/>
      <c r="D1455" s="93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</row>
    <row r="1456">
      <c r="A1456" s="4"/>
      <c r="B1456" s="4"/>
      <c r="C1456" s="4"/>
      <c r="D1456" s="93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</row>
    <row r="1457">
      <c r="A1457" s="4"/>
      <c r="B1457" s="4"/>
      <c r="C1457" s="4"/>
      <c r="D1457" s="93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</row>
    <row r="1458">
      <c r="A1458" s="4"/>
      <c r="B1458" s="4"/>
      <c r="C1458" s="4"/>
      <c r="D1458" s="93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</row>
    <row r="1459">
      <c r="A1459" s="4"/>
      <c r="B1459" s="4"/>
      <c r="C1459" s="4"/>
      <c r="D1459" s="93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</row>
    <row r="1460">
      <c r="A1460" s="4"/>
      <c r="B1460" s="4"/>
      <c r="C1460" s="4"/>
      <c r="D1460" s="93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</row>
    <row r="1461">
      <c r="A1461" s="4"/>
      <c r="B1461" s="4"/>
      <c r="C1461" s="4"/>
      <c r="D1461" s="93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</row>
    <row r="1462">
      <c r="A1462" s="4"/>
      <c r="B1462" s="4"/>
      <c r="C1462" s="4"/>
      <c r="D1462" s="93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</row>
    <row r="1463">
      <c r="A1463" s="4"/>
      <c r="B1463" s="4"/>
      <c r="C1463" s="4"/>
      <c r="D1463" s="93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</row>
    <row r="1464">
      <c r="A1464" s="4"/>
      <c r="B1464" s="4"/>
      <c r="C1464" s="4"/>
      <c r="D1464" s="93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</row>
    <row r="1465">
      <c r="A1465" s="4"/>
      <c r="B1465" s="4"/>
      <c r="C1465" s="4"/>
      <c r="D1465" s="93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</row>
    <row r="1466">
      <c r="A1466" s="4"/>
      <c r="B1466" s="4"/>
      <c r="C1466" s="4"/>
      <c r="D1466" s="93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</row>
    <row r="1467">
      <c r="A1467" s="4"/>
      <c r="B1467" s="4"/>
      <c r="C1467" s="4"/>
      <c r="D1467" s="93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</row>
    <row r="1468">
      <c r="A1468" s="4"/>
      <c r="B1468" s="4"/>
      <c r="C1468" s="4"/>
      <c r="D1468" s="93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</row>
    <row r="1469">
      <c r="A1469" s="4"/>
      <c r="B1469" s="4"/>
      <c r="C1469" s="4"/>
      <c r="D1469" s="93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</row>
    <row r="1470">
      <c r="A1470" s="4"/>
      <c r="B1470" s="4"/>
      <c r="C1470" s="4"/>
      <c r="D1470" s="93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</row>
    <row r="1471">
      <c r="A1471" s="4"/>
      <c r="B1471" s="4"/>
      <c r="C1471" s="4"/>
      <c r="D1471" s="93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</row>
    <row r="1472">
      <c r="A1472" s="4"/>
      <c r="B1472" s="4"/>
      <c r="C1472" s="4"/>
      <c r="D1472" s="93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</row>
    <row r="1473">
      <c r="A1473" s="4"/>
      <c r="B1473" s="4"/>
      <c r="C1473" s="4"/>
      <c r="D1473" s="93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</row>
    <row r="1474">
      <c r="A1474" s="4"/>
      <c r="B1474" s="4"/>
      <c r="C1474" s="4"/>
      <c r="D1474" s="93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</row>
    <row r="1475">
      <c r="A1475" s="4"/>
      <c r="B1475" s="4"/>
      <c r="C1475" s="4"/>
      <c r="D1475" s="93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</row>
    <row r="1476">
      <c r="A1476" s="4"/>
      <c r="B1476" s="4"/>
      <c r="C1476" s="4"/>
      <c r="D1476" s="93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</row>
    <row r="1477">
      <c r="A1477" s="4"/>
      <c r="B1477" s="4"/>
      <c r="C1477" s="4"/>
      <c r="D1477" s="93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</row>
    <row r="1478">
      <c r="A1478" s="4"/>
      <c r="B1478" s="4"/>
      <c r="C1478" s="4"/>
      <c r="D1478" s="93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</row>
    <row r="1479">
      <c r="A1479" s="4"/>
      <c r="B1479" s="4"/>
      <c r="C1479" s="4"/>
      <c r="D1479" s="93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</row>
    <row r="1480">
      <c r="A1480" s="4"/>
      <c r="B1480" s="4"/>
      <c r="C1480" s="4"/>
      <c r="D1480" s="93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</row>
    <row r="1481">
      <c r="A1481" s="4"/>
      <c r="B1481" s="4"/>
      <c r="C1481" s="4"/>
      <c r="D1481" s="93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</row>
    <row r="1482">
      <c r="A1482" s="4"/>
      <c r="B1482" s="4"/>
      <c r="C1482" s="4"/>
      <c r="D1482" s="93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</row>
    <row r="1483">
      <c r="A1483" s="4"/>
      <c r="B1483" s="4"/>
      <c r="C1483" s="4"/>
      <c r="D1483" s="93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</row>
    <row r="1484">
      <c r="A1484" s="4"/>
      <c r="B1484" s="4"/>
      <c r="C1484" s="4"/>
      <c r="D1484" s="93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</row>
    <row r="1485">
      <c r="A1485" s="4"/>
      <c r="B1485" s="4"/>
      <c r="C1485" s="4"/>
      <c r="D1485" s="93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</row>
    <row r="1486">
      <c r="A1486" s="4"/>
      <c r="B1486" s="4"/>
      <c r="C1486" s="4"/>
      <c r="D1486" s="93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</row>
    <row r="1487">
      <c r="A1487" s="4"/>
      <c r="B1487" s="4"/>
      <c r="C1487" s="4"/>
      <c r="D1487" s="93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</row>
    <row r="1488">
      <c r="A1488" s="4"/>
      <c r="B1488" s="4"/>
      <c r="C1488" s="4"/>
      <c r="D1488" s="93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</row>
    <row r="1489">
      <c r="A1489" s="4"/>
      <c r="B1489" s="4"/>
      <c r="C1489" s="4"/>
      <c r="D1489" s="93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</row>
    <row r="1490">
      <c r="A1490" s="4"/>
      <c r="B1490" s="4"/>
      <c r="C1490" s="4"/>
      <c r="D1490" s="93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</row>
    <row r="1491">
      <c r="A1491" s="4"/>
      <c r="B1491" s="4"/>
      <c r="C1491" s="4"/>
      <c r="D1491" s="93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</row>
    <row r="1492">
      <c r="A1492" s="4"/>
      <c r="B1492" s="4"/>
      <c r="C1492" s="4"/>
      <c r="D1492" s="93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</row>
    <row r="1493">
      <c r="A1493" s="4"/>
      <c r="B1493" s="4"/>
      <c r="C1493" s="4"/>
      <c r="D1493" s="93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</row>
    <row r="1494">
      <c r="A1494" s="4"/>
      <c r="B1494" s="4"/>
      <c r="C1494" s="4"/>
      <c r="D1494" s="93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</row>
    <row r="1495">
      <c r="A1495" s="4"/>
      <c r="B1495" s="4"/>
      <c r="C1495" s="4"/>
      <c r="D1495" s="93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</row>
    <row r="1496">
      <c r="A1496" s="4"/>
      <c r="B1496" s="4"/>
      <c r="C1496" s="4"/>
      <c r="D1496" s="93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</row>
    <row r="1497">
      <c r="A1497" s="4"/>
      <c r="B1497" s="4"/>
      <c r="C1497" s="4"/>
      <c r="D1497" s="93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</row>
    <row r="1498">
      <c r="A1498" s="4"/>
      <c r="B1498" s="4"/>
      <c r="C1498" s="4"/>
      <c r="D1498" s="93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</row>
    <row r="1499">
      <c r="A1499" s="4"/>
      <c r="B1499" s="4"/>
      <c r="C1499" s="4"/>
      <c r="D1499" s="93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</row>
    <row r="1500">
      <c r="A1500" s="4"/>
      <c r="B1500" s="4"/>
      <c r="C1500" s="4"/>
      <c r="D1500" s="93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</row>
    <row r="1501">
      <c r="A1501" s="4"/>
      <c r="B1501" s="4"/>
      <c r="C1501" s="4"/>
      <c r="D1501" s="93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</row>
    <row r="1502">
      <c r="A1502" s="4"/>
      <c r="B1502" s="4"/>
      <c r="C1502" s="4"/>
      <c r="D1502" s="93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</row>
    <row r="1503">
      <c r="A1503" s="4"/>
      <c r="B1503" s="4"/>
      <c r="C1503" s="4"/>
      <c r="D1503" s="93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</row>
    <row r="1504">
      <c r="A1504" s="4"/>
      <c r="B1504" s="4"/>
      <c r="C1504" s="4"/>
      <c r="D1504" s="93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</row>
    <row r="1505">
      <c r="A1505" s="4"/>
      <c r="B1505" s="4"/>
      <c r="C1505" s="4"/>
      <c r="D1505" s="93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</row>
    <row r="1506">
      <c r="A1506" s="4"/>
      <c r="B1506" s="4"/>
      <c r="C1506" s="4"/>
      <c r="D1506" s="93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</row>
    <row r="1507">
      <c r="A1507" s="4"/>
      <c r="B1507" s="4"/>
      <c r="C1507" s="4"/>
      <c r="D1507" s="93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</row>
    <row r="1508">
      <c r="A1508" s="4"/>
      <c r="B1508" s="4"/>
      <c r="C1508" s="4"/>
      <c r="D1508" s="93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</row>
    <row r="1509">
      <c r="A1509" s="4"/>
      <c r="B1509" s="4"/>
      <c r="C1509" s="4"/>
      <c r="D1509" s="93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</row>
    <row r="1510">
      <c r="A1510" s="4"/>
      <c r="B1510" s="4"/>
      <c r="C1510" s="4"/>
      <c r="D1510" s="93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</row>
    <row r="1511">
      <c r="A1511" s="4"/>
      <c r="B1511" s="4"/>
      <c r="C1511" s="4"/>
      <c r="D1511" s="93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</row>
    <row r="1512">
      <c r="A1512" s="4"/>
      <c r="B1512" s="4"/>
      <c r="C1512" s="4"/>
      <c r="D1512" s="93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</row>
    <row r="1513">
      <c r="A1513" s="4"/>
      <c r="B1513" s="4"/>
      <c r="C1513" s="4"/>
      <c r="D1513" s="93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</row>
    <row r="1514">
      <c r="A1514" s="4"/>
      <c r="B1514" s="4"/>
      <c r="C1514" s="4"/>
      <c r="D1514" s="93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</row>
    <row r="1515">
      <c r="A1515" s="4"/>
      <c r="B1515" s="4"/>
      <c r="C1515" s="4"/>
      <c r="D1515" s="93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</row>
    <row r="1516">
      <c r="A1516" s="4"/>
      <c r="B1516" s="4"/>
      <c r="C1516" s="4"/>
      <c r="D1516" s="93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</row>
    <row r="1517">
      <c r="A1517" s="4"/>
      <c r="B1517" s="4"/>
      <c r="C1517" s="4"/>
      <c r="D1517" s="93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</row>
    <row r="1518">
      <c r="A1518" s="4"/>
      <c r="B1518" s="4"/>
      <c r="C1518" s="4"/>
      <c r="D1518" s="93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</row>
    <row r="1519">
      <c r="A1519" s="4"/>
      <c r="B1519" s="4"/>
      <c r="C1519" s="4"/>
      <c r="D1519" s="93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</row>
    <row r="1520">
      <c r="A1520" s="4"/>
      <c r="B1520" s="4"/>
      <c r="C1520" s="4"/>
      <c r="D1520" s="93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</row>
    <row r="1521">
      <c r="A1521" s="4"/>
      <c r="B1521" s="4"/>
      <c r="C1521" s="4"/>
      <c r="D1521" s="93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</row>
    <row r="1522">
      <c r="A1522" s="4"/>
      <c r="B1522" s="4"/>
      <c r="C1522" s="4"/>
      <c r="D1522" s="93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</row>
    <row r="1523">
      <c r="A1523" s="4"/>
      <c r="B1523" s="4"/>
      <c r="C1523" s="4"/>
      <c r="D1523" s="93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</row>
    <row r="1524">
      <c r="A1524" s="4"/>
      <c r="B1524" s="4"/>
      <c r="C1524" s="4"/>
      <c r="D1524" s="93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</row>
    <row r="1525">
      <c r="A1525" s="4"/>
      <c r="B1525" s="4"/>
      <c r="C1525" s="4"/>
      <c r="D1525" s="93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</row>
    <row r="1526">
      <c r="A1526" s="4"/>
      <c r="B1526" s="4"/>
      <c r="C1526" s="4"/>
      <c r="D1526" s="93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</row>
    <row r="1527">
      <c r="A1527" s="4"/>
      <c r="B1527" s="4"/>
      <c r="C1527" s="4"/>
      <c r="D1527" s="93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</row>
    <row r="1528">
      <c r="A1528" s="4"/>
      <c r="B1528" s="4"/>
      <c r="C1528" s="4"/>
      <c r="D1528" s="93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</row>
    <row r="1529">
      <c r="A1529" s="4"/>
      <c r="B1529" s="4"/>
      <c r="C1529" s="4"/>
      <c r="D1529" s="93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</row>
    <row r="1530">
      <c r="A1530" s="4"/>
      <c r="B1530" s="4"/>
      <c r="C1530" s="4"/>
      <c r="D1530" s="93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</row>
    <row r="1531">
      <c r="A1531" s="4"/>
      <c r="B1531" s="4"/>
      <c r="C1531" s="4"/>
      <c r="D1531" s="93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</row>
    <row r="1532">
      <c r="A1532" s="4"/>
      <c r="B1532" s="4"/>
      <c r="C1532" s="4"/>
      <c r="D1532" s="93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</row>
    <row r="1533">
      <c r="A1533" s="4"/>
      <c r="B1533" s="4"/>
      <c r="C1533" s="4"/>
      <c r="D1533" s="93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</row>
    <row r="1534">
      <c r="A1534" s="4"/>
      <c r="B1534" s="4"/>
      <c r="C1534" s="4"/>
      <c r="D1534" s="93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</row>
    <row r="1535">
      <c r="A1535" s="4"/>
      <c r="B1535" s="4"/>
      <c r="C1535" s="4"/>
      <c r="D1535" s="93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</row>
    <row r="1536">
      <c r="A1536" s="4"/>
      <c r="B1536" s="4"/>
      <c r="C1536" s="4"/>
      <c r="D1536" s="93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</row>
    <row r="1537">
      <c r="A1537" s="4"/>
      <c r="B1537" s="4"/>
      <c r="C1537" s="4"/>
      <c r="D1537" s="93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</row>
    <row r="1538">
      <c r="A1538" s="4"/>
      <c r="B1538" s="4"/>
      <c r="C1538" s="4"/>
      <c r="D1538" s="93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</row>
    <row r="1539">
      <c r="A1539" s="4"/>
      <c r="B1539" s="4"/>
      <c r="C1539" s="4"/>
      <c r="D1539" s="93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</row>
    <row r="1540">
      <c r="A1540" s="4"/>
      <c r="B1540" s="4"/>
      <c r="C1540" s="4"/>
      <c r="D1540" s="93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</row>
    <row r="1541">
      <c r="A1541" s="4"/>
      <c r="B1541" s="4"/>
      <c r="C1541" s="4"/>
      <c r="D1541" s="93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</row>
    <row r="1542">
      <c r="A1542" s="4"/>
      <c r="B1542" s="4"/>
      <c r="C1542" s="4"/>
      <c r="D1542" s="93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</row>
    <row r="1543">
      <c r="A1543" s="4"/>
      <c r="B1543" s="4"/>
      <c r="C1543" s="4"/>
      <c r="D1543" s="93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</row>
    <row r="1544">
      <c r="A1544" s="4"/>
      <c r="B1544" s="4"/>
      <c r="C1544" s="4"/>
      <c r="D1544" s="93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</row>
    <row r="1545">
      <c r="A1545" s="4"/>
      <c r="B1545" s="4"/>
      <c r="C1545" s="4"/>
      <c r="D1545" s="93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</row>
    <row r="1546">
      <c r="A1546" s="4"/>
      <c r="B1546" s="4"/>
      <c r="C1546" s="4"/>
      <c r="D1546" s="93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</row>
    <row r="1547">
      <c r="A1547" s="4"/>
      <c r="B1547" s="4"/>
      <c r="C1547" s="4"/>
      <c r="D1547" s="93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</row>
    <row r="1548">
      <c r="A1548" s="4"/>
      <c r="B1548" s="4"/>
      <c r="C1548" s="4"/>
      <c r="D1548" s="93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</row>
    <row r="1549">
      <c r="A1549" s="4"/>
      <c r="B1549" s="4"/>
      <c r="C1549" s="4"/>
      <c r="D1549" s="93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</row>
    <row r="1550">
      <c r="A1550" s="4"/>
      <c r="B1550" s="4"/>
      <c r="C1550" s="4"/>
      <c r="D1550" s="93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</row>
    <row r="1551">
      <c r="A1551" s="4"/>
      <c r="B1551" s="4"/>
      <c r="C1551" s="4"/>
      <c r="D1551" s="93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</row>
    <row r="1552">
      <c r="A1552" s="4"/>
      <c r="B1552" s="4"/>
      <c r="C1552" s="4"/>
      <c r="D1552" s="93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</row>
    <row r="1553">
      <c r="A1553" s="4"/>
      <c r="B1553" s="4"/>
      <c r="C1553" s="4"/>
      <c r="D1553" s="93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</row>
    <row r="1554">
      <c r="A1554" s="4"/>
      <c r="B1554" s="4"/>
      <c r="C1554" s="4"/>
      <c r="D1554" s="93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</row>
    <row r="1555">
      <c r="A1555" s="4"/>
      <c r="B1555" s="4"/>
      <c r="C1555" s="4"/>
      <c r="D1555" s="93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</row>
    <row r="1556">
      <c r="A1556" s="4"/>
      <c r="B1556" s="4"/>
      <c r="C1556" s="4"/>
      <c r="D1556" s="93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</row>
    <row r="1557">
      <c r="A1557" s="4"/>
      <c r="B1557" s="4"/>
      <c r="C1557" s="4"/>
      <c r="D1557" s="93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</row>
    <row r="1558">
      <c r="A1558" s="4"/>
      <c r="B1558" s="4"/>
      <c r="C1558" s="4"/>
      <c r="D1558" s="93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</row>
    <row r="1559">
      <c r="A1559" s="4"/>
      <c r="B1559" s="4"/>
      <c r="C1559" s="4"/>
      <c r="D1559" s="93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</row>
    <row r="1560">
      <c r="A1560" s="4"/>
      <c r="B1560" s="4"/>
      <c r="C1560" s="4"/>
      <c r="D1560" s="93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</row>
    <row r="1561">
      <c r="A1561" s="4"/>
      <c r="B1561" s="4"/>
      <c r="C1561" s="4"/>
      <c r="D1561" s="93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</row>
    <row r="1562">
      <c r="A1562" s="4"/>
      <c r="B1562" s="4"/>
      <c r="C1562" s="4"/>
      <c r="D1562" s="93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</row>
    <row r="1563">
      <c r="A1563" s="4"/>
      <c r="B1563" s="4"/>
      <c r="C1563" s="4"/>
      <c r="D1563" s="93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</row>
    <row r="1564">
      <c r="A1564" s="4"/>
      <c r="B1564" s="4"/>
      <c r="C1564" s="4"/>
      <c r="D1564" s="93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</row>
    <row r="1565">
      <c r="A1565" s="4"/>
      <c r="B1565" s="4"/>
      <c r="C1565" s="4"/>
      <c r="D1565" s="93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</row>
    <row r="1566">
      <c r="A1566" s="4"/>
      <c r="B1566" s="4"/>
      <c r="C1566" s="4"/>
      <c r="D1566" s="93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</row>
    <row r="1567">
      <c r="A1567" s="4"/>
      <c r="B1567" s="4"/>
      <c r="C1567" s="4"/>
      <c r="D1567" s="93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</row>
    <row r="1568">
      <c r="A1568" s="4"/>
      <c r="B1568" s="4"/>
      <c r="C1568" s="4"/>
      <c r="D1568" s="93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</row>
    <row r="1569">
      <c r="A1569" s="4"/>
      <c r="B1569" s="4"/>
      <c r="C1569" s="4"/>
      <c r="D1569" s="93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</row>
    <row r="1570">
      <c r="A1570" s="4"/>
      <c r="B1570" s="4"/>
      <c r="C1570" s="4"/>
      <c r="D1570" s="93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</row>
    <row r="1571">
      <c r="A1571" s="4"/>
      <c r="B1571" s="4"/>
      <c r="C1571" s="4"/>
      <c r="D1571" s="93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</row>
    <row r="1572">
      <c r="A1572" s="4"/>
      <c r="B1572" s="4"/>
      <c r="C1572" s="4"/>
      <c r="D1572" s="93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</row>
    <row r="1573">
      <c r="A1573" s="4"/>
      <c r="B1573" s="4"/>
      <c r="C1573" s="4"/>
      <c r="D1573" s="93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</row>
    <row r="1574">
      <c r="A1574" s="4"/>
      <c r="B1574" s="4"/>
      <c r="C1574" s="4"/>
      <c r="D1574" s="93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</row>
    <row r="1575">
      <c r="A1575" s="4"/>
      <c r="B1575" s="4"/>
      <c r="C1575" s="4"/>
      <c r="D1575" s="93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</row>
    <row r="1576">
      <c r="A1576" s="4"/>
      <c r="B1576" s="4"/>
      <c r="C1576" s="4"/>
      <c r="D1576" s="93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</row>
    <row r="1577">
      <c r="A1577" s="4"/>
      <c r="B1577" s="4"/>
      <c r="C1577" s="4"/>
      <c r="D1577" s="93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</row>
    <row r="1578">
      <c r="A1578" s="4"/>
      <c r="B1578" s="4"/>
      <c r="C1578" s="4"/>
      <c r="D1578" s="93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</row>
    <row r="1579">
      <c r="A1579" s="4"/>
      <c r="B1579" s="4"/>
      <c r="C1579" s="4"/>
      <c r="D1579" s="93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</row>
    <row r="1580">
      <c r="A1580" s="4"/>
      <c r="B1580" s="4"/>
      <c r="C1580" s="4"/>
      <c r="D1580" s="93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</row>
    <row r="1581">
      <c r="A1581" s="4"/>
      <c r="B1581" s="4"/>
      <c r="C1581" s="4"/>
      <c r="D1581" s="93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</row>
    <row r="1582">
      <c r="A1582" s="4"/>
      <c r="B1582" s="4"/>
      <c r="C1582" s="4"/>
      <c r="D1582" s="93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</row>
    <row r="1583">
      <c r="A1583" s="4"/>
      <c r="B1583" s="4"/>
      <c r="C1583" s="4"/>
      <c r="D1583" s="93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</row>
    <row r="1584">
      <c r="A1584" s="4"/>
      <c r="B1584" s="4"/>
      <c r="C1584" s="4"/>
      <c r="D1584" s="93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</row>
    <row r="1585">
      <c r="A1585" s="4"/>
      <c r="B1585" s="4"/>
      <c r="C1585" s="4"/>
      <c r="D1585" s="93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</row>
    <row r="1586">
      <c r="A1586" s="4"/>
      <c r="B1586" s="4"/>
      <c r="C1586" s="4"/>
      <c r="D1586" s="93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</row>
    <row r="1587">
      <c r="A1587" s="4"/>
      <c r="B1587" s="4"/>
      <c r="C1587" s="4"/>
      <c r="D1587" s="93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</row>
    <row r="1588">
      <c r="A1588" s="4"/>
      <c r="B1588" s="4"/>
      <c r="C1588" s="4"/>
      <c r="D1588" s="93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</row>
    <row r="1589">
      <c r="A1589" s="4"/>
      <c r="B1589" s="4"/>
      <c r="C1589" s="4"/>
      <c r="D1589" s="93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</row>
    <row r="1590">
      <c r="A1590" s="4"/>
      <c r="B1590" s="4"/>
      <c r="C1590" s="4"/>
      <c r="D1590" s="93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</row>
    <row r="1591">
      <c r="A1591" s="4"/>
      <c r="B1591" s="4"/>
      <c r="C1591" s="4"/>
      <c r="D1591" s="93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</row>
    <row r="1592">
      <c r="A1592" s="4"/>
      <c r="B1592" s="4"/>
      <c r="C1592" s="4"/>
      <c r="D1592" s="93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</row>
    <row r="1593">
      <c r="A1593" s="4"/>
      <c r="B1593" s="4"/>
      <c r="C1593" s="4"/>
      <c r="D1593" s="93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</row>
    <row r="1594">
      <c r="A1594" s="4"/>
      <c r="B1594" s="4"/>
      <c r="C1594" s="4"/>
      <c r="D1594" s="93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</row>
    <row r="1595">
      <c r="A1595" s="4"/>
      <c r="B1595" s="4"/>
      <c r="C1595" s="4"/>
      <c r="D1595" s="93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</row>
    <row r="1596">
      <c r="A1596" s="4"/>
      <c r="B1596" s="4"/>
      <c r="C1596" s="4"/>
      <c r="D1596" s="93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</row>
    <row r="1597">
      <c r="A1597" s="4"/>
      <c r="B1597" s="4"/>
      <c r="C1597" s="4"/>
      <c r="D1597" s="93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</row>
    <row r="1598">
      <c r="A1598" s="4"/>
      <c r="B1598" s="4"/>
      <c r="C1598" s="4"/>
      <c r="D1598" s="93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</row>
    <row r="1599">
      <c r="A1599" s="4"/>
      <c r="B1599" s="4"/>
      <c r="C1599" s="4"/>
      <c r="D1599" s="93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</row>
    <row r="1600">
      <c r="A1600" s="4"/>
      <c r="B1600" s="4"/>
      <c r="C1600" s="4"/>
      <c r="D1600" s="93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</row>
    <row r="1601">
      <c r="A1601" s="4"/>
      <c r="B1601" s="4"/>
      <c r="C1601" s="4"/>
      <c r="D1601" s="93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</row>
    <row r="1602">
      <c r="A1602" s="4"/>
      <c r="B1602" s="4"/>
      <c r="C1602" s="4"/>
      <c r="D1602" s="93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</row>
    <row r="1603">
      <c r="A1603" s="4"/>
      <c r="B1603" s="4"/>
      <c r="C1603" s="4"/>
      <c r="D1603" s="93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</row>
    <row r="1604">
      <c r="A1604" s="4"/>
      <c r="B1604" s="4"/>
      <c r="C1604" s="4"/>
      <c r="D1604" s="93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</row>
    <row r="1605">
      <c r="A1605" s="4"/>
      <c r="B1605" s="4"/>
      <c r="C1605" s="4"/>
      <c r="D1605" s="93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</row>
    <row r="1606">
      <c r="A1606" s="4"/>
      <c r="B1606" s="4"/>
      <c r="C1606" s="4"/>
      <c r="D1606" s="93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</row>
    <row r="1607">
      <c r="A1607" s="4"/>
      <c r="B1607" s="4"/>
      <c r="C1607" s="4"/>
      <c r="D1607" s="93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</row>
    <row r="1608">
      <c r="A1608" s="4"/>
      <c r="B1608" s="4"/>
      <c r="C1608" s="4"/>
      <c r="D1608" s="93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</row>
    <row r="1609">
      <c r="A1609" s="4"/>
      <c r="B1609" s="4"/>
      <c r="C1609" s="4"/>
      <c r="D1609" s="93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</row>
    <row r="1610">
      <c r="A1610" s="4"/>
      <c r="B1610" s="4"/>
      <c r="C1610" s="4"/>
      <c r="D1610" s="93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</row>
    <row r="1611">
      <c r="A1611" s="4"/>
      <c r="B1611" s="4"/>
      <c r="C1611" s="4"/>
      <c r="D1611" s="93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</row>
    <row r="1612">
      <c r="A1612" s="4"/>
      <c r="B1612" s="4"/>
      <c r="C1612" s="4"/>
      <c r="D1612" s="93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</row>
    <row r="1613">
      <c r="A1613" s="4"/>
      <c r="B1613" s="4"/>
      <c r="C1613" s="4"/>
      <c r="D1613" s="93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</row>
    <row r="1614">
      <c r="A1614" s="4"/>
      <c r="B1614" s="4"/>
      <c r="C1614" s="4"/>
      <c r="D1614" s="93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</row>
    <row r="1615">
      <c r="A1615" s="4"/>
      <c r="B1615" s="4"/>
      <c r="C1615" s="4"/>
      <c r="D1615" s="93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</row>
    <row r="1616">
      <c r="A1616" s="4"/>
      <c r="B1616" s="4"/>
      <c r="C1616" s="4"/>
      <c r="D1616" s="93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</row>
    <row r="1617">
      <c r="A1617" s="4"/>
      <c r="B1617" s="4"/>
      <c r="C1617" s="4"/>
      <c r="D1617" s="93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</row>
    <row r="1618">
      <c r="A1618" s="4"/>
      <c r="B1618" s="4"/>
      <c r="C1618" s="4"/>
      <c r="D1618" s="93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</row>
    <row r="1619">
      <c r="A1619" s="4"/>
      <c r="B1619" s="4"/>
      <c r="C1619" s="4"/>
      <c r="D1619" s="93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</row>
    <row r="1620">
      <c r="A1620" s="4"/>
      <c r="B1620" s="4"/>
      <c r="C1620" s="4"/>
      <c r="D1620" s="93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</row>
    <row r="1621">
      <c r="A1621" s="4"/>
      <c r="B1621" s="4"/>
      <c r="C1621" s="4"/>
      <c r="D1621" s="93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</row>
    <row r="1622">
      <c r="A1622" s="4"/>
      <c r="B1622" s="4"/>
      <c r="C1622" s="4"/>
      <c r="D1622" s="93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</row>
    <row r="1623">
      <c r="A1623" s="4"/>
      <c r="B1623" s="4"/>
      <c r="C1623" s="4"/>
      <c r="D1623" s="93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</row>
    <row r="1624">
      <c r="A1624" s="4"/>
      <c r="B1624" s="4"/>
      <c r="C1624" s="4"/>
      <c r="D1624" s="93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</row>
    <row r="1625">
      <c r="A1625" s="4"/>
      <c r="B1625" s="4"/>
      <c r="C1625" s="4"/>
      <c r="D1625" s="93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</row>
    <row r="1626">
      <c r="A1626" s="4"/>
      <c r="B1626" s="4"/>
      <c r="C1626" s="4"/>
      <c r="D1626" s="93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</row>
    <row r="1627">
      <c r="A1627" s="4"/>
      <c r="B1627" s="4"/>
      <c r="C1627" s="4"/>
      <c r="D1627" s="93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</row>
    <row r="1628">
      <c r="A1628" s="4"/>
      <c r="B1628" s="4"/>
      <c r="C1628" s="4"/>
      <c r="D1628" s="93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</row>
    <row r="1629">
      <c r="A1629" s="4"/>
      <c r="B1629" s="4"/>
      <c r="C1629" s="4"/>
      <c r="D1629" s="93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</row>
    <row r="1630">
      <c r="A1630" s="4"/>
      <c r="B1630" s="4"/>
      <c r="C1630" s="4"/>
      <c r="D1630" s="93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</row>
    <row r="1631">
      <c r="A1631" s="4"/>
      <c r="B1631" s="4"/>
      <c r="C1631" s="4"/>
      <c r="D1631" s="93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</row>
    <row r="1632">
      <c r="A1632" s="4"/>
      <c r="B1632" s="4"/>
      <c r="C1632" s="4"/>
      <c r="D1632" s="93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</row>
    <row r="1633">
      <c r="A1633" s="4"/>
      <c r="B1633" s="4"/>
      <c r="C1633" s="4"/>
      <c r="D1633" s="93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</row>
    <row r="1634">
      <c r="A1634" s="4"/>
      <c r="B1634" s="4"/>
      <c r="C1634" s="4"/>
      <c r="D1634" s="93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</row>
    <row r="1635">
      <c r="A1635" s="4"/>
      <c r="B1635" s="4"/>
      <c r="C1635" s="4"/>
      <c r="D1635" s="93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</row>
    <row r="1636">
      <c r="A1636" s="4"/>
      <c r="B1636" s="4"/>
      <c r="C1636" s="4"/>
      <c r="D1636" s="93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</row>
    <row r="1637">
      <c r="A1637" s="4"/>
      <c r="B1637" s="4"/>
      <c r="C1637" s="4"/>
      <c r="D1637" s="93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</row>
    <row r="1638">
      <c r="A1638" s="4"/>
      <c r="B1638" s="4"/>
      <c r="C1638" s="4"/>
      <c r="D1638" s="93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</row>
    <row r="1639">
      <c r="A1639" s="4"/>
      <c r="B1639" s="4"/>
      <c r="C1639" s="4"/>
      <c r="D1639" s="93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</row>
    <row r="1640">
      <c r="A1640" s="4"/>
      <c r="B1640" s="4"/>
      <c r="C1640" s="4"/>
      <c r="D1640" s="93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</row>
    <row r="1641">
      <c r="A1641" s="4"/>
      <c r="B1641" s="4"/>
      <c r="C1641" s="4"/>
      <c r="D1641" s="93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</row>
    <row r="1642">
      <c r="A1642" s="4"/>
      <c r="B1642" s="4"/>
      <c r="C1642" s="4"/>
      <c r="D1642" s="93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</row>
    <row r="1643">
      <c r="A1643" s="4"/>
      <c r="B1643" s="4"/>
      <c r="C1643" s="4"/>
      <c r="D1643" s="93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</row>
    <row r="1644">
      <c r="A1644" s="4"/>
      <c r="B1644" s="4"/>
      <c r="C1644" s="4"/>
      <c r="D1644" s="93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</row>
    <row r="1645">
      <c r="A1645" s="4"/>
      <c r="B1645" s="4"/>
      <c r="C1645" s="4"/>
      <c r="D1645" s="93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</row>
    <row r="1646">
      <c r="A1646" s="4"/>
      <c r="B1646" s="4"/>
      <c r="C1646" s="4"/>
      <c r="D1646" s="93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</row>
    <row r="1647">
      <c r="A1647" s="4"/>
      <c r="B1647" s="4"/>
      <c r="C1647" s="4"/>
      <c r="D1647" s="93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</row>
    <row r="1648">
      <c r="A1648" s="4"/>
      <c r="B1648" s="4"/>
      <c r="C1648" s="4"/>
      <c r="D1648" s="93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</row>
    <row r="1649">
      <c r="A1649" s="4"/>
      <c r="B1649" s="4"/>
      <c r="C1649" s="4"/>
      <c r="D1649" s="93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</row>
    <row r="1650">
      <c r="A1650" s="4"/>
      <c r="B1650" s="4"/>
      <c r="C1650" s="4"/>
      <c r="D1650" s="93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</row>
    <row r="1651">
      <c r="A1651" s="4"/>
      <c r="B1651" s="4"/>
      <c r="C1651" s="4"/>
      <c r="D1651" s="93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</row>
    <row r="1652">
      <c r="A1652" s="4"/>
      <c r="B1652" s="4"/>
      <c r="C1652" s="4"/>
      <c r="D1652" s="93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</row>
    <row r="1653">
      <c r="A1653" s="4"/>
      <c r="B1653" s="4"/>
      <c r="C1653" s="4"/>
      <c r="D1653" s="93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</row>
    <row r="1654">
      <c r="A1654" s="4"/>
      <c r="B1654" s="4"/>
      <c r="C1654" s="4"/>
      <c r="D1654" s="93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</row>
    <row r="1655">
      <c r="A1655" s="4"/>
      <c r="B1655" s="4"/>
      <c r="C1655" s="4"/>
      <c r="D1655" s="93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</row>
    <row r="1656">
      <c r="A1656" s="4"/>
      <c r="B1656" s="4"/>
      <c r="C1656" s="4"/>
      <c r="D1656" s="93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</row>
    <row r="1657">
      <c r="A1657" s="4"/>
      <c r="B1657" s="4"/>
      <c r="C1657" s="4"/>
      <c r="D1657" s="93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</row>
    <row r="1658">
      <c r="A1658" s="4"/>
      <c r="B1658" s="4"/>
      <c r="C1658" s="4"/>
      <c r="D1658" s="93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</row>
    <row r="1659">
      <c r="A1659" s="4"/>
      <c r="B1659" s="4"/>
      <c r="C1659" s="4"/>
      <c r="D1659" s="93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</row>
    <row r="1660">
      <c r="A1660" s="4"/>
      <c r="B1660" s="4"/>
      <c r="C1660" s="4"/>
      <c r="D1660" s="93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</row>
    <row r="1661">
      <c r="A1661" s="4"/>
      <c r="B1661" s="4"/>
      <c r="C1661" s="4"/>
      <c r="D1661" s="93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</row>
    <row r="1662">
      <c r="A1662" s="4"/>
      <c r="B1662" s="4"/>
      <c r="C1662" s="4"/>
      <c r="D1662" s="93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</row>
    <row r="1663">
      <c r="A1663" s="4"/>
      <c r="B1663" s="4"/>
      <c r="C1663" s="4"/>
      <c r="D1663" s="93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</row>
    <row r="1664">
      <c r="A1664" s="4"/>
      <c r="B1664" s="4"/>
      <c r="C1664" s="4"/>
      <c r="D1664" s="93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</row>
    <row r="1665">
      <c r="A1665" s="4"/>
      <c r="B1665" s="4"/>
      <c r="C1665" s="4"/>
      <c r="D1665" s="93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</row>
    <row r="1666">
      <c r="A1666" s="4"/>
      <c r="B1666" s="4"/>
      <c r="C1666" s="4"/>
      <c r="D1666" s="93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</row>
    <row r="1667">
      <c r="A1667" s="4"/>
      <c r="B1667" s="4"/>
      <c r="C1667" s="4"/>
      <c r="D1667" s="93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</row>
    <row r="1668">
      <c r="A1668" s="4"/>
      <c r="B1668" s="4"/>
      <c r="C1668" s="4"/>
      <c r="D1668" s="93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</row>
    <row r="1669">
      <c r="A1669" s="4"/>
      <c r="B1669" s="4"/>
      <c r="C1669" s="4"/>
      <c r="D1669" s="93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</row>
    <row r="1670">
      <c r="A1670" s="4"/>
      <c r="B1670" s="4"/>
      <c r="C1670" s="4"/>
      <c r="D1670" s="93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</row>
    <row r="1671">
      <c r="A1671" s="4"/>
      <c r="B1671" s="4"/>
      <c r="C1671" s="4"/>
      <c r="D1671" s="93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</row>
    <row r="1672">
      <c r="A1672" s="4"/>
      <c r="B1672" s="4"/>
      <c r="C1672" s="4"/>
      <c r="D1672" s="93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</row>
    <row r="1673">
      <c r="A1673" s="4"/>
      <c r="B1673" s="4"/>
      <c r="C1673" s="4"/>
      <c r="D1673" s="93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</row>
    <row r="1674">
      <c r="A1674" s="4"/>
      <c r="B1674" s="4"/>
      <c r="C1674" s="4"/>
      <c r="D1674" s="93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</row>
    <row r="1675">
      <c r="A1675" s="4"/>
      <c r="B1675" s="4"/>
      <c r="C1675" s="4"/>
      <c r="D1675" s="93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</row>
    <row r="1676">
      <c r="A1676" s="4"/>
      <c r="B1676" s="4"/>
      <c r="C1676" s="4"/>
      <c r="D1676" s="93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</row>
    <row r="1677">
      <c r="A1677" s="4"/>
      <c r="B1677" s="4"/>
      <c r="C1677" s="4"/>
      <c r="D1677" s="93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</row>
    <row r="1678">
      <c r="A1678" s="4"/>
      <c r="B1678" s="4"/>
      <c r="C1678" s="4"/>
      <c r="D1678" s="93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</row>
    <row r="1679">
      <c r="A1679" s="4"/>
      <c r="B1679" s="4"/>
      <c r="C1679" s="4"/>
      <c r="D1679" s="93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</row>
    <row r="1680">
      <c r="A1680" s="4"/>
      <c r="B1680" s="4"/>
      <c r="C1680" s="4"/>
      <c r="D1680" s="93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</row>
    <row r="1681">
      <c r="A1681" s="4"/>
      <c r="B1681" s="4"/>
      <c r="C1681" s="4"/>
      <c r="D1681" s="93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</row>
    <row r="1682">
      <c r="A1682" s="4"/>
      <c r="B1682" s="4"/>
      <c r="C1682" s="4"/>
      <c r="D1682" s="93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</row>
    <row r="1683">
      <c r="A1683" s="4"/>
      <c r="B1683" s="4"/>
      <c r="C1683" s="4"/>
      <c r="D1683" s="93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</row>
    <row r="1684">
      <c r="A1684" s="4"/>
      <c r="B1684" s="4"/>
      <c r="C1684" s="4"/>
      <c r="D1684" s="93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</row>
    <row r="1685">
      <c r="A1685" s="4"/>
      <c r="B1685" s="4"/>
      <c r="C1685" s="4"/>
      <c r="D1685" s="93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</row>
    <row r="1686">
      <c r="A1686" s="4"/>
      <c r="B1686" s="4"/>
      <c r="C1686" s="4"/>
      <c r="D1686" s="93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</row>
    <row r="1687">
      <c r="A1687" s="4"/>
      <c r="B1687" s="4"/>
      <c r="C1687" s="4"/>
      <c r="D1687" s="93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</row>
    <row r="1688">
      <c r="A1688" s="4"/>
      <c r="B1688" s="4"/>
      <c r="C1688" s="4"/>
      <c r="D1688" s="93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</row>
    <row r="1689">
      <c r="A1689" s="4"/>
      <c r="B1689" s="4"/>
      <c r="C1689" s="4"/>
      <c r="D1689" s="93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</row>
    <row r="1690">
      <c r="A1690" s="4"/>
      <c r="B1690" s="4"/>
      <c r="C1690" s="4"/>
      <c r="D1690" s="93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</row>
    <row r="1691">
      <c r="A1691" s="4"/>
      <c r="B1691" s="4"/>
      <c r="C1691" s="4"/>
      <c r="D1691" s="93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</row>
    <row r="1692">
      <c r="A1692" s="4"/>
      <c r="B1692" s="4"/>
      <c r="C1692" s="4"/>
      <c r="D1692" s="93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</row>
    <row r="1693">
      <c r="A1693" s="4"/>
      <c r="B1693" s="4"/>
      <c r="C1693" s="4"/>
      <c r="D1693" s="93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</row>
    <row r="1694">
      <c r="A1694" s="4"/>
      <c r="B1694" s="4"/>
      <c r="C1694" s="4"/>
      <c r="D1694" s="93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</row>
    <row r="1695">
      <c r="A1695" s="4"/>
      <c r="B1695" s="4"/>
      <c r="C1695" s="4"/>
      <c r="D1695" s="93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</row>
    <row r="1696">
      <c r="A1696" s="4"/>
      <c r="B1696" s="4"/>
      <c r="C1696" s="4"/>
      <c r="D1696" s="93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</row>
    <row r="1697">
      <c r="A1697" s="4"/>
      <c r="B1697" s="4"/>
      <c r="C1697" s="4"/>
      <c r="D1697" s="93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</row>
    <row r="1698">
      <c r="A1698" s="4"/>
      <c r="B1698" s="4"/>
      <c r="C1698" s="4"/>
      <c r="D1698" s="93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</row>
    <row r="1699">
      <c r="A1699" s="4"/>
      <c r="B1699" s="4"/>
      <c r="C1699" s="4"/>
      <c r="D1699" s="93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</row>
    <row r="1700">
      <c r="A1700" s="4"/>
      <c r="B1700" s="4"/>
      <c r="C1700" s="4"/>
      <c r="D1700" s="93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</row>
    <row r="1701">
      <c r="A1701" s="4"/>
      <c r="B1701" s="4"/>
      <c r="C1701" s="4"/>
      <c r="D1701" s="93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</row>
    <row r="1702">
      <c r="A1702" s="4"/>
      <c r="B1702" s="4"/>
      <c r="C1702" s="4"/>
      <c r="D1702" s="93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</row>
    <row r="1703">
      <c r="A1703" s="4"/>
      <c r="B1703" s="4"/>
      <c r="C1703" s="4"/>
      <c r="D1703" s="93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</row>
    <row r="1704">
      <c r="A1704" s="4"/>
      <c r="B1704" s="4"/>
      <c r="C1704" s="4"/>
      <c r="D1704" s="93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</row>
    <row r="1705">
      <c r="A1705" s="4"/>
      <c r="B1705" s="4"/>
      <c r="C1705" s="4"/>
      <c r="D1705" s="93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</row>
    <row r="1706">
      <c r="A1706" s="4"/>
      <c r="B1706" s="4"/>
      <c r="C1706" s="4"/>
      <c r="D1706" s="93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</row>
    <row r="1707">
      <c r="A1707" s="4"/>
      <c r="B1707" s="4"/>
      <c r="C1707" s="4"/>
      <c r="D1707" s="93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</row>
    <row r="1708">
      <c r="A1708" s="4"/>
      <c r="B1708" s="4"/>
      <c r="C1708" s="4"/>
      <c r="D1708" s="93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</row>
    <row r="1709">
      <c r="A1709" s="4"/>
      <c r="B1709" s="4"/>
      <c r="C1709" s="4"/>
      <c r="D1709" s="93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</row>
    <row r="1710">
      <c r="A1710" s="4"/>
      <c r="B1710" s="4"/>
      <c r="C1710" s="4"/>
      <c r="D1710" s="93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</row>
    <row r="1711">
      <c r="A1711" s="4"/>
      <c r="B1711" s="4"/>
      <c r="C1711" s="4"/>
      <c r="D1711" s="93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</row>
    <row r="1712">
      <c r="A1712" s="4"/>
      <c r="B1712" s="4"/>
      <c r="C1712" s="4"/>
      <c r="D1712" s="93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</row>
    <row r="1713">
      <c r="A1713" s="4"/>
      <c r="B1713" s="4"/>
      <c r="C1713" s="4"/>
      <c r="D1713" s="93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</row>
    <row r="1714">
      <c r="A1714" s="4"/>
      <c r="B1714" s="4"/>
      <c r="C1714" s="4"/>
      <c r="D1714" s="93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</row>
    <row r="1715">
      <c r="A1715" s="4"/>
      <c r="B1715" s="4"/>
      <c r="C1715" s="4"/>
      <c r="D1715" s="93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</row>
    <row r="1716">
      <c r="A1716" s="4"/>
      <c r="B1716" s="4"/>
      <c r="C1716" s="4"/>
      <c r="D1716" s="93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</row>
    <row r="1717">
      <c r="A1717" s="4"/>
      <c r="B1717" s="4"/>
      <c r="C1717" s="4"/>
      <c r="D1717" s="93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</row>
    <row r="1718">
      <c r="A1718" s="4"/>
      <c r="B1718" s="4"/>
      <c r="C1718" s="4"/>
      <c r="D1718" s="93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</row>
    <row r="1719">
      <c r="A1719" s="4"/>
      <c r="B1719" s="4"/>
      <c r="C1719" s="4"/>
      <c r="D1719" s="93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</row>
    <row r="1720">
      <c r="A1720" s="4"/>
      <c r="B1720" s="4"/>
      <c r="C1720" s="4"/>
      <c r="D1720" s="93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</row>
    <row r="1721">
      <c r="A1721" s="4"/>
      <c r="B1721" s="4"/>
      <c r="C1721" s="4"/>
      <c r="D1721" s="93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</row>
    <row r="1722">
      <c r="A1722" s="4"/>
      <c r="B1722" s="4"/>
      <c r="C1722" s="4"/>
      <c r="D1722" s="93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</row>
    <row r="1723">
      <c r="A1723" s="4"/>
      <c r="B1723" s="4"/>
      <c r="C1723" s="4"/>
      <c r="D1723" s="93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</row>
    <row r="1724">
      <c r="A1724" s="4"/>
      <c r="B1724" s="4"/>
      <c r="C1724" s="4"/>
      <c r="D1724" s="93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</row>
    <row r="1725">
      <c r="A1725" s="4"/>
      <c r="B1725" s="4"/>
      <c r="C1725" s="4"/>
      <c r="D1725" s="93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</row>
    <row r="1726">
      <c r="A1726" s="4"/>
      <c r="B1726" s="4"/>
      <c r="C1726" s="4"/>
      <c r="D1726" s="93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</row>
    <row r="1727">
      <c r="A1727" s="4"/>
      <c r="B1727" s="4"/>
      <c r="C1727" s="4"/>
      <c r="D1727" s="93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</row>
    <row r="1728">
      <c r="A1728" s="4"/>
      <c r="B1728" s="4"/>
      <c r="C1728" s="4"/>
      <c r="D1728" s="93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</row>
    <row r="1729">
      <c r="A1729" s="4"/>
      <c r="B1729" s="4"/>
      <c r="C1729" s="4"/>
      <c r="D1729" s="93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</row>
    <row r="1730">
      <c r="A1730" s="4"/>
      <c r="B1730" s="4"/>
      <c r="C1730" s="4"/>
      <c r="D1730" s="93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</row>
    <row r="1731">
      <c r="A1731" s="4"/>
      <c r="B1731" s="4"/>
      <c r="C1731" s="4"/>
      <c r="D1731" s="93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</row>
    <row r="1732">
      <c r="A1732" s="4"/>
      <c r="B1732" s="4"/>
      <c r="C1732" s="4"/>
      <c r="D1732" s="93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</row>
    <row r="1733">
      <c r="A1733" s="4"/>
      <c r="B1733" s="4"/>
      <c r="C1733" s="4"/>
      <c r="D1733" s="93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</row>
    <row r="1734">
      <c r="A1734" s="4"/>
      <c r="B1734" s="4"/>
      <c r="C1734" s="4"/>
      <c r="D1734" s="93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</row>
    <row r="1735">
      <c r="A1735" s="4"/>
      <c r="B1735" s="4"/>
      <c r="C1735" s="4"/>
      <c r="D1735" s="93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</row>
    <row r="1736">
      <c r="A1736" s="4"/>
      <c r="B1736" s="4"/>
      <c r="C1736" s="4"/>
      <c r="D1736" s="93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</row>
    <row r="1737">
      <c r="A1737" s="4"/>
      <c r="B1737" s="4"/>
      <c r="C1737" s="4"/>
      <c r="D1737" s="93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</row>
    <row r="1738">
      <c r="A1738" s="4"/>
      <c r="B1738" s="4"/>
      <c r="C1738" s="4"/>
      <c r="D1738" s="93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</row>
    <row r="1739">
      <c r="A1739" s="4"/>
      <c r="B1739" s="4"/>
      <c r="C1739" s="4"/>
      <c r="D1739" s="93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</row>
    <row r="1740">
      <c r="A1740" s="4"/>
      <c r="B1740" s="4"/>
      <c r="C1740" s="4"/>
      <c r="D1740" s="93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</row>
    <row r="1741">
      <c r="A1741" s="4"/>
      <c r="B1741" s="4"/>
      <c r="C1741" s="4"/>
      <c r="D1741" s="93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</row>
    <row r="1742">
      <c r="A1742" s="4"/>
      <c r="B1742" s="4"/>
      <c r="C1742" s="4"/>
      <c r="D1742" s="93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</row>
    <row r="1743">
      <c r="A1743" s="4"/>
      <c r="B1743" s="4"/>
      <c r="C1743" s="4"/>
      <c r="D1743" s="93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</row>
    <row r="1744">
      <c r="A1744" s="4"/>
      <c r="B1744" s="4"/>
      <c r="C1744" s="4"/>
      <c r="D1744" s="93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</row>
    <row r="1745">
      <c r="A1745" s="4"/>
      <c r="B1745" s="4"/>
      <c r="C1745" s="4"/>
      <c r="D1745" s="93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</row>
    <row r="1746">
      <c r="A1746" s="4"/>
      <c r="B1746" s="4"/>
      <c r="C1746" s="4"/>
      <c r="D1746" s="93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</row>
    <row r="1747">
      <c r="A1747" s="4"/>
      <c r="B1747" s="4"/>
      <c r="C1747" s="4"/>
      <c r="D1747" s="93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</row>
    <row r="1748">
      <c r="A1748" s="4"/>
      <c r="B1748" s="4"/>
      <c r="C1748" s="4"/>
      <c r="D1748" s="93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</row>
    <row r="1749">
      <c r="A1749" s="4"/>
      <c r="B1749" s="4"/>
      <c r="C1749" s="4"/>
      <c r="D1749" s="93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</row>
    <row r="1750">
      <c r="A1750" s="4"/>
      <c r="B1750" s="4"/>
      <c r="C1750" s="4"/>
      <c r="D1750" s="93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</row>
    <row r="1751">
      <c r="A1751" s="4"/>
      <c r="B1751" s="4"/>
      <c r="C1751" s="4"/>
      <c r="D1751" s="93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</row>
    <row r="1752">
      <c r="A1752" s="4"/>
      <c r="B1752" s="4"/>
      <c r="C1752" s="4"/>
      <c r="D1752" s="93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</row>
    <row r="1753">
      <c r="A1753" s="4"/>
      <c r="B1753" s="4"/>
      <c r="C1753" s="4"/>
      <c r="D1753" s="93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</row>
    <row r="1754">
      <c r="A1754" s="4"/>
      <c r="B1754" s="4"/>
      <c r="C1754" s="4"/>
      <c r="D1754" s="93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</row>
    <row r="1755">
      <c r="A1755" s="4"/>
      <c r="B1755" s="4"/>
      <c r="C1755" s="4"/>
      <c r="D1755" s="93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</row>
    <row r="1756">
      <c r="A1756" s="4"/>
      <c r="B1756" s="4"/>
      <c r="C1756" s="4"/>
      <c r="D1756" s="93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</row>
    <row r="1757">
      <c r="A1757" s="4"/>
      <c r="B1757" s="4"/>
      <c r="C1757" s="4"/>
      <c r="D1757" s="93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</row>
    <row r="1758">
      <c r="A1758" s="4"/>
      <c r="B1758" s="4"/>
      <c r="C1758" s="4"/>
      <c r="D1758" s="93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</row>
    <row r="1759">
      <c r="A1759" s="4"/>
      <c r="B1759" s="4"/>
      <c r="C1759" s="4"/>
      <c r="D1759" s="93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</row>
    <row r="1760">
      <c r="A1760" s="4"/>
      <c r="B1760" s="4"/>
      <c r="C1760" s="4"/>
      <c r="D1760" s="93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</row>
    <row r="1761">
      <c r="A1761" s="4"/>
      <c r="B1761" s="4"/>
      <c r="C1761" s="4"/>
      <c r="D1761" s="93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</row>
    <row r="1762">
      <c r="A1762" s="4"/>
      <c r="B1762" s="4"/>
      <c r="C1762" s="4"/>
      <c r="D1762" s="93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</row>
    <row r="1763">
      <c r="A1763" s="4"/>
      <c r="B1763" s="4"/>
      <c r="C1763" s="4"/>
      <c r="D1763" s="93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</row>
    <row r="1764">
      <c r="A1764" s="4"/>
      <c r="B1764" s="4"/>
      <c r="C1764" s="4"/>
      <c r="D1764" s="93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</row>
    <row r="1765">
      <c r="A1765" s="4"/>
      <c r="B1765" s="4"/>
      <c r="C1765" s="4"/>
      <c r="D1765" s="93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</row>
    <row r="1766">
      <c r="A1766" s="4"/>
      <c r="B1766" s="4"/>
      <c r="C1766" s="4"/>
      <c r="D1766" s="93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</row>
    <row r="1767">
      <c r="A1767" s="4"/>
      <c r="B1767" s="4"/>
      <c r="C1767" s="4"/>
      <c r="D1767" s="93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</row>
    <row r="1768">
      <c r="A1768" s="4"/>
      <c r="B1768" s="4"/>
      <c r="C1768" s="4"/>
      <c r="D1768" s="93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</row>
    <row r="1769">
      <c r="A1769" s="4"/>
      <c r="B1769" s="4"/>
      <c r="C1769" s="4"/>
      <c r="D1769" s="93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</row>
    <row r="1770">
      <c r="A1770" s="4"/>
      <c r="B1770" s="4"/>
      <c r="C1770" s="4"/>
      <c r="D1770" s="93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</row>
    <row r="1771">
      <c r="A1771" s="4"/>
      <c r="B1771" s="4"/>
      <c r="C1771" s="4"/>
      <c r="D1771" s="93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</row>
    <row r="1772">
      <c r="A1772" s="4"/>
      <c r="B1772" s="4"/>
      <c r="C1772" s="4"/>
      <c r="D1772" s="93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</row>
    <row r="1773">
      <c r="A1773" s="4"/>
      <c r="B1773" s="4"/>
      <c r="C1773" s="4"/>
      <c r="D1773" s="93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</row>
    <row r="1774">
      <c r="A1774" s="4"/>
      <c r="B1774" s="4"/>
      <c r="C1774" s="4"/>
      <c r="D1774" s="93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</row>
    <row r="1775">
      <c r="A1775" s="4"/>
      <c r="B1775" s="4"/>
      <c r="C1775" s="4"/>
      <c r="D1775" s="93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</row>
    <row r="1776">
      <c r="A1776" s="4"/>
      <c r="B1776" s="4"/>
      <c r="C1776" s="4"/>
      <c r="D1776" s="93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</row>
    <row r="1777">
      <c r="A1777" s="4"/>
      <c r="B1777" s="4"/>
      <c r="C1777" s="4"/>
      <c r="D1777" s="93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</row>
    <row r="1778">
      <c r="A1778" s="4"/>
      <c r="B1778" s="4"/>
      <c r="C1778" s="4"/>
      <c r="D1778" s="93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</row>
    <row r="1779">
      <c r="A1779" s="4"/>
      <c r="B1779" s="4"/>
      <c r="C1779" s="4"/>
      <c r="D1779" s="93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</row>
    <row r="1780">
      <c r="A1780" s="4"/>
      <c r="B1780" s="4"/>
      <c r="C1780" s="4"/>
      <c r="D1780" s="93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</row>
    <row r="1781">
      <c r="A1781" s="4"/>
      <c r="B1781" s="4"/>
      <c r="C1781" s="4"/>
      <c r="D1781" s="93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</row>
    <row r="1782">
      <c r="A1782" s="4"/>
      <c r="B1782" s="4"/>
      <c r="C1782" s="4"/>
      <c r="D1782" s="93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</row>
    <row r="1783">
      <c r="A1783" s="4"/>
      <c r="B1783" s="4"/>
      <c r="C1783" s="4"/>
      <c r="D1783" s="93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</row>
    <row r="1784">
      <c r="A1784" s="4"/>
      <c r="B1784" s="4"/>
      <c r="C1784" s="4"/>
      <c r="D1784" s="93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</row>
    <row r="1785">
      <c r="A1785" s="4"/>
      <c r="B1785" s="4"/>
      <c r="C1785" s="4"/>
      <c r="D1785" s="93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</row>
    <row r="1786">
      <c r="A1786" s="4"/>
      <c r="B1786" s="4"/>
      <c r="C1786" s="4"/>
      <c r="D1786" s="93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</row>
    <row r="1787">
      <c r="A1787" s="4"/>
      <c r="B1787" s="4"/>
      <c r="C1787" s="4"/>
      <c r="D1787" s="93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</row>
    <row r="1788">
      <c r="A1788" s="4"/>
      <c r="B1788" s="4"/>
      <c r="C1788" s="4"/>
      <c r="D1788" s="93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</row>
    <row r="1789">
      <c r="A1789" s="4"/>
      <c r="B1789" s="4"/>
      <c r="C1789" s="4"/>
      <c r="D1789" s="93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</row>
    <row r="1790">
      <c r="A1790" s="4"/>
      <c r="B1790" s="4"/>
      <c r="C1790" s="4"/>
      <c r="D1790" s="93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</row>
    <row r="1791">
      <c r="A1791" s="4"/>
      <c r="B1791" s="4"/>
      <c r="C1791" s="4"/>
      <c r="D1791" s="93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</row>
    <row r="1792">
      <c r="A1792" s="4"/>
      <c r="B1792" s="4"/>
      <c r="C1792" s="4"/>
      <c r="D1792" s="93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</row>
    <row r="1793">
      <c r="A1793" s="4"/>
      <c r="B1793" s="4"/>
      <c r="C1793" s="4"/>
      <c r="D1793" s="93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</row>
    <row r="1794">
      <c r="A1794" s="4"/>
      <c r="B1794" s="4"/>
      <c r="C1794" s="4"/>
      <c r="D1794" s="93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</row>
    <row r="1795">
      <c r="A1795" s="4"/>
      <c r="B1795" s="4"/>
      <c r="C1795" s="4"/>
      <c r="D1795" s="93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</row>
    <row r="1796">
      <c r="A1796" s="4"/>
      <c r="B1796" s="4"/>
      <c r="C1796" s="4"/>
      <c r="D1796" s="93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</row>
    <row r="1797">
      <c r="A1797" s="4"/>
      <c r="B1797" s="4"/>
      <c r="C1797" s="4"/>
      <c r="D1797" s="93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</row>
    <row r="1798">
      <c r="A1798" s="4"/>
      <c r="B1798" s="4"/>
      <c r="C1798" s="4"/>
      <c r="D1798" s="93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</row>
    <row r="1799">
      <c r="A1799" s="4"/>
      <c r="B1799" s="4"/>
      <c r="C1799" s="4"/>
      <c r="D1799" s="93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</row>
    <row r="1800">
      <c r="A1800" s="4"/>
      <c r="B1800" s="4"/>
      <c r="C1800" s="4"/>
      <c r="D1800" s="93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</row>
    <row r="1801">
      <c r="A1801" s="4"/>
      <c r="B1801" s="4"/>
      <c r="C1801" s="4"/>
      <c r="D1801" s="93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</row>
    <row r="1802">
      <c r="A1802" s="4"/>
      <c r="B1802" s="4"/>
      <c r="C1802" s="4"/>
      <c r="D1802" s="93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</row>
    <row r="1803">
      <c r="A1803" s="4"/>
      <c r="B1803" s="4"/>
      <c r="C1803" s="4"/>
      <c r="D1803" s="93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</row>
    <row r="1804">
      <c r="A1804" s="4"/>
      <c r="B1804" s="4"/>
      <c r="C1804" s="4"/>
      <c r="D1804" s="93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</row>
    <row r="1805">
      <c r="A1805" s="4"/>
      <c r="B1805" s="4"/>
      <c r="C1805" s="4"/>
      <c r="D1805" s="93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</row>
    <row r="1806">
      <c r="A1806" s="4"/>
      <c r="B1806" s="4"/>
      <c r="C1806" s="4"/>
      <c r="D1806" s="93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</row>
    <row r="1807">
      <c r="A1807" s="4"/>
      <c r="B1807" s="4"/>
      <c r="C1807" s="4"/>
      <c r="D1807" s="93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</row>
    <row r="1808">
      <c r="A1808" s="4"/>
      <c r="B1808" s="4"/>
      <c r="C1808" s="4"/>
      <c r="D1808" s="93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</row>
    <row r="1809">
      <c r="A1809" s="4"/>
      <c r="B1809" s="4"/>
      <c r="C1809" s="4"/>
      <c r="D1809" s="93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</row>
    <row r="1810">
      <c r="A1810" s="4"/>
      <c r="B1810" s="4"/>
      <c r="C1810" s="4"/>
      <c r="D1810" s="93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</row>
    <row r="1811">
      <c r="A1811" s="4"/>
      <c r="B1811" s="4"/>
      <c r="C1811" s="4"/>
      <c r="D1811" s="93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</row>
    <row r="1812">
      <c r="A1812" s="4"/>
      <c r="B1812" s="4"/>
      <c r="C1812" s="4"/>
      <c r="D1812" s="93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</row>
    <row r="1813">
      <c r="A1813" s="4"/>
      <c r="B1813" s="4"/>
      <c r="C1813" s="4"/>
      <c r="D1813" s="93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</row>
    <row r="1814">
      <c r="A1814" s="4"/>
      <c r="B1814" s="4"/>
      <c r="C1814" s="4"/>
      <c r="D1814" s="93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</row>
    <row r="1815">
      <c r="A1815" s="4"/>
      <c r="B1815" s="4"/>
      <c r="C1815" s="4"/>
      <c r="D1815" s="93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</row>
    <row r="1816">
      <c r="A1816" s="4"/>
      <c r="B1816" s="4"/>
      <c r="C1816" s="4"/>
      <c r="D1816" s="93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</row>
    <row r="1817">
      <c r="A1817" s="4"/>
      <c r="B1817" s="4"/>
      <c r="C1817" s="4"/>
      <c r="D1817" s="93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</row>
    <row r="1818">
      <c r="A1818" s="4"/>
      <c r="B1818" s="4"/>
      <c r="C1818" s="4"/>
      <c r="D1818" s="93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</row>
    <row r="1819">
      <c r="A1819" s="4"/>
      <c r="B1819" s="4"/>
      <c r="C1819" s="4"/>
      <c r="D1819" s="93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</row>
    <row r="1820">
      <c r="A1820" s="4"/>
      <c r="B1820" s="4"/>
      <c r="C1820" s="4"/>
      <c r="D1820" s="93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</row>
    <row r="1821">
      <c r="A1821" s="4"/>
      <c r="B1821" s="4"/>
      <c r="C1821" s="4"/>
      <c r="D1821" s="93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</row>
    <row r="1822">
      <c r="A1822" s="4"/>
      <c r="B1822" s="4"/>
      <c r="C1822" s="4"/>
      <c r="D1822" s="93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</row>
    <row r="1823">
      <c r="A1823" s="4"/>
      <c r="B1823" s="4"/>
      <c r="C1823" s="4"/>
      <c r="D1823" s="93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</row>
    <row r="1824">
      <c r="A1824" s="4"/>
      <c r="B1824" s="4"/>
      <c r="C1824" s="4"/>
      <c r="D1824" s="93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</row>
    <row r="1825">
      <c r="A1825" s="4"/>
      <c r="B1825" s="4"/>
      <c r="C1825" s="4"/>
      <c r="D1825" s="93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</row>
    <row r="1826">
      <c r="A1826" s="4"/>
      <c r="B1826" s="4"/>
      <c r="C1826" s="4"/>
      <c r="D1826" s="93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</row>
    <row r="1827">
      <c r="A1827" s="4"/>
      <c r="B1827" s="4"/>
      <c r="C1827" s="4"/>
      <c r="D1827" s="93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</row>
    <row r="1828">
      <c r="A1828" s="4"/>
      <c r="B1828" s="4"/>
      <c r="C1828" s="4"/>
      <c r="D1828" s="93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</row>
    <row r="1829">
      <c r="A1829" s="4"/>
      <c r="B1829" s="4"/>
      <c r="C1829" s="4"/>
      <c r="D1829" s="93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</row>
    <row r="1830">
      <c r="A1830" s="4"/>
      <c r="B1830" s="4"/>
      <c r="C1830" s="4"/>
      <c r="D1830" s="93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</row>
    <row r="1831">
      <c r="A1831" s="4"/>
      <c r="B1831" s="4"/>
      <c r="C1831" s="4"/>
      <c r="D1831" s="93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</row>
    <row r="1832">
      <c r="A1832" s="4"/>
      <c r="B1832" s="4"/>
      <c r="C1832" s="4"/>
      <c r="D1832" s="93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</row>
    <row r="1833">
      <c r="A1833" s="4"/>
      <c r="B1833" s="4"/>
      <c r="C1833" s="4"/>
      <c r="D1833" s="93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</row>
    <row r="1834">
      <c r="A1834" s="4"/>
      <c r="B1834" s="4"/>
      <c r="C1834" s="4"/>
      <c r="D1834" s="93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</row>
    <row r="1835">
      <c r="A1835" s="4"/>
      <c r="B1835" s="4"/>
      <c r="C1835" s="4"/>
      <c r="D1835" s="93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</row>
    <row r="1836">
      <c r="A1836" s="4"/>
      <c r="B1836" s="4"/>
      <c r="C1836" s="4"/>
      <c r="D1836" s="93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</row>
    <row r="1837">
      <c r="A1837" s="4"/>
      <c r="B1837" s="4"/>
      <c r="C1837" s="4"/>
      <c r="D1837" s="93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</row>
    <row r="1838">
      <c r="A1838" s="4"/>
      <c r="B1838" s="4"/>
      <c r="C1838" s="4"/>
      <c r="D1838" s="93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</row>
    <row r="1839">
      <c r="A1839" s="4"/>
      <c r="B1839" s="4"/>
      <c r="C1839" s="4"/>
      <c r="D1839" s="93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</row>
    <row r="1840">
      <c r="A1840" s="4"/>
      <c r="B1840" s="4"/>
      <c r="C1840" s="4"/>
      <c r="D1840" s="93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</row>
    <row r="1841">
      <c r="A1841" s="4"/>
      <c r="B1841" s="4"/>
      <c r="C1841" s="4"/>
      <c r="D1841" s="93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</row>
    <row r="1842">
      <c r="A1842" s="4"/>
      <c r="B1842" s="4"/>
      <c r="C1842" s="4"/>
      <c r="D1842" s="93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</row>
    <row r="1843">
      <c r="A1843" s="4"/>
      <c r="B1843" s="4"/>
      <c r="C1843" s="4"/>
      <c r="D1843" s="93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</row>
    <row r="1844">
      <c r="A1844" s="4"/>
      <c r="B1844" s="4"/>
      <c r="C1844" s="4"/>
      <c r="D1844" s="93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</row>
    <row r="1845">
      <c r="A1845" s="4"/>
      <c r="B1845" s="4"/>
      <c r="C1845" s="4"/>
      <c r="D1845" s="93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</row>
    <row r="1846">
      <c r="A1846" s="4"/>
      <c r="B1846" s="4"/>
      <c r="C1846" s="4"/>
      <c r="D1846" s="93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</row>
    <row r="1847">
      <c r="A1847" s="4"/>
      <c r="B1847" s="4"/>
      <c r="C1847" s="4"/>
      <c r="D1847" s="93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</row>
    <row r="1848">
      <c r="A1848" s="4"/>
      <c r="B1848" s="4"/>
      <c r="C1848" s="4"/>
      <c r="D1848" s="93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</row>
    <row r="1849">
      <c r="A1849" s="4"/>
      <c r="B1849" s="4"/>
      <c r="C1849" s="4"/>
      <c r="D1849" s="93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</row>
    <row r="1850">
      <c r="A1850" s="4"/>
      <c r="B1850" s="4"/>
      <c r="C1850" s="4"/>
      <c r="D1850" s="93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</row>
    <row r="1851">
      <c r="A1851" s="4"/>
      <c r="B1851" s="4"/>
      <c r="C1851" s="4"/>
      <c r="D1851" s="93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</row>
    <row r="1852">
      <c r="A1852" s="4"/>
      <c r="B1852" s="4"/>
      <c r="C1852" s="4"/>
      <c r="D1852" s="93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</row>
    <row r="1853">
      <c r="A1853" s="4"/>
      <c r="B1853" s="4"/>
      <c r="C1853" s="4"/>
      <c r="D1853" s="93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</row>
    <row r="1854">
      <c r="A1854" s="4"/>
      <c r="B1854" s="4"/>
      <c r="C1854" s="4"/>
      <c r="D1854" s="93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</row>
    <row r="1855">
      <c r="A1855" s="4"/>
      <c r="B1855" s="4"/>
      <c r="C1855" s="4"/>
      <c r="D1855" s="93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</row>
    <row r="1856">
      <c r="A1856" s="4"/>
      <c r="B1856" s="4"/>
      <c r="C1856" s="4"/>
      <c r="D1856" s="93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</row>
    <row r="1857">
      <c r="A1857" s="4"/>
      <c r="B1857" s="4"/>
      <c r="C1857" s="4"/>
      <c r="D1857" s="93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</row>
    <row r="1858">
      <c r="A1858" s="4"/>
      <c r="B1858" s="4"/>
      <c r="C1858" s="4"/>
      <c r="D1858" s="93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</row>
    <row r="1859">
      <c r="A1859" s="4"/>
      <c r="B1859" s="4"/>
      <c r="C1859" s="4"/>
      <c r="D1859" s="93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</row>
    <row r="1860">
      <c r="A1860" s="4"/>
      <c r="B1860" s="4"/>
      <c r="C1860" s="4"/>
      <c r="D1860" s="93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</row>
    <row r="1861">
      <c r="A1861" s="4"/>
      <c r="B1861" s="4"/>
      <c r="C1861" s="4"/>
      <c r="D1861" s="93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</row>
    <row r="1862">
      <c r="A1862" s="4"/>
      <c r="B1862" s="4"/>
      <c r="C1862" s="4"/>
      <c r="D1862" s="93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</row>
    <row r="1863">
      <c r="A1863" s="4"/>
      <c r="B1863" s="4"/>
      <c r="C1863" s="4"/>
      <c r="D1863" s="93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</row>
    <row r="1864">
      <c r="A1864" s="4"/>
      <c r="B1864" s="4"/>
      <c r="C1864" s="4"/>
      <c r="D1864" s="93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</row>
    <row r="1865">
      <c r="A1865" s="4"/>
      <c r="B1865" s="4"/>
      <c r="C1865" s="4"/>
      <c r="D1865" s="93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</row>
    <row r="1866">
      <c r="A1866" s="4"/>
      <c r="B1866" s="4"/>
      <c r="C1866" s="4"/>
      <c r="D1866" s="93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</row>
    <row r="1867">
      <c r="A1867" s="4"/>
      <c r="B1867" s="4"/>
      <c r="C1867" s="4"/>
      <c r="D1867" s="93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</row>
    <row r="1868">
      <c r="A1868" s="4"/>
      <c r="B1868" s="4"/>
      <c r="C1868" s="4"/>
      <c r="D1868" s="93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</row>
    <row r="1869">
      <c r="A1869" s="4"/>
      <c r="B1869" s="4"/>
      <c r="C1869" s="4"/>
      <c r="D1869" s="93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</row>
    <row r="1870">
      <c r="A1870" s="4"/>
      <c r="B1870" s="4"/>
      <c r="C1870" s="4"/>
      <c r="D1870" s="93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</row>
    <row r="1871">
      <c r="A1871" s="4"/>
      <c r="B1871" s="4"/>
      <c r="C1871" s="4"/>
      <c r="D1871" s="93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</row>
    <row r="1872">
      <c r="A1872" s="4"/>
      <c r="B1872" s="4"/>
      <c r="C1872" s="4"/>
      <c r="D1872" s="93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</row>
    <row r="1873">
      <c r="A1873" s="4"/>
      <c r="B1873" s="4"/>
      <c r="C1873" s="4"/>
      <c r="D1873" s="93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</row>
    <row r="1874">
      <c r="A1874" s="4"/>
      <c r="B1874" s="4"/>
      <c r="C1874" s="4"/>
      <c r="D1874" s="93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</row>
    <row r="1875">
      <c r="A1875" s="4"/>
      <c r="B1875" s="4"/>
      <c r="C1875" s="4"/>
      <c r="D1875" s="93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</row>
    <row r="1876">
      <c r="A1876" s="4"/>
      <c r="B1876" s="4"/>
      <c r="C1876" s="4"/>
      <c r="D1876" s="93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</row>
    <row r="1877">
      <c r="A1877" s="4"/>
      <c r="B1877" s="4"/>
      <c r="C1877" s="4"/>
      <c r="D1877" s="93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</row>
    <row r="1878">
      <c r="A1878" s="4"/>
      <c r="B1878" s="4"/>
      <c r="C1878" s="4"/>
      <c r="D1878" s="93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</row>
    <row r="1879">
      <c r="A1879" s="4"/>
      <c r="B1879" s="4"/>
      <c r="C1879" s="4"/>
      <c r="D1879" s="93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</row>
    <row r="1880">
      <c r="A1880" s="4"/>
      <c r="B1880" s="4"/>
      <c r="C1880" s="4"/>
      <c r="D1880" s="93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</row>
    <row r="1881">
      <c r="A1881" s="4"/>
      <c r="B1881" s="4"/>
      <c r="C1881" s="4"/>
      <c r="D1881" s="93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</row>
    <row r="1882">
      <c r="A1882" s="4"/>
      <c r="B1882" s="4"/>
      <c r="C1882" s="4"/>
      <c r="D1882" s="93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</row>
    <row r="1883">
      <c r="A1883" s="4"/>
      <c r="B1883" s="4"/>
      <c r="C1883" s="4"/>
      <c r="D1883" s="93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</row>
    <row r="1884">
      <c r="A1884" s="4"/>
      <c r="B1884" s="4"/>
      <c r="C1884" s="4"/>
      <c r="D1884" s="93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</row>
    <row r="1885">
      <c r="A1885" s="4"/>
      <c r="B1885" s="4"/>
      <c r="C1885" s="4"/>
      <c r="D1885" s="93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</row>
    <row r="1886">
      <c r="A1886" s="4"/>
      <c r="B1886" s="4"/>
      <c r="C1886" s="4"/>
      <c r="D1886" s="93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</row>
    <row r="1887">
      <c r="A1887" s="4"/>
      <c r="B1887" s="4"/>
      <c r="C1887" s="4"/>
      <c r="D1887" s="93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</row>
    <row r="1888">
      <c r="A1888" s="4"/>
      <c r="B1888" s="4"/>
      <c r="C1888" s="4"/>
      <c r="D1888" s="93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</row>
    <row r="1889">
      <c r="A1889" s="4"/>
      <c r="B1889" s="4"/>
      <c r="C1889" s="4"/>
      <c r="D1889" s="93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</row>
    <row r="1890">
      <c r="A1890" s="4"/>
      <c r="B1890" s="4"/>
      <c r="C1890" s="4"/>
      <c r="D1890" s="93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</row>
    <row r="1891">
      <c r="A1891" s="4"/>
      <c r="B1891" s="4"/>
      <c r="C1891" s="4"/>
      <c r="D1891" s="93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</row>
    <row r="1892">
      <c r="A1892" s="4"/>
      <c r="B1892" s="4"/>
      <c r="C1892" s="4"/>
      <c r="D1892" s="93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</row>
    <row r="1893">
      <c r="A1893" s="4"/>
      <c r="B1893" s="4"/>
      <c r="C1893" s="4"/>
      <c r="D1893" s="93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</row>
    <row r="1894">
      <c r="A1894" s="4"/>
      <c r="B1894" s="4"/>
      <c r="C1894" s="4"/>
      <c r="D1894" s="93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</row>
    <row r="1895">
      <c r="A1895" s="4"/>
      <c r="B1895" s="4"/>
      <c r="C1895" s="4"/>
      <c r="D1895" s="93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</row>
    <row r="1896">
      <c r="A1896" s="4"/>
      <c r="B1896" s="4"/>
      <c r="C1896" s="4"/>
      <c r="D1896" s="93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</row>
    <row r="1897">
      <c r="A1897" s="4"/>
      <c r="B1897" s="4"/>
      <c r="C1897" s="4"/>
      <c r="D1897" s="93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</row>
    <row r="1898">
      <c r="A1898" s="4"/>
      <c r="B1898" s="4"/>
      <c r="C1898" s="4"/>
      <c r="D1898" s="93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</row>
    <row r="1899">
      <c r="A1899" s="4"/>
      <c r="B1899" s="4"/>
      <c r="C1899" s="4"/>
      <c r="D1899" s="93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</row>
    <row r="1900">
      <c r="A1900" s="4"/>
      <c r="B1900" s="4"/>
      <c r="C1900" s="4"/>
      <c r="D1900" s="93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</row>
    <row r="1901">
      <c r="A1901" s="4"/>
      <c r="B1901" s="4"/>
      <c r="C1901" s="4"/>
      <c r="D1901" s="93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</row>
    <row r="1902">
      <c r="A1902" s="4"/>
      <c r="B1902" s="4"/>
      <c r="C1902" s="4"/>
      <c r="D1902" s="93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</row>
    <row r="1903">
      <c r="A1903" s="4"/>
      <c r="B1903" s="4"/>
      <c r="C1903" s="4"/>
      <c r="D1903" s="93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</row>
    <row r="1904">
      <c r="A1904" s="4"/>
      <c r="B1904" s="4"/>
      <c r="C1904" s="4"/>
      <c r="D1904" s="93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</row>
    <row r="1905">
      <c r="A1905" s="4"/>
      <c r="B1905" s="4"/>
      <c r="C1905" s="4"/>
      <c r="D1905" s="93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</row>
    <row r="1906">
      <c r="A1906" s="4"/>
      <c r="B1906" s="4"/>
      <c r="C1906" s="4"/>
      <c r="D1906" s="93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</row>
    <row r="1907">
      <c r="A1907" s="4"/>
      <c r="B1907" s="4"/>
      <c r="C1907" s="4"/>
      <c r="D1907" s="93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</row>
    <row r="1908">
      <c r="A1908" s="4"/>
      <c r="B1908" s="4"/>
      <c r="C1908" s="4"/>
      <c r="D1908" s="93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</row>
    <row r="1909">
      <c r="A1909" s="4"/>
      <c r="B1909" s="4"/>
      <c r="C1909" s="4"/>
      <c r="D1909" s="93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</row>
    <row r="1910">
      <c r="A1910" s="4"/>
      <c r="B1910" s="4"/>
      <c r="C1910" s="4"/>
      <c r="D1910" s="93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</row>
    <row r="1911">
      <c r="A1911" s="4"/>
      <c r="B1911" s="4"/>
      <c r="C1911" s="4"/>
      <c r="D1911" s="93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</row>
    <row r="1912">
      <c r="A1912" s="4"/>
      <c r="B1912" s="4"/>
      <c r="C1912" s="4"/>
      <c r="D1912" s="93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</row>
    <row r="1913">
      <c r="A1913" s="4"/>
      <c r="B1913" s="4"/>
      <c r="C1913" s="4"/>
      <c r="D1913" s="93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</row>
    <row r="1914">
      <c r="A1914" s="4"/>
      <c r="B1914" s="4"/>
      <c r="C1914" s="4"/>
      <c r="D1914" s="93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</row>
    <row r="1915">
      <c r="A1915" s="4"/>
      <c r="B1915" s="4"/>
      <c r="C1915" s="4"/>
      <c r="D1915" s="93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</row>
    <row r="1916">
      <c r="A1916" s="4"/>
      <c r="B1916" s="4"/>
      <c r="C1916" s="4"/>
      <c r="D1916" s="93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</row>
    <row r="1917">
      <c r="A1917" s="4"/>
      <c r="B1917" s="4"/>
      <c r="C1917" s="4"/>
      <c r="D1917" s="93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</row>
    <row r="1918">
      <c r="A1918" s="4"/>
      <c r="B1918" s="4"/>
      <c r="C1918" s="4"/>
      <c r="D1918" s="93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</row>
    <row r="1919">
      <c r="A1919" s="4"/>
      <c r="B1919" s="4"/>
      <c r="C1919" s="4"/>
      <c r="D1919" s="93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</row>
    <row r="1920">
      <c r="A1920" s="4"/>
      <c r="B1920" s="4"/>
      <c r="C1920" s="4"/>
      <c r="D1920" s="93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</row>
    <row r="1921">
      <c r="A1921" s="4"/>
      <c r="B1921" s="4"/>
      <c r="C1921" s="4"/>
      <c r="D1921" s="93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</row>
    <row r="1922">
      <c r="A1922" s="4"/>
      <c r="B1922" s="4"/>
      <c r="C1922" s="4"/>
      <c r="D1922" s="93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</row>
    <row r="1923">
      <c r="A1923" s="4"/>
      <c r="B1923" s="4"/>
      <c r="C1923" s="4"/>
      <c r="D1923" s="93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</row>
    <row r="1924">
      <c r="A1924" s="4"/>
      <c r="B1924" s="4"/>
      <c r="C1924" s="4"/>
      <c r="D1924" s="93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</row>
    <row r="1925">
      <c r="A1925" s="4"/>
      <c r="B1925" s="4"/>
      <c r="C1925" s="4"/>
      <c r="D1925" s="93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</row>
    <row r="1926">
      <c r="A1926" s="4"/>
      <c r="B1926" s="4"/>
      <c r="C1926" s="4"/>
      <c r="D1926" s="93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</row>
    <row r="1927">
      <c r="A1927" s="4"/>
      <c r="B1927" s="4"/>
      <c r="C1927" s="4"/>
      <c r="D1927" s="93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</row>
    <row r="1928">
      <c r="A1928" s="4"/>
      <c r="B1928" s="4"/>
      <c r="C1928" s="4"/>
      <c r="D1928" s="93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</row>
    <row r="1929">
      <c r="A1929" s="4"/>
      <c r="B1929" s="4"/>
      <c r="C1929" s="4"/>
      <c r="D1929" s="93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</row>
    <row r="1930">
      <c r="A1930" s="4"/>
      <c r="B1930" s="4"/>
      <c r="C1930" s="4"/>
      <c r="D1930" s="93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</row>
    <row r="1931">
      <c r="A1931" s="4"/>
      <c r="B1931" s="4"/>
      <c r="C1931" s="4"/>
      <c r="D1931" s="93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</row>
    <row r="1932">
      <c r="A1932" s="4"/>
      <c r="B1932" s="4"/>
      <c r="C1932" s="4"/>
      <c r="D1932" s="93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</row>
    <row r="1933">
      <c r="A1933" s="4"/>
      <c r="B1933" s="4"/>
      <c r="C1933" s="4"/>
      <c r="D1933" s="93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</row>
    <row r="1934">
      <c r="A1934" s="4"/>
      <c r="B1934" s="4"/>
      <c r="C1934" s="4"/>
      <c r="D1934" s="93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</row>
    <row r="1935">
      <c r="A1935" s="4"/>
      <c r="B1935" s="4"/>
      <c r="C1935" s="4"/>
      <c r="D1935" s="93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</row>
    <row r="1936">
      <c r="A1936" s="4"/>
      <c r="B1936" s="4"/>
      <c r="C1936" s="4"/>
      <c r="D1936" s="93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</row>
    <row r="1937">
      <c r="A1937" s="4"/>
      <c r="B1937" s="4"/>
      <c r="C1937" s="4"/>
      <c r="D1937" s="93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</row>
    <row r="1938">
      <c r="A1938" s="4"/>
      <c r="B1938" s="4"/>
      <c r="C1938" s="4"/>
      <c r="D1938" s="93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</row>
    <row r="1939">
      <c r="A1939" s="4"/>
      <c r="B1939" s="4"/>
      <c r="C1939" s="4"/>
      <c r="D1939" s="93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</row>
    <row r="1940">
      <c r="A1940" s="4"/>
      <c r="B1940" s="4"/>
      <c r="C1940" s="4"/>
      <c r="D1940" s="93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</row>
    <row r="1941">
      <c r="A1941" s="4"/>
      <c r="B1941" s="4"/>
      <c r="C1941" s="4"/>
      <c r="D1941" s="93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</row>
    <row r="1942">
      <c r="A1942" s="4"/>
      <c r="B1942" s="4"/>
      <c r="C1942" s="4"/>
      <c r="D1942" s="93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</row>
    <row r="1943">
      <c r="A1943" s="4"/>
      <c r="B1943" s="4"/>
      <c r="C1943" s="4"/>
      <c r="D1943" s="93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</row>
    <row r="1944">
      <c r="A1944" s="4"/>
      <c r="B1944" s="4"/>
      <c r="C1944" s="4"/>
      <c r="D1944" s="93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</row>
    <row r="1945">
      <c r="A1945" s="4"/>
      <c r="B1945" s="4"/>
      <c r="C1945" s="4"/>
      <c r="D1945" s="93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</row>
    <row r="1946">
      <c r="A1946" s="4"/>
      <c r="B1946" s="4"/>
      <c r="C1946" s="4"/>
      <c r="D1946" s="93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</row>
    <row r="1947">
      <c r="A1947" s="4"/>
      <c r="B1947" s="4"/>
      <c r="C1947" s="4"/>
      <c r="D1947" s="93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</row>
    <row r="1948">
      <c r="A1948" s="4"/>
      <c r="B1948" s="4"/>
      <c r="C1948" s="4"/>
      <c r="D1948" s="93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</row>
    <row r="1949">
      <c r="A1949" s="4"/>
      <c r="B1949" s="4"/>
      <c r="C1949" s="4"/>
      <c r="D1949" s="93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</row>
    <row r="1950">
      <c r="A1950" s="4"/>
      <c r="B1950" s="4"/>
      <c r="C1950" s="4"/>
      <c r="D1950" s="93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</row>
    <row r="1951">
      <c r="A1951" s="4"/>
      <c r="B1951" s="4"/>
      <c r="C1951" s="4"/>
      <c r="D1951" s="93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</row>
    <row r="1952">
      <c r="A1952" s="4"/>
      <c r="B1952" s="4"/>
      <c r="C1952" s="4"/>
      <c r="D1952" s="93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</row>
    <row r="1953">
      <c r="A1953" s="4"/>
      <c r="B1953" s="4"/>
      <c r="C1953" s="4"/>
      <c r="D1953" s="93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</row>
    <row r="1954">
      <c r="A1954" s="4"/>
      <c r="B1954" s="4"/>
      <c r="C1954" s="4"/>
      <c r="D1954" s="93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</row>
    <row r="1955">
      <c r="A1955" s="4"/>
      <c r="B1955" s="4"/>
      <c r="C1955" s="4"/>
      <c r="D1955" s="93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</row>
    <row r="1956">
      <c r="A1956" s="4"/>
      <c r="B1956" s="4"/>
      <c r="C1956" s="4"/>
      <c r="D1956" s="93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</row>
    <row r="1957">
      <c r="A1957" s="4"/>
      <c r="B1957" s="4"/>
      <c r="C1957" s="4"/>
      <c r="D1957" s="93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</row>
    <row r="1958">
      <c r="A1958" s="4"/>
      <c r="B1958" s="4"/>
      <c r="C1958" s="4"/>
      <c r="D1958" s="93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</row>
    <row r="1959">
      <c r="A1959" s="4"/>
      <c r="B1959" s="4"/>
      <c r="C1959" s="4"/>
      <c r="D1959" s="93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</row>
    <row r="1960">
      <c r="A1960" s="4"/>
      <c r="B1960" s="4"/>
      <c r="C1960" s="4"/>
      <c r="D1960" s="93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</row>
    <row r="1961">
      <c r="A1961" s="4"/>
      <c r="B1961" s="4"/>
      <c r="C1961" s="4"/>
      <c r="D1961" s="93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</row>
    <row r="1962">
      <c r="A1962" s="4"/>
      <c r="B1962" s="4"/>
      <c r="C1962" s="4"/>
      <c r="D1962" s="93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</row>
    <row r="1963">
      <c r="A1963" s="4"/>
      <c r="B1963" s="4"/>
      <c r="C1963" s="4"/>
      <c r="D1963" s="93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</row>
    <row r="1964">
      <c r="A1964" s="4"/>
      <c r="B1964" s="4"/>
      <c r="C1964" s="4"/>
      <c r="D1964" s="93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</row>
    <row r="1965">
      <c r="A1965" s="4"/>
      <c r="B1965" s="4"/>
      <c r="C1965" s="4"/>
      <c r="D1965" s="93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</row>
    <row r="1966">
      <c r="A1966" s="4"/>
      <c r="B1966" s="4"/>
      <c r="C1966" s="4"/>
      <c r="D1966" s="93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</row>
    <row r="1967">
      <c r="A1967" s="4"/>
      <c r="B1967" s="4"/>
      <c r="C1967" s="4"/>
      <c r="D1967" s="93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</row>
    <row r="1968">
      <c r="A1968" s="4"/>
      <c r="B1968" s="4"/>
      <c r="C1968" s="4"/>
      <c r="D1968" s="93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</row>
    <row r="1969">
      <c r="A1969" s="4"/>
      <c r="B1969" s="4"/>
      <c r="C1969" s="4"/>
      <c r="D1969" s="93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</row>
    <row r="1970">
      <c r="A1970" s="4"/>
      <c r="B1970" s="4"/>
      <c r="C1970" s="4"/>
      <c r="D1970" s="93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</row>
    <row r="1971">
      <c r="A1971" s="4"/>
      <c r="B1971" s="4"/>
      <c r="C1971" s="4"/>
      <c r="D1971" s="93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</row>
    <row r="1972">
      <c r="A1972" s="4"/>
      <c r="B1972" s="4"/>
      <c r="C1972" s="4"/>
      <c r="D1972" s="93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</row>
    <row r="1973">
      <c r="A1973" s="4"/>
      <c r="B1973" s="4"/>
      <c r="C1973" s="4"/>
      <c r="D1973" s="93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</row>
    <row r="1974">
      <c r="A1974" s="4"/>
      <c r="B1974" s="4"/>
      <c r="C1974" s="4"/>
      <c r="D1974" s="93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</row>
    <row r="1975">
      <c r="A1975" s="4"/>
      <c r="B1975" s="4"/>
      <c r="C1975" s="4"/>
      <c r="D1975" s="93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</row>
    <row r="1976">
      <c r="A1976" s="4"/>
      <c r="B1976" s="4"/>
      <c r="C1976" s="4"/>
      <c r="D1976" s="93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</row>
    <row r="1977">
      <c r="A1977" s="4"/>
      <c r="B1977" s="4"/>
      <c r="C1977" s="4"/>
      <c r="D1977" s="93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</row>
    <row r="1978">
      <c r="A1978" s="4"/>
      <c r="B1978" s="4"/>
      <c r="C1978" s="4"/>
      <c r="D1978" s="93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</row>
    <row r="1979">
      <c r="A1979" s="4"/>
      <c r="B1979" s="4"/>
      <c r="C1979" s="4"/>
      <c r="D1979" s="93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</row>
    <row r="1980">
      <c r="A1980" s="4"/>
      <c r="B1980" s="4"/>
      <c r="C1980" s="4"/>
      <c r="D1980" s="93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</row>
    <row r="1981">
      <c r="A1981" s="4"/>
      <c r="B1981" s="4"/>
      <c r="C1981" s="4"/>
      <c r="D1981" s="93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</row>
    <row r="1982">
      <c r="A1982" s="4"/>
      <c r="B1982" s="4"/>
      <c r="C1982" s="4"/>
      <c r="D1982" s="93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</row>
    <row r="1983">
      <c r="A1983" s="4"/>
      <c r="B1983" s="4"/>
      <c r="C1983" s="4"/>
      <c r="D1983" s="93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</row>
    <row r="1984">
      <c r="A1984" s="4"/>
      <c r="B1984" s="4"/>
      <c r="C1984" s="4"/>
      <c r="D1984" s="93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</row>
    <row r="1985">
      <c r="A1985" s="4"/>
      <c r="B1985" s="4"/>
      <c r="C1985" s="4"/>
      <c r="D1985" s="93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</row>
    <row r="1986">
      <c r="A1986" s="4"/>
      <c r="B1986" s="4"/>
      <c r="C1986" s="4"/>
      <c r="D1986" s="93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</row>
    <row r="1987">
      <c r="A1987" s="4"/>
      <c r="B1987" s="4"/>
      <c r="C1987" s="4"/>
      <c r="D1987" s="93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</row>
    <row r="1988">
      <c r="A1988" s="4"/>
      <c r="B1988" s="4"/>
      <c r="C1988" s="4"/>
      <c r="D1988" s="93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</row>
    <row r="1989">
      <c r="A1989" s="4"/>
      <c r="B1989" s="4"/>
      <c r="C1989" s="4"/>
      <c r="D1989" s="93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</row>
    <row r="1990">
      <c r="A1990" s="4"/>
      <c r="B1990" s="4"/>
      <c r="C1990" s="4"/>
      <c r="D1990" s="93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</row>
    <row r="1991">
      <c r="A1991" s="4"/>
      <c r="B1991" s="4"/>
      <c r="C1991" s="4"/>
      <c r="D1991" s="93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</row>
    <row r="1992">
      <c r="A1992" s="4"/>
      <c r="B1992" s="4"/>
      <c r="C1992" s="4"/>
      <c r="D1992" s="93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</row>
    <row r="1993">
      <c r="A1993" s="4"/>
      <c r="B1993" s="4"/>
      <c r="C1993" s="4"/>
      <c r="D1993" s="93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</row>
    <row r="1994">
      <c r="A1994" s="4"/>
      <c r="B1994" s="4"/>
      <c r="C1994" s="4"/>
      <c r="D1994" s="93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</row>
    <row r="1995">
      <c r="A1995" s="4"/>
      <c r="B1995" s="4"/>
      <c r="C1995" s="4"/>
      <c r="D1995" s="93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</row>
  </sheetData>
  <customSheetViews>
    <customSheetView guid="{C8B869FA-A204-480B-8886-9024D02247D0}" filter="1" showAutoFilter="1">
      <autoFilter ref="$A$1:$Y$119"/>
    </customSheetView>
    <customSheetView guid="{DFF5EF81-5EB8-4039-9918-F7870C0DE09C}" filter="1" showAutoFilter="1">
      <autoFilter ref="$F$106:$F$107"/>
    </customSheetView>
    <customSheetView guid="{9993A64D-C4B7-429E-A71B-4D995CF579ED}" filter="1" showAutoFilter="1">
      <autoFilter ref="$A$1:$Y$116"/>
    </customSheetView>
    <customSheetView guid="{C8BE43EC-D212-45BE-B31F-C1A890E8865C}" filter="1" showAutoFilter="1">
      <autoFilter ref="$A$1:$Y$119"/>
    </customSheetView>
    <customSheetView guid="{C10F55E0-04D8-48F9-A713-A1FD14DBACD2}" filter="1" showAutoFilter="1">
      <autoFilter ref="$A$1:$Y$119"/>
    </customSheetView>
  </customSheetViews>
  <dataValidations>
    <dataValidation type="list" allowBlank="1" showErrorMessage="1" sqref="B2:B115">
      <formula1>"ACCEL,LASAK,Referral,Outsource,Job Portal,OLX"</formula1>
    </dataValidation>
    <dataValidation type="list" allowBlank="1" showErrorMessage="1" sqref="A2:A115">
      <formula1>"Sasi,Brindha,Dustin,Lakshmanan"</formula1>
    </dataValidation>
    <dataValidation type="list" allowBlank="1" showErrorMessage="1" sqref="W2:W115">
      <formula1>"EMI doc shared,EMI Rejected,Interested,Enrolled,Not Interested, Not Interested_Fees High,Plan Dropped,Joined Elsewhere,EMI Approved,FPL,Not Answering,Gone Cold,Switchedoff,Not Reachable,Disconnecting the call,EMI Applied,Doc Pending,Call Busy,Call back re"&amp;"quested"</formula1>
    </dataValidation>
    <dataValidation type="list" allowBlank="1" showErrorMessage="1" sqref="E2:E114">
      <formula1>"Mech Combo,AutoCAD,CATIA,CREO,SOLIDWORKS,CIVIL ,DA,P-FSD,J-FSD,DM,DS,DADS,ST,CYBER-S,Others,Job,UIUX"</formula1>
    </dataValidation>
    <dataValidation type="list" allowBlank="1" showErrorMessage="1" sqref="S2:S115 X2:X115">
      <formula1>"Cold,Warm,Hot,Super Hot,Lost,Not Connected,Won,Connected,Approved,Rejected"</formula1>
    </dataValidation>
    <dataValidation type="list" allowBlank="1" showErrorMessage="1" sqref="R2:R115">
      <formula1>"Not Answering,Not Interested,Interested,Demo Scheduled,Demo Completed,Enrolled,EMI Rejected,Interested_DNP,Wrong Number,Not Reachable,Joined Elsewhere,Followup,Call Back Requested,Call Busy,Future Prospect Leads,Disconnecting the call,Switchedoff,Looking "&amp;"for job,No Incoming,EMI Process"</formula1>
    </dataValidation>
    <dataValidation type="custom" allowBlank="1" showDropDown="1" sqref="Q2:Q115">
      <formula1>OR(NOT(ISERROR(DATEVALUE(Q2))), AND(ISNUMBER(Q2), LEFT(CELL("format", Q2))="D"))</formula1>
    </dataValidation>
  </dataValidations>
  <hyperlinks>
    <hyperlink r:id="rId1" ref="U9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4.0"/>
    <col customWidth="1" min="2" max="2" width="14.25"/>
    <col customWidth="1" min="3" max="3" width="19.0"/>
    <col customWidth="1" min="4" max="4" width="10.63"/>
    <col customWidth="1" min="5" max="5" width="15.13"/>
    <col customWidth="1" min="6" max="6" width="15.5"/>
    <col customWidth="1" min="7" max="7" width="12.0"/>
    <col customWidth="1" min="8" max="8" width="3.38"/>
    <col customWidth="1" min="9" max="10" width="2.63"/>
    <col customWidth="1" min="11" max="11" width="2.5"/>
    <col customWidth="1" min="12" max="12" width="2.63"/>
    <col customWidth="1" min="13" max="13" width="2.5"/>
    <col customWidth="1" min="14" max="14" width="2.75"/>
    <col customWidth="1" min="15" max="16" width="2.88"/>
    <col customWidth="1" min="17" max="18" width="2.5"/>
    <col customWidth="1" min="19" max="19" width="8.63"/>
    <col customWidth="1" min="20" max="20" width="17.5"/>
    <col customWidth="1" min="21" max="21" width="16.63"/>
    <col customWidth="1" min="22" max="22" width="2.88"/>
    <col customWidth="1" min="23" max="23" width="22.25"/>
    <col customWidth="1" min="24" max="24" width="16.63"/>
    <col customWidth="1" min="25" max="25" width="17.75"/>
    <col customWidth="1" min="26" max="26" width="99.88"/>
  </cols>
  <sheetData>
    <row r="1">
      <c r="A1" s="99" t="s">
        <v>1016</v>
      </c>
      <c r="B1" s="153" t="s">
        <v>1504</v>
      </c>
      <c r="C1" s="99" t="s">
        <v>157</v>
      </c>
      <c r="D1" s="153" t="s">
        <v>1505</v>
      </c>
      <c r="E1" s="100" t="s">
        <v>335</v>
      </c>
      <c r="F1" s="99" t="s">
        <v>336</v>
      </c>
      <c r="G1" s="99" t="s">
        <v>337</v>
      </c>
      <c r="H1" s="100" t="s">
        <v>338</v>
      </c>
      <c r="I1" s="99">
        <v>1.0</v>
      </c>
      <c r="J1" s="99">
        <v>2.0</v>
      </c>
      <c r="K1" s="99">
        <v>3.0</v>
      </c>
      <c r="L1" s="99">
        <v>4.0</v>
      </c>
      <c r="M1" s="99">
        <v>5.0</v>
      </c>
      <c r="N1" s="99">
        <v>6.0</v>
      </c>
      <c r="O1" s="99">
        <v>7.0</v>
      </c>
      <c r="P1" s="99">
        <v>8.0</v>
      </c>
      <c r="Q1" s="99">
        <v>9.0</v>
      </c>
      <c r="R1" s="99">
        <v>10.0</v>
      </c>
      <c r="S1" s="99" t="s">
        <v>341</v>
      </c>
      <c r="T1" s="99" t="s">
        <v>1017</v>
      </c>
      <c r="U1" s="102" t="s">
        <v>342</v>
      </c>
      <c r="V1" s="99" t="s">
        <v>343</v>
      </c>
      <c r="W1" s="102" t="s">
        <v>344</v>
      </c>
      <c r="X1" s="102" t="s">
        <v>345</v>
      </c>
      <c r="Y1" s="99" t="s">
        <v>342</v>
      </c>
      <c r="Z1" s="99" t="s">
        <v>346</v>
      </c>
      <c r="AA1" s="154"/>
      <c r="AB1" s="154"/>
      <c r="AC1" s="154"/>
      <c r="AD1" s="154"/>
      <c r="AE1" s="154"/>
      <c r="AF1" s="154"/>
    </row>
    <row r="2">
      <c r="A2" s="5" t="s">
        <v>22</v>
      </c>
      <c r="B2" s="155" t="s">
        <v>1879</v>
      </c>
      <c r="C2" s="155" t="s">
        <v>1880</v>
      </c>
      <c r="D2" s="28">
        <v>7.010349624E9</v>
      </c>
      <c r="E2" s="8" t="s">
        <v>38</v>
      </c>
      <c r="F2" s="28" t="s">
        <v>1881</v>
      </c>
      <c r="G2" s="155" t="s">
        <v>465</v>
      </c>
      <c r="H2" s="9" t="s">
        <v>716</v>
      </c>
      <c r="I2" s="162" t="b">
        <v>1</v>
      </c>
      <c r="J2" s="54" t="b">
        <v>1</v>
      </c>
      <c r="K2" s="12" t="b">
        <v>0</v>
      </c>
      <c r="L2" s="12" t="b">
        <v>0</v>
      </c>
      <c r="M2" s="12" t="b">
        <v>0</v>
      </c>
      <c r="N2" s="12" t="b">
        <v>0</v>
      </c>
      <c r="O2" s="12" t="b">
        <v>0</v>
      </c>
      <c r="P2" s="12" t="b">
        <v>0</v>
      </c>
      <c r="Q2" s="12" t="b">
        <v>0</v>
      </c>
      <c r="R2" s="10" t="b">
        <v>0</v>
      </c>
      <c r="S2" s="91">
        <v>46062.0</v>
      </c>
      <c r="T2" s="6" t="s">
        <v>357</v>
      </c>
      <c r="U2" s="6" t="s">
        <v>358</v>
      </c>
      <c r="V2" s="57" t="b">
        <v>0</v>
      </c>
      <c r="W2" s="6" t="s">
        <v>1882</v>
      </c>
      <c r="X2" s="6" t="s">
        <v>684</v>
      </c>
      <c r="Y2" s="6" t="s">
        <v>358</v>
      </c>
      <c r="Z2" s="6" t="s">
        <v>1883</v>
      </c>
      <c r="AA2" s="53"/>
      <c r="AB2" s="53"/>
      <c r="AC2" s="53"/>
      <c r="AD2" s="53"/>
      <c r="AE2" s="53"/>
      <c r="AF2" s="53"/>
    </row>
    <row r="3">
      <c r="A3" s="5" t="s">
        <v>22</v>
      </c>
      <c r="B3" s="155" t="s">
        <v>1879</v>
      </c>
      <c r="C3" s="155" t="s">
        <v>1884</v>
      </c>
      <c r="D3" s="28">
        <v>8.778283464E9</v>
      </c>
      <c r="E3" s="8" t="s">
        <v>38</v>
      </c>
      <c r="F3" s="28" t="s">
        <v>1885</v>
      </c>
      <c r="G3" s="155" t="s">
        <v>465</v>
      </c>
      <c r="H3" s="9" t="s">
        <v>716</v>
      </c>
      <c r="I3" s="10" t="b">
        <v>1</v>
      </c>
      <c r="J3" s="57" t="b">
        <v>1</v>
      </c>
      <c r="K3" s="57" t="b">
        <v>1</v>
      </c>
      <c r="L3" s="57" t="b">
        <v>1</v>
      </c>
      <c r="M3" s="57" t="b">
        <v>1</v>
      </c>
      <c r="N3" s="54" t="b">
        <v>1</v>
      </c>
      <c r="O3" s="12" t="b">
        <v>0</v>
      </c>
      <c r="P3" s="12" t="b">
        <v>0</v>
      </c>
      <c r="Q3" s="12" t="b">
        <v>0</v>
      </c>
      <c r="R3" s="10" t="b">
        <v>0</v>
      </c>
      <c r="S3" s="91">
        <v>46076.0</v>
      </c>
      <c r="T3" s="6" t="s">
        <v>357</v>
      </c>
      <c r="U3" s="6" t="s">
        <v>358</v>
      </c>
      <c r="V3" s="54" t="b">
        <v>1</v>
      </c>
      <c r="W3" s="6" t="s">
        <v>1886</v>
      </c>
      <c r="X3" s="6" t="s">
        <v>382</v>
      </c>
      <c r="Y3" s="6" t="s">
        <v>358</v>
      </c>
      <c r="Z3" s="6" t="s">
        <v>1887</v>
      </c>
      <c r="AA3" s="4"/>
      <c r="AB3" s="4"/>
      <c r="AC3" s="4"/>
      <c r="AD3" s="4"/>
      <c r="AE3" s="4"/>
      <c r="AF3" s="4"/>
    </row>
    <row r="4">
      <c r="A4" s="5" t="s">
        <v>22</v>
      </c>
      <c r="B4" s="155" t="s">
        <v>1879</v>
      </c>
      <c r="C4" s="155" t="s">
        <v>1888</v>
      </c>
      <c r="D4" s="28">
        <v>6.374223183E9</v>
      </c>
      <c r="E4" s="8" t="s">
        <v>1396</v>
      </c>
      <c r="F4" s="28" t="s">
        <v>1889</v>
      </c>
      <c r="G4" s="8" t="s">
        <v>1890</v>
      </c>
      <c r="H4" s="9" t="s">
        <v>716</v>
      </c>
      <c r="I4" s="57" t="b">
        <v>1</v>
      </c>
      <c r="J4" s="57" t="b">
        <v>1</v>
      </c>
      <c r="K4" s="67" t="b">
        <v>1</v>
      </c>
      <c r="L4" s="67" t="b">
        <v>1</v>
      </c>
      <c r="M4" s="54" t="b">
        <v>1</v>
      </c>
      <c r="N4" s="12" t="b">
        <v>0</v>
      </c>
      <c r="O4" s="12" t="b">
        <v>0</v>
      </c>
      <c r="P4" s="12" t="b">
        <v>0</v>
      </c>
      <c r="Q4" s="12" t="b">
        <v>0</v>
      </c>
      <c r="R4" s="10" t="b">
        <v>0</v>
      </c>
      <c r="S4" s="91">
        <v>46078.0</v>
      </c>
      <c r="T4" s="6" t="s">
        <v>357</v>
      </c>
      <c r="U4" s="6" t="s">
        <v>358</v>
      </c>
      <c r="V4" s="54" t="b">
        <v>1</v>
      </c>
      <c r="W4" s="6" t="s">
        <v>1891</v>
      </c>
      <c r="X4" s="6" t="s">
        <v>684</v>
      </c>
      <c r="Y4" s="6" t="s">
        <v>358</v>
      </c>
      <c r="Z4" s="6" t="s">
        <v>1892</v>
      </c>
      <c r="AA4" s="4"/>
      <c r="AB4" s="4"/>
      <c r="AC4" s="4"/>
      <c r="AD4" s="4"/>
      <c r="AE4" s="4"/>
      <c r="AF4" s="4"/>
    </row>
    <row r="5">
      <c r="A5" s="5" t="s">
        <v>22</v>
      </c>
      <c r="B5" s="155" t="s">
        <v>1879</v>
      </c>
      <c r="C5" s="155" t="s">
        <v>1893</v>
      </c>
      <c r="D5" s="28">
        <v>9.047826166E9</v>
      </c>
      <c r="E5" s="8" t="s">
        <v>38</v>
      </c>
      <c r="F5" s="28" t="s">
        <v>1894</v>
      </c>
      <c r="G5" s="155" t="s">
        <v>465</v>
      </c>
      <c r="H5" s="9" t="s">
        <v>716</v>
      </c>
      <c r="I5" s="10" t="b">
        <v>1</v>
      </c>
      <c r="J5" s="10" t="b">
        <v>1</v>
      </c>
      <c r="K5" s="10" t="b">
        <v>1</v>
      </c>
      <c r="L5" s="10" t="b">
        <v>1</v>
      </c>
      <c r="M5" s="10" t="b">
        <v>1</v>
      </c>
      <c r="N5" s="10" t="b">
        <v>1</v>
      </c>
      <c r="O5" s="54" t="b">
        <v>1</v>
      </c>
      <c r="P5" s="12" t="b">
        <v>0</v>
      </c>
      <c r="Q5" s="12" t="b">
        <v>0</v>
      </c>
      <c r="R5" s="10" t="b">
        <v>0</v>
      </c>
      <c r="S5" s="91">
        <v>46070.0</v>
      </c>
      <c r="T5" s="6" t="s">
        <v>424</v>
      </c>
      <c r="U5" s="6" t="s">
        <v>358</v>
      </c>
      <c r="V5" s="57" t="b">
        <v>0</v>
      </c>
      <c r="W5" s="6" t="s">
        <v>1895</v>
      </c>
      <c r="X5" s="53"/>
      <c r="Y5" s="53"/>
      <c r="Z5" s="53"/>
      <c r="AA5" s="4"/>
      <c r="AB5" s="4"/>
      <c r="AC5" s="4"/>
      <c r="AD5" s="4"/>
      <c r="AE5" s="4"/>
      <c r="AF5" s="4"/>
    </row>
    <row r="6">
      <c r="A6" s="5" t="s">
        <v>22</v>
      </c>
      <c r="B6" s="155" t="s">
        <v>1879</v>
      </c>
      <c r="C6" s="155" t="s">
        <v>1896</v>
      </c>
      <c r="D6" s="28">
        <v>9.894845433E9</v>
      </c>
      <c r="E6" s="8" t="s">
        <v>38</v>
      </c>
      <c r="F6" s="28" t="s">
        <v>1897</v>
      </c>
      <c r="G6" s="155" t="s">
        <v>465</v>
      </c>
      <c r="H6" s="9" t="s">
        <v>716</v>
      </c>
      <c r="I6" s="10" t="b">
        <v>1</v>
      </c>
      <c r="J6" s="10" t="b">
        <v>1</v>
      </c>
      <c r="K6" s="10" t="b">
        <v>1</v>
      </c>
      <c r="L6" s="10" t="b">
        <v>1</v>
      </c>
      <c r="M6" s="57" t="b">
        <v>1</v>
      </c>
      <c r="N6" s="67" t="b">
        <v>1</v>
      </c>
      <c r="O6" s="120" t="b">
        <v>1</v>
      </c>
      <c r="P6" s="71" t="b">
        <v>1</v>
      </c>
      <c r="Q6" s="95" t="b">
        <v>1</v>
      </c>
      <c r="R6" s="10" t="b">
        <v>0</v>
      </c>
      <c r="S6" s="91">
        <v>46077.0</v>
      </c>
      <c r="T6" s="6" t="s">
        <v>890</v>
      </c>
      <c r="U6" s="6" t="s">
        <v>891</v>
      </c>
      <c r="V6" s="57" t="b">
        <v>1</v>
      </c>
      <c r="W6" s="6" t="s">
        <v>1898</v>
      </c>
      <c r="X6" s="6" t="s">
        <v>890</v>
      </c>
      <c r="Y6" s="6" t="s">
        <v>891</v>
      </c>
      <c r="Z6" s="6" t="s">
        <v>1899</v>
      </c>
      <c r="AA6" s="4"/>
      <c r="AB6" s="4"/>
      <c r="AC6" s="4"/>
      <c r="AD6" s="4"/>
      <c r="AE6" s="4"/>
      <c r="AF6" s="4"/>
    </row>
    <row r="7">
      <c r="A7" s="5" t="s">
        <v>22</v>
      </c>
      <c r="B7" s="155" t="s">
        <v>1879</v>
      </c>
      <c r="C7" s="9" t="s">
        <v>1900</v>
      </c>
      <c r="D7" s="13">
        <v>8.825634485E9</v>
      </c>
      <c r="E7" s="8" t="s">
        <v>1378</v>
      </c>
      <c r="F7" s="163"/>
      <c r="G7" s="155"/>
      <c r="H7" s="9" t="s">
        <v>716</v>
      </c>
      <c r="I7" s="10" t="b">
        <v>1</v>
      </c>
      <c r="J7" s="10" t="b">
        <v>1</v>
      </c>
      <c r="K7" s="54" t="b">
        <v>1</v>
      </c>
      <c r="L7" s="12" t="b">
        <v>0</v>
      </c>
      <c r="M7" s="12" t="b">
        <v>0</v>
      </c>
      <c r="N7" s="12" t="b">
        <v>0</v>
      </c>
      <c r="O7" s="12" t="b">
        <v>0</v>
      </c>
      <c r="P7" s="12" t="b">
        <v>0</v>
      </c>
      <c r="Q7" s="12" t="b">
        <v>0</v>
      </c>
      <c r="R7" s="10" t="b">
        <v>0</v>
      </c>
      <c r="S7" s="91">
        <v>46063.0</v>
      </c>
      <c r="T7" s="6" t="s">
        <v>357</v>
      </c>
      <c r="U7" s="6" t="s">
        <v>358</v>
      </c>
      <c r="V7" s="57" t="b">
        <v>0</v>
      </c>
      <c r="W7" s="6" t="s">
        <v>1901</v>
      </c>
      <c r="X7" s="53"/>
      <c r="Y7" s="53"/>
      <c r="Z7" s="53"/>
      <c r="AA7" s="4"/>
      <c r="AB7" s="4"/>
      <c r="AC7" s="4"/>
      <c r="AD7" s="4"/>
      <c r="AE7" s="4"/>
      <c r="AF7" s="4"/>
    </row>
    <row r="8">
      <c r="A8" s="5" t="s">
        <v>22</v>
      </c>
      <c r="B8" s="155" t="s">
        <v>1879</v>
      </c>
      <c r="C8" s="155" t="s">
        <v>1902</v>
      </c>
      <c r="D8" s="28">
        <v>6.381355722E9</v>
      </c>
      <c r="E8" s="8" t="s">
        <v>38</v>
      </c>
      <c r="F8" s="164">
        <v>46060.59722222222</v>
      </c>
      <c r="G8" s="155" t="s">
        <v>465</v>
      </c>
      <c r="H8" s="9" t="s">
        <v>716</v>
      </c>
      <c r="I8" s="57" t="b">
        <v>1</v>
      </c>
      <c r="J8" s="54" t="b">
        <v>1</v>
      </c>
      <c r="K8" s="12" t="b">
        <v>0</v>
      </c>
      <c r="L8" s="12" t="b">
        <v>0</v>
      </c>
      <c r="M8" s="12" t="b">
        <v>0</v>
      </c>
      <c r="N8" s="12" t="b">
        <v>0</v>
      </c>
      <c r="O8" s="12" t="b">
        <v>0</v>
      </c>
      <c r="P8" s="12" t="b">
        <v>0</v>
      </c>
      <c r="Q8" s="12" t="b">
        <v>0</v>
      </c>
      <c r="R8" s="10" t="b">
        <v>0</v>
      </c>
      <c r="S8" s="91">
        <v>46062.0</v>
      </c>
      <c r="T8" s="6" t="s">
        <v>424</v>
      </c>
      <c r="U8" s="6" t="s">
        <v>358</v>
      </c>
      <c r="V8" s="57" t="b">
        <v>0</v>
      </c>
      <c r="W8" s="6" t="s">
        <v>1903</v>
      </c>
      <c r="X8" s="6" t="s">
        <v>357</v>
      </c>
      <c r="Y8" s="6" t="s">
        <v>358</v>
      </c>
      <c r="Z8" s="6" t="s">
        <v>1904</v>
      </c>
      <c r="AA8" s="4"/>
      <c r="AB8" s="4"/>
      <c r="AC8" s="4"/>
      <c r="AD8" s="4"/>
      <c r="AE8" s="4"/>
      <c r="AF8" s="4"/>
    </row>
    <row r="9">
      <c r="A9" s="5" t="s">
        <v>22</v>
      </c>
      <c r="B9" s="155" t="s">
        <v>1879</v>
      </c>
      <c r="C9" s="155" t="s">
        <v>1905</v>
      </c>
      <c r="D9" s="28">
        <v>9.360223392E9</v>
      </c>
      <c r="E9" s="8" t="s">
        <v>69</v>
      </c>
      <c r="F9" s="28" t="s">
        <v>1906</v>
      </c>
      <c r="G9" s="155" t="s">
        <v>1907</v>
      </c>
      <c r="H9" s="9" t="s">
        <v>716</v>
      </c>
      <c r="I9" s="54" t="b">
        <v>1</v>
      </c>
      <c r="J9" s="10" t="b">
        <v>0</v>
      </c>
      <c r="K9" s="12" t="b">
        <v>0</v>
      </c>
      <c r="L9" s="12" t="b">
        <v>0</v>
      </c>
      <c r="M9" s="12" t="b">
        <v>0</v>
      </c>
      <c r="N9" s="12" t="b">
        <v>0</v>
      </c>
      <c r="O9" s="12" t="b">
        <v>0</v>
      </c>
      <c r="P9" s="12" t="b">
        <v>0</v>
      </c>
      <c r="Q9" s="12" t="b">
        <v>0</v>
      </c>
      <c r="R9" s="10" t="b">
        <v>0</v>
      </c>
      <c r="S9" s="91">
        <v>46060.0</v>
      </c>
      <c r="T9" s="6" t="s">
        <v>543</v>
      </c>
      <c r="U9" s="6" t="s">
        <v>358</v>
      </c>
      <c r="V9" s="54" t="b">
        <v>1</v>
      </c>
      <c r="W9" s="6" t="s">
        <v>1908</v>
      </c>
      <c r="X9" s="53"/>
      <c r="Y9" s="53"/>
      <c r="Z9" s="53"/>
      <c r="AA9" s="4"/>
      <c r="AB9" s="4"/>
      <c r="AC9" s="4"/>
      <c r="AD9" s="4"/>
      <c r="AE9" s="4"/>
      <c r="AF9" s="4"/>
    </row>
    <row r="10">
      <c r="A10" s="5" t="s">
        <v>22</v>
      </c>
      <c r="B10" s="155" t="s">
        <v>1761</v>
      </c>
      <c r="C10" s="9" t="s">
        <v>1909</v>
      </c>
      <c r="D10" s="155">
        <v>9.123512559E9</v>
      </c>
      <c r="E10" s="8" t="s">
        <v>69</v>
      </c>
      <c r="F10" s="163">
        <v>46267.0</v>
      </c>
      <c r="G10" s="155" t="s">
        <v>1910</v>
      </c>
      <c r="H10" s="9" t="s">
        <v>1001</v>
      </c>
      <c r="I10" s="57" t="b">
        <v>1</v>
      </c>
      <c r="J10" s="67" t="b">
        <v>1</v>
      </c>
      <c r="K10" s="67" t="b">
        <v>1</v>
      </c>
      <c r="L10" s="67" t="b">
        <v>1</v>
      </c>
      <c r="M10" s="67" t="b">
        <v>1</v>
      </c>
      <c r="N10" s="67" t="b">
        <v>1</v>
      </c>
      <c r="O10" s="67" t="b">
        <v>1</v>
      </c>
      <c r="P10" s="67" t="b">
        <v>1</v>
      </c>
      <c r="Q10" s="54" t="b">
        <v>1</v>
      </c>
      <c r="R10" s="10" t="b">
        <v>0</v>
      </c>
      <c r="S10" s="91">
        <v>46091.0</v>
      </c>
      <c r="T10" s="6" t="s">
        <v>357</v>
      </c>
      <c r="U10" s="6" t="s">
        <v>358</v>
      </c>
      <c r="V10" s="54" t="b">
        <v>1</v>
      </c>
      <c r="W10" s="6" t="s">
        <v>1911</v>
      </c>
      <c r="X10" s="6" t="s">
        <v>382</v>
      </c>
      <c r="Y10" s="6" t="s">
        <v>358</v>
      </c>
      <c r="Z10" s="6" t="s">
        <v>1912</v>
      </c>
      <c r="AA10" s="4"/>
      <c r="AB10" s="4"/>
      <c r="AC10" s="4"/>
      <c r="AD10" s="4"/>
      <c r="AE10" s="4"/>
      <c r="AF10" s="4"/>
    </row>
    <row r="11">
      <c r="A11" s="5" t="s">
        <v>22</v>
      </c>
      <c r="B11" s="155" t="s">
        <v>1879</v>
      </c>
      <c r="C11" s="165" t="s">
        <v>1913</v>
      </c>
      <c r="D11" s="27">
        <v>8.838486473E9</v>
      </c>
      <c r="E11" s="8" t="s">
        <v>69</v>
      </c>
      <c r="F11" s="27" t="s">
        <v>1914</v>
      </c>
      <c r="G11" s="165" t="s">
        <v>1064</v>
      </c>
      <c r="H11" s="9" t="s">
        <v>716</v>
      </c>
      <c r="I11" s="54" t="b">
        <v>1</v>
      </c>
      <c r="J11" s="10" t="b">
        <v>0</v>
      </c>
      <c r="K11" s="12" t="b">
        <v>0</v>
      </c>
      <c r="L11" s="12" t="b">
        <v>0</v>
      </c>
      <c r="M11" s="12" t="b">
        <v>0</v>
      </c>
      <c r="N11" s="12" t="b">
        <v>0</v>
      </c>
      <c r="O11" s="12" t="b">
        <v>0</v>
      </c>
      <c r="P11" s="12" t="b">
        <v>0</v>
      </c>
      <c r="Q11" s="12" t="b">
        <v>0</v>
      </c>
      <c r="R11" s="10" t="b">
        <v>0</v>
      </c>
      <c r="S11" s="91">
        <v>46062.0</v>
      </c>
      <c r="T11" s="6" t="s">
        <v>357</v>
      </c>
      <c r="U11" s="6" t="s">
        <v>358</v>
      </c>
      <c r="V11" s="57" t="b">
        <v>0</v>
      </c>
      <c r="W11" s="6" t="s">
        <v>1915</v>
      </c>
      <c r="X11" s="53"/>
      <c r="Y11" s="53"/>
      <c r="Z11" s="53"/>
      <c r="AA11" s="4"/>
      <c r="AB11" s="4"/>
      <c r="AC11" s="4"/>
      <c r="AD11" s="4"/>
      <c r="AE11" s="4"/>
      <c r="AF11" s="4"/>
    </row>
    <row r="12">
      <c r="A12" s="5" t="s">
        <v>22</v>
      </c>
      <c r="B12" s="155" t="s">
        <v>1879</v>
      </c>
      <c r="C12" s="165" t="s">
        <v>1916</v>
      </c>
      <c r="D12" s="27">
        <v>9.344966969E9</v>
      </c>
      <c r="E12" s="8" t="s">
        <v>38</v>
      </c>
      <c r="F12" s="27" t="s">
        <v>1917</v>
      </c>
      <c r="G12" s="165" t="s">
        <v>465</v>
      </c>
      <c r="H12" s="9" t="s">
        <v>716</v>
      </c>
      <c r="I12" s="10" t="b">
        <v>1</v>
      </c>
      <c r="J12" s="10" t="b">
        <v>1</v>
      </c>
      <c r="K12" s="10" t="b">
        <v>1</v>
      </c>
      <c r="L12" s="10" t="b">
        <v>1</v>
      </c>
      <c r="M12" s="10" t="b">
        <v>1</v>
      </c>
      <c r="N12" s="54" t="b">
        <v>1</v>
      </c>
      <c r="O12" s="12" t="b">
        <v>0</v>
      </c>
      <c r="P12" s="12" t="b">
        <v>0</v>
      </c>
      <c r="Q12" s="12" t="b">
        <v>0</v>
      </c>
      <c r="R12" s="10" t="b">
        <v>0</v>
      </c>
      <c r="S12" s="91">
        <v>46074.0</v>
      </c>
      <c r="T12" s="6" t="s">
        <v>357</v>
      </c>
      <c r="U12" s="6" t="s">
        <v>358</v>
      </c>
      <c r="V12" s="57" t="b">
        <v>0</v>
      </c>
      <c r="W12" s="6" t="s">
        <v>1918</v>
      </c>
      <c r="X12" s="53"/>
      <c r="Y12" s="53"/>
      <c r="Z12" s="53"/>
      <c r="AA12" s="4"/>
      <c r="AB12" s="4"/>
      <c r="AC12" s="4"/>
      <c r="AD12" s="4"/>
      <c r="AE12" s="4"/>
      <c r="AF12" s="4"/>
    </row>
    <row r="13">
      <c r="A13" s="5" t="s">
        <v>22</v>
      </c>
      <c r="B13" s="155" t="s">
        <v>1879</v>
      </c>
      <c r="C13" s="165" t="s">
        <v>1919</v>
      </c>
      <c r="D13" s="27">
        <v>8.940759666E9</v>
      </c>
      <c r="E13" s="8" t="s">
        <v>38</v>
      </c>
      <c r="F13" s="27" t="s">
        <v>1920</v>
      </c>
      <c r="G13" s="165" t="s">
        <v>465</v>
      </c>
      <c r="H13" s="9" t="s">
        <v>716</v>
      </c>
      <c r="I13" s="10" t="b">
        <v>1</v>
      </c>
      <c r="J13" s="10" t="b">
        <v>1</v>
      </c>
      <c r="K13" s="10" t="b">
        <v>1</v>
      </c>
      <c r="L13" s="57" t="b">
        <v>1</v>
      </c>
      <c r="M13" s="57" t="b">
        <v>1</v>
      </c>
      <c r="N13" s="54" t="b">
        <v>1</v>
      </c>
      <c r="O13" s="12" t="b">
        <v>0</v>
      </c>
      <c r="P13" s="12" t="b">
        <v>0</v>
      </c>
      <c r="Q13" s="12" t="b">
        <v>0</v>
      </c>
      <c r="R13" s="10" t="b">
        <v>0</v>
      </c>
      <c r="S13" s="91">
        <v>46071.0</v>
      </c>
      <c r="T13" s="6" t="s">
        <v>357</v>
      </c>
      <c r="U13" s="6" t="s">
        <v>358</v>
      </c>
      <c r="V13" s="54" t="b">
        <v>1</v>
      </c>
      <c r="W13" s="6" t="s">
        <v>1921</v>
      </c>
      <c r="X13" s="6" t="s">
        <v>357</v>
      </c>
      <c r="Y13" s="6" t="s">
        <v>358</v>
      </c>
      <c r="Z13" s="6" t="s">
        <v>1922</v>
      </c>
      <c r="AA13" s="4"/>
      <c r="AB13" s="4"/>
      <c r="AC13" s="4"/>
      <c r="AD13" s="4"/>
      <c r="AE13" s="4"/>
      <c r="AF13" s="4"/>
    </row>
    <row r="14">
      <c r="A14" s="5" t="s">
        <v>22</v>
      </c>
      <c r="B14" s="155" t="s">
        <v>1879</v>
      </c>
      <c r="C14" s="165" t="s">
        <v>1923</v>
      </c>
      <c r="D14" s="27">
        <v>9.751893889E9</v>
      </c>
      <c r="E14" s="8" t="s">
        <v>1924</v>
      </c>
      <c r="F14" s="27" t="s">
        <v>1925</v>
      </c>
      <c r="G14" s="165" t="s">
        <v>465</v>
      </c>
      <c r="H14" s="9" t="s">
        <v>716</v>
      </c>
      <c r="I14" s="10" t="b">
        <v>1</v>
      </c>
      <c r="J14" s="10" t="b">
        <v>1</v>
      </c>
      <c r="K14" s="10" t="b">
        <v>1</v>
      </c>
      <c r="L14" s="54" t="b">
        <v>1</v>
      </c>
      <c r="M14" s="12" t="b">
        <v>0</v>
      </c>
      <c r="N14" s="12" t="b">
        <v>0</v>
      </c>
      <c r="O14" s="12" t="b">
        <v>0</v>
      </c>
      <c r="P14" s="12" t="b">
        <v>0</v>
      </c>
      <c r="Q14" s="12" t="b">
        <v>0</v>
      </c>
      <c r="R14" s="10" t="b">
        <v>0</v>
      </c>
      <c r="S14" s="91">
        <v>46065.0</v>
      </c>
      <c r="T14" s="6" t="s">
        <v>543</v>
      </c>
      <c r="U14" s="6" t="s">
        <v>358</v>
      </c>
      <c r="V14" s="57" t="b">
        <v>0</v>
      </c>
      <c r="W14" s="6" t="s">
        <v>1926</v>
      </c>
      <c r="X14" s="53"/>
      <c r="Y14" s="53"/>
      <c r="Z14" s="53"/>
      <c r="AA14" s="4"/>
      <c r="AB14" s="4"/>
      <c r="AC14" s="4"/>
      <c r="AD14" s="4"/>
      <c r="AE14" s="4"/>
      <c r="AF14" s="4"/>
    </row>
    <row r="15">
      <c r="A15" s="5" t="s">
        <v>22</v>
      </c>
      <c r="B15" s="155" t="s">
        <v>1879</v>
      </c>
      <c r="C15" s="165" t="s">
        <v>1927</v>
      </c>
      <c r="D15" s="27">
        <v>8.778155795E9</v>
      </c>
      <c r="E15" s="8" t="s">
        <v>38</v>
      </c>
      <c r="F15" s="27" t="s">
        <v>1928</v>
      </c>
      <c r="G15" s="165" t="s">
        <v>1929</v>
      </c>
      <c r="H15" s="9" t="s">
        <v>716</v>
      </c>
      <c r="I15" s="10" t="b">
        <v>1</v>
      </c>
      <c r="J15" s="57" t="b">
        <v>1</v>
      </c>
      <c r="K15" s="67" t="b">
        <v>1</v>
      </c>
      <c r="L15" s="54" t="b">
        <v>1</v>
      </c>
      <c r="M15" s="12" t="b">
        <v>0</v>
      </c>
      <c r="N15" s="12" t="b">
        <v>0</v>
      </c>
      <c r="O15" s="12" t="b">
        <v>0</v>
      </c>
      <c r="P15" s="12" t="b">
        <v>0</v>
      </c>
      <c r="Q15" s="12" t="b">
        <v>0</v>
      </c>
      <c r="R15" s="10" t="b">
        <v>0</v>
      </c>
      <c r="S15" s="91">
        <v>46071.0</v>
      </c>
      <c r="T15" s="6" t="s">
        <v>357</v>
      </c>
      <c r="U15" s="6" t="s">
        <v>358</v>
      </c>
      <c r="V15" s="54" t="b">
        <v>1</v>
      </c>
      <c r="W15" s="6" t="s">
        <v>1930</v>
      </c>
      <c r="X15" s="6" t="s">
        <v>661</v>
      </c>
      <c r="Y15" s="6" t="s">
        <v>358</v>
      </c>
      <c r="Z15" s="6" t="s">
        <v>1931</v>
      </c>
      <c r="AA15" s="4"/>
      <c r="AB15" s="4"/>
      <c r="AC15" s="4"/>
      <c r="AD15" s="4"/>
      <c r="AE15" s="4"/>
      <c r="AF15" s="4"/>
    </row>
    <row r="16">
      <c r="A16" s="5" t="s">
        <v>22</v>
      </c>
      <c r="B16" s="155" t="s">
        <v>1879</v>
      </c>
      <c r="C16" s="165" t="s">
        <v>1932</v>
      </c>
      <c r="D16" s="27">
        <v>6.374145129E9</v>
      </c>
      <c r="E16" s="8" t="s">
        <v>38</v>
      </c>
      <c r="F16" s="27" t="s">
        <v>1933</v>
      </c>
      <c r="G16" s="165" t="s">
        <v>465</v>
      </c>
      <c r="H16" s="9" t="s">
        <v>716</v>
      </c>
      <c r="I16" s="10" t="b">
        <v>1</v>
      </c>
      <c r="J16" s="57" t="b">
        <v>1</v>
      </c>
      <c r="K16" s="67" t="b">
        <v>1</v>
      </c>
      <c r="L16" s="67" t="b">
        <v>1</v>
      </c>
      <c r="M16" s="67" t="b">
        <v>1</v>
      </c>
      <c r="N16" s="54" t="b">
        <v>1</v>
      </c>
      <c r="O16" s="12" t="b">
        <v>0</v>
      </c>
      <c r="P16" s="12" t="b">
        <v>0</v>
      </c>
      <c r="Q16" s="12" t="b">
        <v>0</v>
      </c>
      <c r="R16" s="10" t="b">
        <v>0</v>
      </c>
      <c r="S16" s="91">
        <v>46081.0</v>
      </c>
      <c r="T16" s="6" t="s">
        <v>357</v>
      </c>
      <c r="U16" s="6" t="s">
        <v>358</v>
      </c>
      <c r="V16" s="156" t="b">
        <v>1</v>
      </c>
      <c r="W16" s="6" t="s">
        <v>1934</v>
      </c>
      <c r="X16" s="6" t="s">
        <v>684</v>
      </c>
      <c r="Y16" s="6" t="s">
        <v>358</v>
      </c>
      <c r="Z16" s="6" t="s">
        <v>1935</v>
      </c>
      <c r="AA16" s="4"/>
      <c r="AB16" s="4"/>
      <c r="AC16" s="4"/>
      <c r="AD16" s="4"/>
      <c r="AE16" s="4"/>
      <c r="AF16" s="4"/>
    </row>
    <row r="17">
      <c r="A17" s="5" t="s">
        <v>22</v>
      </c>
      <c r="B17" s="155" t="s">
        <v>1879</v>
      </c>
      <c r="C17" s="165" t="s">
        <v>1936</v>
      </c>
      <c r="D17" s="27">
        <v>9.489740991E9</v>
      </c>
      <c r="E17" s="8" t="s">
        <v>38</v>
      </c>
      <c r="F17" s="27" t="s">
        <v>1937</v>
      </c>
      <c r="G17" s="165" t="s">
        <v>465</v>
      </c>
      <c r="H17" s="9" t="s">
        <v>716</v>
      </c>
      <c r="I17" s="10" t="b">
        <v>1</v>
      </c>
      <c r="J17" s="10" t="b">
        <v>1</v>
      </c>
      <c r="K17" s="57" t="b">
        <v>1</v>
      </c>
      <c r="L17" s="54" t="b">
        <v>1</v>
      </c>
      <c r="M17" s="12" t="b">
        <v>0</v>
      </c>
      <c r="N17" s="12" t="b">
        <v>0</v>
      </c>
      <c r="O17" s="12" t="b">
        <v>0</v>
      </c>
      <c r="P17" s="12" t="b">
        <v>0</v>
      </c>
      <c r="Q17" s="12" t="b">
        <v>0</v>
      </c>
      <c r="R17" s="10" t="b">
        <v>0</v>
      </c>
      <c r="S17" s="91">
        <v>46064.0</v>
      </c>
      <c r="T17" s="6" t="s">
        <v>357</v>
      </c>
      <c r="U17" s="6" t="s">
        <v>358</v>
      </c>
      <c r="V17" s="57" t="b">
        <v>0</v>
      </c>
      <c r="W17" s="6" t="s">
        <v>1938</v>
      </c>
      <c r="X17" s="6" t="s">
        <v>357</v>
      </c>
      <c r="Y17" s="6" t="s">
        <v>358</v>
      </c>
      <c r="Z17" s="6" t="s">
        <v>1939</v>
      </c>
      <c r="AA17" s="4"/>
      <c r="AB17" s="4"/>
      <c r="AC17" s="4"/>
      <c r="AD17" s="4"/>
      <c r="AE17" s="4"/>
      <c r="AF17" s="4"/>
    </row>
    <row r="18">
      <c r="A18" s="5" t="s">
        <v>22</v>
      </c>
      <c r="B18" s="155" t="s">
        <v>1879</v>
      </c>
      <c r="C18" s="165" t="s">
        <v>1940</v>
      </c>
      <c r="D18" s="27">
        <v>6.382299255E9</v>
      </c>
      <c r="E18" s="8" t="s">
        <v>1396</v>
      </c>
      <c r="F18" s="27" t="s">
        <v>1941</v>
      </c>
      <c r="G18" s="165" t="s">
        <v>465</v>
      </c>
      <c r="H18" s="9" t="s">
        <v>716</v>
      </c>
      <c r="I18" s="10" t="b">
        <v>1</v>
      </c>
      <c r="J18" s="57" t="b">
        <v>1</v>
      </c>
      <c r="K18" s="57" t="b">
        <v>1</v>
      </c>
      <c r="L18" s="67" t="b">
        <v>1</v>
      </c>
      <c r="M18" s="54" t="b">
        <v>1</v>
      </c>
      <c r="N18" s="12" t="b">
        <v>0</v>
      </c>
      <c r="O18" s="12" t="b">
        <v>0</v>
      </c>
      <c r="P18" s="12" t="b">
        <v>0</v>
      </c>
      <c r="Q18" s="12" t="b">
        <v>0</v>
      </c>
      <c r="R18" s="10" t="b">
        <v>0</v>
      </c>
      <c r="S18" s="91">
        <v>46169.0</v>
      </c>
      <c r="T18" s="6" t="s">
        <v>357</v>
      </c>
      <c r="U18" s="6" t="s">
        <v>358</v>
      </c>
      <c r="V18" s="54" t="b">
        <v>1</v>
      </c>
      <c r="W18" s="6" t="s">
        <v>1942</v>
      </c>
      <c r="X18" s="6" t="s">
        <v>382</v>
      </c>
      <c r="Y18" s="6" t="s">
        <v>358</v>
      </c>
      <c r="Z18" s="6" t="s">
        <v>1943</v>
      </c>
      <c r="AA18" s="4"/>
      <c r="AB18" s="4"/>
      <c r="AC18" s="4"/>
      <c r="AD18" s="4"/>
      <c r="AE18" s="4"/>
      <c r="AF18" s="4"/>
    </row>
    <row r="19">
      <c r="A19" s="5" t="s">
        <v>22</v>
      </c>
      <c r="B19" s="155" t="s">
        <v>1761</v>
      </c>
      <c r="C19" s="165" t="s">
        <v>1944</v>
      </c>
      <c r="D19" s="27">
        <v>9.59750257E9</v>
      </c>
      <c r="E19" s="8" t="s">
        <v>38</v>
      </c>
      <c r="F19" s="27" t="s">
        <v>1945</v>
      </c>
      <c r="G19" s="165" t="s">
        <v>1946</v>
      </c>
      <c r="H19" s="9" t="s">
        <v>1001</v>
      </c>
      <c r="I19" s="57" t="b">
        <v>1</v>
      </c>
      <c r="J19" s="67" t="b">
        <v>1</v>
      </c>
      <c r="K19" s="71" t="b">
        <v>1</v>
      </c>
      <c r="L19" s="12" t="b">
        <v>0</v>
      </c>
      <c r="M19" s="12" t="b">
        <v>0</v>
      </c>
      <c r="N19" s="12" t="b">
        <v>0</v>
      </c>
      <c r="O19" s="12" t="b">
        <v>0</v>
      </c>
      <c r="P19" s="12" t="b">
        <v>0</v>
      </c>
      <c r="Q19" s="12" t="b">
        <v>0</v>
      </c>
      <c r="R19" s="10" t="b">
        <v>0</v>
      </c>
      <c r="S19" s="91">
        <v>46065.0</v>
      </c>
      <c r="T19" s="6" t="s">
        <v>890</v>
      </c>
      <c r="U19" s="6" t="s">
        <v>891</v>
      </c>
      <c r="V19" s="57" t="b">
        <v>1</v>
      </c>
      <c r="W19" s="6" t="s">
        <v>1947</v>
      </c>
      <c r="X19" s="6" t="s">
        <v>890</v>
      </c>
      <c r="Y19" s="6" t="s">
        <v>891</v>
      </c>
      <c r="Z19" s="6" t="s">
        <v>1948</v>
      </c>
      <c r="AA19" s="4"/>
      <c r="AB19" s="4"/>
      <c r="AC19" s="4"/>
      <c r="AD19" s="4"/>
      <c r="AE19" s="4"/>
      <c r="AF19" s="4"/>
    </row>
    <row r="20">
      <c r="A20" s="5" t="s">
        <v>22</v>
      </c>
      <c r="B20" s="155" t="s">
        <v>1949</v>
      </c>
      <c r="C20" s="165" t="s">
        <v>1950</v>
      </c>
      <c r="D20" s="27">
        <v>7.397502347E9</v>
      </c>
      <c r="E20" s="8" t="s">
        <v>38</v>
      </c>
      <c r="F20" s="27" t="s">
        <v>1951</v>
      </c>
      <c r="G20" s="165" t="s">
        <v>542</v>
      </c>
      <c r="H20" s="9" t="s">
        <v>716</v>
      </c>
      <c r="I20" s="10" t="b">
        <v>1</v>
      </c>
      <c r="J20" s="57" t="b">
        <v>1</v>
      </c>
      <c r="K20" s="54" t="b">
        <v>1</v>
      </c>
      <c r="L20" s="12" t="b">
        <v>0</v>
      </c>
      <c r="M20" s="12" t="b">
        <v>0</v>
      </c>
      <c r="N20" s="12" t="b">
        <v>0</v>
      </c>
      <c r="O20" s="12" t="b">
        <v>0</v>
      </c>
      <c r="P20" s="12" t="b">
        <v>0</v>
      </c>
      <c r="Q20" s="12" t="b">
        <v>0</v>
      </c>
      <c r="R20" s="10" t="b">
        <v>0</v>
      </c>
      <c r="S20" s="91">
        <v>46066.0</v>
      </c>
      <c r="T20" s="6" t="s">
        <v>357</v>
      </c>
      <c r="U20" s="6" t="s">
        <v>358</v>
      </c>
      <c r="V20" s="57" t="b">
        <v>0</v>
      </c>
      <c r="W20" s="6" t="s">
        <v>1952</v>
      </c>
      <c r="X20" s="6" t="s">
        <v>357</v>
      </c>
      <c r="Y20" s="6" t="s">
        <v>358</v>
      </c>
      <c r="Z20" s="6" t="s">
        <v>1953</v>
      </c>
      <c r="AA20" s="4"/>
      <c r="AB20" s="4"/>
      <c r="AC20" s="4"/>
      <c r="AD20" s="4"/>
      <c r="AE20" s="4"/>
      <c r="AF20" s="4"/>
    </row>
    <row r="21">
      <c r="A21" s="5" t="s">
        <v>22</v>
      </c>
      <c r="B21" s="155" t="s">
        <v>1949</v>
      </c>
      <c r="C21" s="165" t="s">
        <v>1954</v>
      </c>
      <c r="D21" s="27">
        <v>9.080887045E9</v>
      </c>
      <c r="E21" s="8" t="s">
        <v>1378</v>
      </c>
      <c r="F21" s="27" t="s">
        <v>1955</v>
      </c>
      <c r="G21" s="165" t="s">
        <v>727</v>
      </c>
      <c r="H21" s="9" t="s">
        <v>716</v>
      </c>
      <c r="I21" s="10" t="b">
        <v>1</v>
      </c>
      <c r="J21" s="10" t="b">
        <v>1</v>
      </c>
      <c r="K21" s="54" t="b">
        <v>1</v>
      </c>
      <c r="L21" s="12" t="b">
        <v>0</v>
      </c>
      <c r="M21" s="12" t="b">
        <v>0</v>
      </c>
      <c r="N21" s="12" t="b">
        <v>0</v>
      </c>
      <c r="O21" s="12" t="b">
        <v>0</v>
      </c>
      <c r="P21" s="12" t="b">
        <v>0</v>
      </c>
      <c r="Q21" s="12" t="b">
        <v>0</v>
      </c>
      <c r="R21" s="10" t="b">
        <v>0</v>
      </c>
      <c r="S21" s="91">
        <v>46063.0</v>
      </c>
      <c r="T21" s="6" t="s">
        <v>357</v>
      </c>
      <c r="U21" s="6" t="s">
        <v>358</v>
      </c>
      <c r="V21" s="57" t="b">
        <v>0</v>
      </c>
      <c r="W21" s="6" t="s">
        <v>1956</v>
      </c>
      <c r="X21" s="53"/>
      <c r="Y21" s="53"/>
      <c r="Z21" s="53"/>
      <c r="AA21" s="4"/>
      <c r="AB21" s="4"/>
      <c r="AC21" s="4"/>
      <c r="AD21" s="4"/>
      <c r="AE21" s="4"/>
      <c r="AF21" s="4"/>
    </row>
    <row r="22">
      <c r="A22" s="5" t="s">
        <v>22</v>
      </c>
      <c r="B22" s="155" t="s">
        <v>1949</v>
      </c>
      <c r="C22" s="165" t="s">
        <v>1957</v>
      </c>
      <c r="D22" s="27">
        <v>9.94454686E9</v>
      </c>
      <c r="E22" s="8" t="s">
        <v>38</v>
      </c>
      <c r="F22" s="27" t="s">
        <v>1958</v>
      </c>
      <c r="G22" s="165" t="s">
        <v>542</v>
      </c>
      <c r="H22" s="9" t="s">
        <v>716</v>
      </c>
      <c r="I22" s="57" t="b">
        <v>1</v>
      </c>
      <c r="J22" s="57" t="b">
        <v>1</v>
      </c>
      <c r="K22" s="57" t="b">
        <v>1</v>
      </c>
      <c r="L22" s="54" t="b">
        <v>1</v>
      </c>
      <c r="M22" s="12" t="b">
        <v>0</v>
      </c>
      <c r="N22" s="12" t="b">
        <v>0</v>
      </c>
      <c r="O22" s="12" t="b">
        <v>0</v>
      </c>
      <c r="P22" s="12" t="b">
        <v>0</v>
      </c>
      <c r="Q22" s="12" t="b">
        <v>0</v>
      </c>
      <c r="R22" s="10" t="b">
        <v>0</v>
      </c>
      <c r="S22" s="91">
        <v>46076.0</v>
      </c>
      <c r="T22" s="6" t="s">
        <v>424</v>
      </c>
      <c r="U22" s="6" t="s">
        <v>358</v>
      </c>
      <c r="V22" s="54" t="b">
        <v>1</v>
      </c>
      <c r="W22" s="6" t="s">
        <v>1959</v>
      </c>
      <c r="X22" s="6" t="s">
        <v>424</v>
      </c>
      <c r="Y22" s="6" t="s">
        <v>358</v>
      </c>
      <c r="Z22" s="6" t="s">
        <v>1960</v>
      </c>
      <c r="AA22" s="4"/>
      <c r="AB22" s="4"/>
      <c r="AC22" s="4"/>
      <c r="AD22" s="4"/>
      <c r="AE22" s="4"/>
      <c r="AF22" s="4"/>
    </row>
    <row r="23">
      <c r="A23" s="5" t="s">
        <v>22</v>
      </c>
      <c r="B23" s="155" t="s">
        <v>1949</v>
      </c>
      <c r="C23" s="165" t="s">
        <v>1961</v>
      </c>
      <c r="D23" s="27">
        <v>9.361276101E9</v>
      </c>
      <c r="E23" s="8" t="s">
        <v>38</v>
      </c>
      <c r="F23" s="27" t="s">
        <v>1962</v>
      </c>
      <c r="G23" s="165" t="s">
        <v>510</v>
      </c>
      <c r="H23" s="9" t="s">
        <v>716</v>
      </c>
      <c r="I23" s="10" t="b">
        <v>1</v>
      </c>
      <c r="J23" s="57" t="b">
        <v>1</v>
      </c>
      <c r="K23" s="57" t="b">
        <v>1</v>
      </c>
      <c r="L23" s="57" t="b">
        <v>1</v>
      </c>
      <c r="M23" s="57" t="b">
        <v>1</v>
      </c>
      <c r="N23" s="54" t="b">
        <v>1</v>
      </c>
      <c r="O23" s="12" t="b">
        <v>0</v>
      </c>
      <c r="P23" s="12" t="b">
        <v>0</v>
      </c>
      <c r="Q23" s="12" t="b">
        <v>0</v>
      </c>
      <c r="R23" s="10" t="b">
        <v>0</v>
      </c>
      <c r="S23" s="91">
        <v>46097.0</v>
      </c>
      <c r="T23" s="6" t="s">
        <v>357</v>
      </c>
      <c r="U23" s="6" t="s">
        <v>358</v>
      </c>
      <c r="V23" s="57" t="b">
        <v>0</v>
      </c>
      <c r="W23" s="6" t="s">
        <v>1963</v>
      </c>
      <c r="X23" s="6" t="s">
        <v>684</v>
      </c>
      <c r="Y23" s="6" t="s">
        <v>358</v>
      </c>
      <c r="Z23" s="6" t="s">
        <v>1964</v>
      </c>
      <c r="AA23" s="4"/>
      <c r="AB23" s="4"/>
      <c r="AC23" s="4"/>
      <c r="AD23" s="4"/>
      <c r="AE23" s="4"/>
      <c r="AF23" s="4"/>
    </row>
    <row r="24">
      <c r="A24" s="5" t="s">
        <v>22</v>
      </c>
      <c r="B24" s="155" t="s">
        <v>1949</v>
      </c>
      <c r="C24" s="165" t="s">
        <v>1965</v>
      </c>
      <c r="D24" s="27">
        <v>8.015481326E9</v>
      </c>
      <c r="E24" s="8" t="s">
        <v>38</v>
      </c>
      <c r="F24" s="27" t="s">
        <v>1966</v>
      </c>
      <c r="G24" s="165" t="s">
        <v>1967</v>
      </c>
      <c r="H24" s="9" t="s">
        <v>716</v>
      </c>
      <c r="I24" s="10" t="b">
        <v>1</v>
      </c>
      <c r="J24" s="10" t="b">
        <v>1</v>
      </c>
      <c r="K24" s="10" t="b">
        <v>1</v>
      </c>
      <c r="L24" s="10" t="b">
        <v>1</v>
      </c>
      <c r="M24" s="10" t="b">
        <v>1</v>
      </c>
      <c r="N24" s="54" t="b">
        <v>1</v>
      </c>
      <c r="O24" s="12" t="b">
        <v>0</v>
      </c>
      <c r="P24" s="12" t="b">
        <v>0</v>
      </c>
      <c r="Q24" s="12" t="b">
        <v>0</v>
      </c>
      <c r="R24" s="10" t="b">
        <v>0</v>
      </c>
      <c r="S24" s="91">
        <v>46070.0</v>
      </c>
      <c r="T24" s="6" t="s">
        <v>357</v>
      </c>
      <c r="U24" s="6" t="s">
        <v>358</v>
      </c>
      <c r="V24" s="57" t="b">
        <v>0</v>
      </c>
      <c r="W24" s="6" t="s">
        <v>1968</v>
      </c>
      <c r="X24" s="53"/>
      <c r="Y24" s="53"/>
      <c r="Z24" s="53"/>
      <c r="AA24" s="4"/>
      <c r="AB24" s="4"/>
      <c r="AC24" s="4"/>
      <c r="AD24" s="4"/>
      <c r="AE24" s="4"/>
      <c r="AF24" s="4"/>
    </row>
    <row r="25">
      <c r="A25" s="5" t="s">
        <v>22</v>
      </c>
      <c r="B25" s="155" t="s">
        <v>1949</v>
      </c>
      <c r="C25" s="165" t="s">
        <v>1969</v>
      </c>
      <c r="D25" s="27">
        <v>9.597405472E9</v>
      </c>
      <c r="E25" s="8" t="s">
        <v>1924</v>
      </c>
      <c r="F25" s="27" t="s">
        <v>1970</v>
      </c>
      <c r="G25" s="165" t="s">
        <v>465</v>
      </c>
      <c r="H25" s="9" t="s">
        <v>716</v>
      </c>
      <c r="I25" s="54" t="b">
        <v>1</v>
      </c>
      <c r="J25" s="10" t="b">
        <v>0</v>
      </c>
      <c r="K25" s="12" t="b">
        <v>0</v>
      </c>
      <c r="L25" s="12" t="b">
        <v>0</v>
      </c>
      <c r="M25" s="12" t="b">
        <v>0</v>
      </c>
      <c r="N25" s="12" t="b">
        <v>0</v>
      </c>
      <c r="O25" s="12" t="b">
        <v>0</v>
      </c>
      <c r="P25" s="12" t="b">
        <v>0</v>
      </c>
      <c r="Q25" s="12" t="b">
        <v>0</v>
      </c>
      <c r="R25" s="10" t="b">
        <v>0</v>
      </c>
      <c r="S25" s="91">
        <v>46062.0</v>
      </c>
      <c r="T25" s="6" t="s">
        <v>543</v>
      </c>
      <c r="U25" s="6" t="s">
        <v>358</v>
      </c>
      <c r="V25" s="57" t="b">
        <v>0</v>
      </c>
      <c r="W25" s="6" t="s">
        <v>1971</v>
      </c>
      <c r="X25" s="53"/>
      <c r="Y25" s="53"/>
      <c r="Z25" s="53"/>
      <c r="AA25" s="4"/>
      <c r="AB25" s="4"/>
      <c r="AC25" s="4"/>
      <c r="AD25" s="4"/>
      <c r="AE25" s="4"/>
      <c r="AF25" s="4"/>
    </row>
    <row r="26">
      <c r="A26" s="5" t="s">
        <v>22</v>
      </c>
      <c r="B26" s="155" t="s">
        <v>1949</v>
      </c>
      <c r="C26" s="165" t="s">
        <v>701</v>
      </c>
      <c r="D26" s="27">
        <v>7.904642421E9</v>
      </c>
      <c r="E26" s="8"/>
      <c r="F26" s="27" t="s">
        <v>1972</v>
      </c>
      <c r="G26" s="165" t="s">
        <v>393</v>
      </c>
      <c r="H26" s="9" t="s">
        <v>716</v>
      </c>
      <c r="I26" s="10" t="b">
        <v>1</v>
      </c>
      <c r="J26" s="54" t="b">
        <v>1</v>
      </c>
      <c r="K26" s="12" t="b">
        <v>0</v>
      </c>
      <c r="L26" s="12" t="b">
        <v>0</v>
      </c>
      <c r="M26" s="12" t="b">
        <v>0</v>
      </c>
      <c r="N26" s="12" t="b">
        <v>0</v>
      </c>
      <c r="O26" s="12" t="b">
        <v>0</v>
      </c>
      <c r="P26" s="12" t="b">
        <v>0</v>
      </c>
      <c r="Q26" s="12" t="b">
        <v>0</v>
      </c>
      <c r="R26" s="10" t="b">
        <v>0</v>
      </c>
      <c r="S26" s="91">
        <v>46063.0</v>
      </c>
      <c r="T26" s="6" t="s">
        <v>543</v>
      </c>
      <c r="U26" s="6" t="s">
        <v>358</v>
      </c>
      <c r="V26" s="57" t="b">
        <v>0</v>
      </c>
      <c r="W26" s="6" t="s">
        <v>1973</v>
      </c>
      <c r="X26" s="53"/>
      <c r="Y26" s="53"/>
      <c r="Z26" s="53"/>
      <c r="AA26" s="4"/>
      <c r="AB26" s="4"/>
      <c r="AC26" s="4"/>
      <c r="AD26" s="4"/>
      <c r="AE26" s="4"/>
      <c r="AF26" s="4"/>
    </row>
    <row r="27">
      <c r="A27" s="5" t="s">
        <v>22</v>
      </c>
      <c r="B27" s="155" t="s">
        <v>1949</v>
      </c>
      <c r="C27" s="165" t="s">
        <v>1974</v>
      </c>
      <c r="D27" s="27">
        <v>9.994247677E9</v>
      </c>
      <c r="E27" s="8" t="s">
        <v>1924</v>
      </c>
      <c r="F27" s="27" t="s">
        <v>1975</v>
      </c>
      <c r="G27" s="165" t="s">
        <v>1976</v>
      </c>
      <c r="H27" s="9" t="s">
        <v>716</v>
      </c>
      <c r="I27" s="10" t="b">
        <v>1</v>
      </c>
      <c r="J27" s="10" t="b">
        <v>1</v>
      </c>
      <c r="K27" s="10" t="b">
        <v>1</v>
      </c>
      <c r="L27" s="10" t="b">
        <v>1</v>
      </c>
      <c r="M27" s="10" t="b">
        <v>1</v>
      </c>
      <c r="N27" s="54" t="b">
        <v>1</v>
      </c>
      <c r="O27" s="12" t="b">
        <v>0</v>
      </c>
      <c r="P27" s="12" t="b">
        <v>0</v>
      </c>
      <c r="Q27" s="12" t="b">
        <v>0</v>
      </c>
      <c r="R27" s="10" t="b">
        <v>0</v>
      </c>
      <c r="S27" s="91">
        <v>46074.0</v>
      </c>
      <c r="T27" s="6" t="s">
        <v>357</v>
      </c>
      <c r="U27" s="6" t="s">
        <v>358</v>
      </c>
      <c r="V27" s="57" t="b">
        <v>0</v>
      </c>
      <c r="W27" s="6" t="s">
        <v>1977</v>
      </c>
      <c r="X27" s="53"/>
      <c r="Y27" s="53"/>
      <c r="Z27" s="53"/>
      <c r="AA27" s="4"/>
      <c r="AB27" s="4"/>
      <c r="AC27" s="4"/>
      <c r="AD27" s="4"/>
      <c r="AE27" s="4"/>
      <c r="AF27" s="4"/>
    </row>
    <row r="28">
      <c r="A28" s="5" t="s">
        <v>22</v>
      </c>
      <c r="B28" s="155" t="s">
        <v>1949</v>
      </c>
      <c r="C28" s="165" t="s">
        <v>1978</v>
      </c>
      <c r="D28" s="27">
        <v>9.843418206E9</v>
      </c>
      <c r="E28" s="8" t="s">
        <v>38</v>
      </c>
      <c r="F28" s="27" t="s">
        <v>1979</v>
      </c>
      <c r="G28" s="165" t="s">
        <v>654</v>
      </c>
      <c r="H28" s="9" t="s">
        <v>716</v>
      </c>
      <c r="I28" s="10" t="b">
        <v>1</v>
      </c>
      <c r="J28" s="10" t="b">
        <v>1</v>
      </c>
      <c r="K28" s="10" t="b">
        <v>1</v>
      </c>
      <c r="L28" s="57" t="b">
        <v>1</v>
      </c>
      <c r="M28" s="57" t="b">
        <v>1</v>
      </c>
      <c r="N28" s="57" t="b">
        <v>1</v>
      </c>
      <c r="O28" s="67" t="b">
        <v>1</v>
      </c>
      <c r="P28" s="67" t="b">
        <v>1</v>
      </c>
      <c r="Q28" s="67" t="b">
        <v>1</v>
      </c>
      <c r="R28" s="54" t="b">
        <v>1</v>
      </c>
      <c r="S28" s="91">
        <v>46077.0</v>
      </c>
      <c r="T28" s="6" t="s">
        <v>357</v>
      </c>
      <c r="U28" s="6" t="s">
        <v>358</v>
      </c>
      <c r="V28" s="54" t="b">
        <v>1</v>
      </c>
      <c r="W28" s="6" t="s">
        <v>1980</v>
      </c>
      <c r="X28" s="6" t="s">
        <v>661</v>
      </c>
      <c r="Y28" s="6" t="s">
        <v>358</v>
      </c>
      <c r="Z28" s="6" t="s">
        <v>1981</v>
      </c>
      <c r="AA28" s="4"/>
      <c r="AB28" s="4"/>
      <c r="AC28" s="4"/>
      <c r="AD28" s="4"/>
      <c r="AE28" s="4"/>
      <c r="AF28" s="4"/>
    </row>
    <row r="29">
      <c r="A29" s="5" t="s">
        <v>22</v>
      </c>
      <c r="B29" s="155" t="s">
        <v>1949</v>
      </c>
      <c r="C29" s="165" t="s">
        <v>1982</v>
      </c>
      <c r="D29" s="27">
        <v>6.379517372E9</v>
      </c>
      <c r="E29" s="8" t="s">
        <v>38</v>
      </c>
      <c r="F29" s="27" t="s">
        <v>1983</v>
      </c>
      <c r="G29" s="165" t="s">
        <v>393</v>
      </c>
      <c r="H29" s="9" t="s">
        <v>716</v>
      </c>
      <c r="I29" s="10" t="b">
        <v>1</v>
      </c>
      <c r="J29" s="10" t="b">
        <v>1</v>
      </c>
      <c r="K29" s="57" t="b">
        <v>1</v>
      </c>
      <c r="L29" s="57" t="b">
        <v>1</v>
      </c>
      <c r="M29" s="57" t="b">
        <v>1</v>
      </c>
      <c r="N29" s="54" t="b">
        <v>1</v>
      </c>
      <c r="O29" s="12" t="b">
        <v>0</v>
      </c>
      <c r="P29" s="12" t="b">
        <v>0</v>
      </c>
      <c r="Q29" s="12" t="b">
        <v>0</v>
      </c>
      <c r="R29" s="10" t="b">
        <v>0</v>
      </c>
      <c r="S29" s="91">
        <v>46070.0</v>
      </c>
      <c r="T29" s="6" t="s">
        <v>357</v>
      </c>
      <c r="U29" s="6" t="s">
        <v>358</v>
      </c>
      <c r="V29" s="57" t="b">
        <v>0</v>
      </c>
      <c r="W29" s="6" t="s">
        <v>1984</v>
      </c>
      <c r="X29" s="6" t="s">
        <v>382</v>
      </c>
      <c r="Y29" s="6" t="s">
        <v>358</v>
      </c>
      <c r="Z29" s="6" t="s">
        <v>1985</v>
      </c>
      <c r="AA29" s="4"/>
      <c r="AB29" s="4"/>
      <c r="AC29" s="4"/>
      <c r="AD29" s="4"/>
      <c r="AE29" s="4"/>
      <c r="AF29" s="4"/>
    </row>
    <row r="30">
      <c r="A30" s="5" t="s">
        <v>22</v>
      </c>
      <c r="B30" s="155" t="s">
        <v>1949</v>
      </c>
      <c r="C30" s="9" t="s">
        <v>1944</v>
      </c>
      <c r="D30" s="13">
        <v>9.384613892E9</v>
      </c>
      <c r="E30" s="8" t="s">
        <v>38</v>
      </c>
      <c r="F30" s="28" t="s">
        <v>1986</v>
      </c>
      <c r="G30" s="8" t="s">
        <v>409</v>
      </c>
      <c r="H30" s="9" t="s">
        <v>716</v>
      </c>
      <c r="I30" s="10" t="b">
        <v>1</v>
      </c>
      <c r="J30" s="10" t="b">
        <v>1</v>
      </c>
      <c r="K30" s="10" t="b">
        <v>1</v>
      </c>
      <c r="L30" s="10" t="b">
        <v>1</v>
      </c>
      <c r="M30" s="57" t="b">
        <v>1</v>
      </c>
      <c r="N30" s="57" t="b">
        <v>1</v>
      </c>
      <c r="O30" s="54" t="b">
        <v>1</v>
      </c>
      <c r="P30" s="10" t="b">
        <v>0</v>
      </c>
      <c r="Q30" s="10" t="b">
        <v>0</v>
      </c>
      <c r="R30" s="10" t="b">
        <v>0</v>
      </c>
      <c r="S30" s="91">
        <v>46074.0</v>
      </c>
      <c r="T30" s="6" t="s">
        <v>357</v>
      </c>
      <c r="U30" s="6" t="s">
        <v>358</v>
      </c>
      <c r="V30" s="54" t="b">
        <v>1</v>
      </c>
      <c r="W30" s="6" t="s">
        <v>1987</v>
      </c>
      <c r="X30" s="6" t="s">
        <v>382</v>
      </c>
      <c r="Y30" s="6" t="s">
        <v>358</v>
      </c>
      <c r="Z30" s="6" t="s">
        <v>1988</v>
      </c>
      <c r="AA30" s="4"/>
      <c r="AB30" s="4"/>
      <c r="AC30" s="4"/>
      <c r="AD30" s="4"/>
      <c r="AE30" s="4"/>
      <c r="AF30" s="4"/>
    </row>
    <row r="31">
      <c r="A31" s="5" t="s">
        <v>22</v>
      </c>
      <c r="B31" s="155" t="s">
        <v>1879</v>
      </c>
      <c r="C31" s="9" t="s">
        <v>1989</v>
      </c>
      <c r="D31" s="13">
        <v>9.159312858E9</v>
      </c>
      <c r="E31" s="8" t="s">
        <v>38</v>
      </c>
      <c r="F31" s="28" t="s">
        <v>1990</v>
      </c>
      <c r="G31" s="9" t="s">
        <v>409</v>
      </c>
      <c r="H31" s="9" t="s">
        <v>716</v>
      </c>
      <c r="I31" s="10" t="b">
        <v>1</v>
      </c>
      <c r="J31" s="10" t="b">
        <v>1</v>
      </c>
      <c r="K31" s="57" t="b">
        <v>1</v>
      </c>
      <c r="L31" s="67" t="b">
        <v>1</v>
      </c>
      <c r="M31" s="67" t="b">
        <v>1</v>
      </c>
      <c r="N31" s="67" t="b">
        <v>1</v>
      </c>
      <c r="O31" s="54" t="b">
        <v>1</v>
      </c>
      <c r="P31" s="10" t="b">
        <v>0</v>
      </c>
      <c r="Q31" s="10" t="b">
        <v>0</v>
      </c>
      <c r="R31" s="10" t="b">
        <v>0</v>
      </c>
      <c r="S31" s="91">
        <v>46079.0</v>
      </c>
      <c r="T31" s="6" t="s">
        <v>357</v>
      </c>
      <c r="U31" s="6" t="s">
        <v>358</v>
      </c>
      <c r="V31" s="54" t="b">
        <v>1</v>
      </c>
      <c r="W31" s="6" t="s">
        <v>1991</v>
      </c>
      <c r="X31" s="6" t="s">
        <v>382</v>
      </c>
      <c r="Y31" s="6" t="s">
        <v>358</v>
      </c>
      <c r="Z31" s="9" t="s">
        <v>1992</v>
      </c>
      <c r="AA31" s="4"/>
      <c r="AB31" s="4"/>
      <c r="AC31" s="4"/>
      <c r="AD31" s="4"/>
      <c r="AE31" s="4"/>
      <c r="AF31" s="4"/>
    </row>
    <row r="32">
      <c r="A32" s="30" t="s">
        <v>22</v>
      </c>
      <c r="B32" s="155" t="s">
        <v>1949</v>
      </c>
      <c r="C32" s="9" t="s">
        <v>1993</v>
      </c>
      <c r="D32" s="28">
        <v>6.382339583E9</v>
      </c>
      <c r="E32" s="8" t="s">
        <v>38</v>
      </c>
      <c r="F32" s="28" t="s">
        <v>1994</v>
      </c>
      <c r="G32" s="8" t="s">
        <v>465</v>
      </c>
      <c r="H32" s="9" t="s">
        <v>716</v>
      </c>
      <c r="I32" s="57" t="b">
        <v>1</v>
      </c>
      <c r="J32" s="67" t="b">
        <v>1</v>
      </c>
      <c r="K32" s="67" t="b">
        <v>1</v>
      </c>
      <c r="L32" s="67" t="b">
        <v>1</v>
      </c>
      <c r="M32" s="54" t="b">
        <v>1</v>
      </c>
      <c r="N32" s="10" t="b">
        <v>0</v>
      </c>
      <c r="O32" s="10" t="b">
        <v>0</v>
      </c>
      <c r="P32" s="10" t="b">
        <v>0</v>
      </c>
      <c r="Q32" s="10" t="b">
        <v>0</v>
      </c>
      <c r="R32" s="10" t="b">
        <v>0</v>
      </c>
      <c r="S32" s="91">
        <v>46079.0</v>
      </c>
      <c r="T32" s="6" t="s">
        <v>357</v>
      </c>
      <c r="U32" s="6" t="s">
        <v>358</v>
      </c>
      <c r="V32" s="54" t="b">
        <v>1</v>
      </c>
      <c r="W32" s="9" t="s">
        <v>1995</v>
      </c>
      <c r="X32" s="6" t="s">
        <v>382</v>
      </c>
      <c r="Y32" s="6" t="s">
        <v>358</v>
      </c>
      <c r="Z32" s="6" t="s">
        <v>1996</v>
      </c>
      <c r="AA32" s="4"/>
      <c r="AB32" s="4"/>
      <c r="AC32" s="4"/>
      <c r="AD32" s="4"/>
      <c r="AE32" s="4"/>
      <c r="AF32" s="4"/>
    </row>
    <row r="33">
      <c r="A33" s="5" t="s">
        <v>22</v>
      </c>
      <c r="B33" s="155" t="s">
        <v>1879</v>
      </c>
      <c r="C33" s="9" t="s">
        <v>1997</v>
      </c>
      <c r="D33" s="28">
        <v>6.379524741E9</v>
      </c>
      <c r="E33" s="8" t="s">
        <v>38</v>
      </c>
      <c r="F33" s="28" t="s">
        <v>1998</v>
      </c>
      <c r="G33" s="8" t="s">
        <v>1579</v>
      </c>
      <c r="H33" s="9" t="s">
        <v>716</v>
      </c>
      <c r="I33" s="54" t="b">
        <v>1</v>
      </c>
      <c r="J33" s="10" t="b">
        <v>0</v>
      </c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  <c r="R33" s="10" t="b">
        <v>0</v>
      </c>
      <c r="S33" s="91">
        <v>46063.0</v>
      </c>
      <c r="T33" s="6" t="s">
        <v>357</v>
      </c>
      <c r="U33" s="6" t="s">
        <v>358</v>
      </c>
      <c r="V33" s="57" t="b">
        <v>0</v>
      </c>
      <c r="W33" s="9" t="s">
        <v>1999</v>
      </c>
      <c r="X33" s="53"/>
      <c r="Y33" s="53"/>
      <c r="Z33" s="4"/>
      <c r="AA33" s="4"/>
      <c r="AB33" s="4"/>
      <c r="AC33" s="4"/>
      <c r="AD33" s="4"/>
      <c r="AE33" s="4"/>
      <c r="AF33" s="4"/>
    </row>
    <row r="34">
      <c r="A34" s="5" t="s">
        <v>22</v>
      </c>
      <c r="B34" s="155" t="s">
        <v>1949</v>
      </c>
      <c r="C34" s="8" t="s">
        <v>2000</v>
      </c>
      <c r="D34" s="28">
        <v>7.540031611E9</v>
      </c>
      <c r="E34" s="8" t="s">
        <v>38</v>
      </c>
      <c r="F34" s="28" t="s">
        <v>2001</v>
      </c>
      <c r="G34" s="8" t="s">
        <v>973</v>
      </c>
      <c r="H34" s="9" t="s">
        <v>716</v>
      </c>
      <c r="I34" s="10" t="b">
        <v>1</v>
      </c>
      <c r="J34" s="57" t="b">
        <v>1</v>
      </c>
      <c r="K34" s="57" t="b">
        <v>1</v>
      </c>
      <c r="L34" s="57" t="b">
        <v>1</v>
      </c>
      <c r="M34" s="57" t="b">
        <v>1</v>
      </c>
      <c r="N34" s="54" t="b">
        <v>1</v>
      </c>
      <c r="O34" s="10" t="b">
        <v>0</v>
      </c>
      <c r="P34" s="10" t="b">
        <v>0</v>
      </c>
      <c r="Q34" s="10" t="b">
        <v>0</v>
      </c>
      <c r="R34" s="10" t="b">
        <v>0</v>
      </c>
      <c r="S34" s="91">
        <v>46071.0</v>
      </c>
      <c r="T34" s="6" t="s">
        <v>357</v>
      </c>
      <c r="U34" s="6" t="s">
        <v>358</v>
      </c>
      <c r="V34" s="57" t="b">
        <v>0</v>
      </c>
      <c r="W34" s="9" t="s">
        <v>2002</v>
      </c>
      <c r="X34" s="6" t="s">
        <v>357</v>
      </c>
      <c r="Y34" s="6" t="s">
        <v>358</v>
      </c>
      <c r="Z34" s="6" t="s">
        <v>2003</v>
      </c>
      <c r="AA34" s="4"/>
      <c r="AB34" s="4"/>
      <c r="AC34" s="4"/>
      <c r="AD34" s="4"/>
      <c r="AE34" s="4"/>
      <c r="AF34" s="4"/>
    </row>
    <row r="35">
      <c r="A35" s="5" t="s">
        <v>22</v>
      </c>
      <c r="B35" s="155" t="s">
        <v>1949</v>
      </c>
      <c r="C35" s="9" t="s">
        <v>2004</v>
      </c>
      <c r="D35" s="28">
        <v>9.751659565E9</v>
      </c>
      <c r="E35" s="8" t="s">
        <v>38</v>
      </c>
      <c r="F35" s="28" t="s">
        <v>2005</v>
      </c>
      <c r="G35" s="8" t="s">
        <v>1084</v>
      </c>
      <c r="H35" s="9" t="s">
        <v>716</v>
      </c>
      <c r="I35" s="10" t="b">
        <v>1</v>
      </c>
      <c r="J35" s="57" t="b">
        <v>1</v>
      </c>
      <c r="K35" s="67" t="b">
        <v>1</v>
      </c>
      <c r="L35" s="71" t="b">
        <v>1</v>
      </c>
      <c r="M35" s="54" t="b">
        <v>1</v>
      </c>
      <c r="N35" s="10" t="b">
        <v>0</v>
      </c>
      <c r="O35" s="10" t="b">
        <v>0</v>
      </c>
      <c r="P35" s="10" t="b">
        <v>0</v>
      </c>
      <c r="Q35" s="10" t="b">
        <v>0</v>
      </c>
      <c r="R35" s="10" t="b">
        <v>0</v>
      </c>
      <c r="S35" s="91">
        <v>46078.0</v>
      </c>
      <c r="T35" s="6" t="s">
        <v>357</v>
      </c>
      <c r="U35" s="6" t="s">
        <v>358</v>
      </c>
      <c r="V35" s="54" t="b">
        <v>1</v>
      </c>
      <c r="W35" s="6" t="s">
        <v>2006</v>
      </c>
      <c r="X35" s="6" t="s">
        <v>684</v>
      </c>
      <c r="Y35" s="6" t="s">
        <v>358</v>
      </c>
      <c r="Z35" s="9" t="s">
        <v>2007</v>
      </c>
      <c r="AA35" s="4"/>
      <c r="AB35" s="4"/>
      <c r="AC35" s="4"/>
      <c r="AD35" s="4"/>
      <c r="AE35" s="4"/>
      <c r="AF35" s="4"/>
    </row>
    <row r="36">
      <c r="A36" s="5" t="s">
        <v>22</v>
      </c>
      <c r="B36" s="155" t="s">
        <v>1949</v>
      </c>
      <c r="C36" s="8" t="s">
        <v>2008</v>
      </c>
      <c r="D36" s="13">
        <v>6.369003695E9</v>
      </c>
      <c r="E36" s="8" t="s">
        <v>1924</v>
      </c>
      <c r="F36" s="28" t="s">
        <v>2009</v>
      </c>
      <c r="G36" s="9" t="s">
        <v>2010</v>
      </c>
      <c r="H36" s="9" t="s">
        <v>716</v>
      </c>
      <c r="I36" s="10" t="b">
        <v>1</v>
      </c>
      <c r="J36" s="54" t="b">
        <v>1</v>
      </c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  <c r="R36" s="10" t="b">
        <v>0</v>
      </c>
      <c r="S36" s="91">
        <v>46070.0</v>
      </c>
      <c r="T36" s="6" t="s">
        <v>357</v>
      </c>
      <c r="U36" s="6" t="s">
        <v>358</v>
      </c>
      <c r="V36" s="57" t="b">
        <v>1</v>
      </c>
      <c r="W36" s="6" t="s">
        <v>2011</v>
      </c>
      <c r="X36" s="6" t="s">
        <v>361</v>
      </c>
      <c r="Y36" s="6" t="s">
        <v>362</v>
      </c>
      <c r="Z36" s="6" t="s">
        <v>2012</v>
      </c>
      <c r="AA36" s="4"/>
      <c r="AB36" s="4"/>
      <c r="AC36" s="4"/>
      <c r="AD36" s="4"/>
      <c r="AE36" s="4"/>
      <c r="AF36" s="4"/>
    </row>
    <row r="37">
      <c r="A37" s="5" t="s">
        <v>22</v>
      </c>
      <c r="B37" s="155" t="s">
        <v>1949</v>
      </c>
      <c r="C37" s="9" t="s">
        <v>2013</v>
      </c>
      <c r="D37" s="28">
        <v>9.345527513E9</v>
      </c>
      <c r="E37" s="8" t="s">
        <v>38</v>
      </c>
      <c r="F37" s="28" t="s">
        <v>2014</v>
      </c>
      <c r="G37" s="8" t="s">
        <v>2015</v>
      </c>
      <c r="H37" s="9" t="s">
        <v>716</v>
      </c>
      <c r="I37" s="10" t="b">
        <v>1</v>
      </c>
      <c r="J37" s="10" t="b">
        <v>1</v>
      </c>
      <c r="K37" s="10" t="b">
        <v>1</v>
      </c>
      <c r="L37" s="10" t="b">
        <v>1</v>
      </c>
      <c r="M37" s="57" t="b">
        <v>1</v>
      </c>
      <c r="N37" s="57" t="b">
        <v>1</v>
      </c>
      <c r="O37" s="57" t="b">
        <v>1</v>
      </c>
      <c r="P37" s="54" t="b">
        <v>1</v>
      </c>
      <c r="Q37" s="10" t="b">
        <v>0</v>
      </c>
      <c r="R37" s="10" t="b">
        <v>0</v>
      </c>
      <c r="S37" s="91">
        <v>46073.0</v>
      </c>
      <c r="T37" s="6" t="s">
        <v>357</v>
      </c>
      <c r="U37" s="6" t="s">
        <v>358</v>
      </c>
      <c r="V37" s="57" t="b">
        <v>0</v>
      </c>
      <c r="W37" s="6" t="s">
        <v>2016</v>
      </c>
      <c r="X37" s="6" t="s">
        <v>382</v>
      </c>
      <c r="Y37" s="6" t="s">
        <v>358</v>
      </c>
      <c r="Z37" s="6" t="s">
        <v>1731</v>
      </c>
      <c r="AA37" s="4"/>
      <c r="AB37" s="4"/>
      <c r="AC37" s="4"/>
      <c r="AD37" s="4"/>
      <c r="AE37" s="4"/>
      <c r="AF37" s="4"/>
    </row>
    <row r="38">
      <c r="A38" s="5" t="s">
        <v>22</v>
      </c>
      <c r="B38" s="155" t="s">
        <v>1949</v>
      </c>
      <c r="C38" s="9" t="s">
        <v>2017</v>
      </c>
      <c r="D38" s="28">
        <v>7.845878106E9</v>
      </c>
      <c r="E38" s="8" t="s">
        <v>38</v>
      </c>
      <c r="F38" s="28" t="s">
        <v>2018</v>
      </c>
      <c r="G38" s="9" t="s">
        <v>445</v>
      </c>
      <c r="H38" s="9" t="s">
        <v>716</v>
      </c>
      <c r="I38" s="10" t="b">
        <v>1</v>
      </c>
      <c r="J38" s="10" t="b">
        <v>1</v>
      </c>
      <c r="K38" s="10" t="b">
        <v>1</v>
      </c>
      <c r="L38" s="54" t="b">
        <v>1</v>
      </c>
      <c r="M38" s="10" t="b">
        <v>0</v>
      </c>
      <c r="N38" s="10" t="b">
        <v>0</v>
      </c>
      <c r="O38" s="10" t="b">
        <v>0</v>
      </c>
      <c r="P38" s="10" t="b">
        <v>0</v>
      </c>
      <c r="Q38" s="10" t="b">
        <v>0</v>
      </c>
      <c r="R38" s="10" t="b">
        <v>0</v>
      </c>
      <c r="S38" s="91">
        <v>46065.0</v>
      </c>
      <c r="T38" s="6" t="s">
        <v>357</v>
      </c>
      <c r="U38" s="6" t="s">
        <v>358</v>
      </c>
      <c r="V38" s="57" t="b">
        <v>0</v>
      </c>
      <c r="W38" s="9" t="s">
        <v>2019</v>
      </c>
      <c r="X38" s="53"/>
      <c r="Y38" s="53"/>
      <c r="Z38" s="4"/>
      <c r="AA38" s="4"/>
      <c r="AB38" s="4"/>
      <c r="AC38" s="4"/>
      <c r="AD38" s="4"/>
      <c r="AE38" s="4"/>
      <c r="AF38" s="4"/>
    </row>
    <row r="39">
      <c r="A39" s="5" t="s">
        <v>22</v>
      </c>
      <c r="B39" s="155" t="s">
        <v>1761</v>
      </c>
      <c r="C39" s="9" t="s">
        <v>2020</v>
      </c>
      <c r="D39" s="13">
        <v>8.870074032E9</v>
      </c>
      <c r="E39" s="8" t="s">
        <v>38</v>
      </c>
      <c r="F39" s="166">
        <v>46063.0</v>
      </c>
      <c r="G39" s="9" t="s">
        <v>465</v>
      </c>
      <c r="H39" s="9" t="s">
        <v>1001</v>
      </c>
      <c r="I39" s="10" t="b">
        <v>1</v>
      </c>
      <c r="J39" s="57" t="b">
        <v>1</v>
      </c>
      <c r="K39" s="67" t="b">
        <v>1</v>
      </c>
      <c r="L39" s="67" t="b">
        <v>1</v>
      </c>
      <c r="M39" s="67" t="b">
        <v>1</v>
      </c>
      <c r="N39" s="71" t="b">
        <v>1</v>
      </c>
      <c r="O39" s="54" t="b">
        <v>1</v>
      </c>
      <c r="P39" s="10" t="b">
        <v>0</v>
      </c>
      <c r="Q39" s="10" t="b">
        <v>0</v>
      </c>
      <c r="R39" s="10" t="b">
        <v>0</v>
      </c>
      <c r="S39" s="91">
        <v>46090.0</v>
      </c>
      <c r="T39" s="6" t="s">
        <v>357</v>
      </c>
      <c r="U39" s="6" t="s">
        <v>358</v>
      </c>
      <c r="V39" s="54" t="b">
        <v>1</v>
      </c>
      <c r="W39" s="9" t="s">
        <v>2021</v>
      </c>
      <c r="X39" s="6" t="s">
        <v>684</v>
      </c>
      <c r="Y39" s="6" t="s">
        <v>358</v>
      </c>
      <c r="Z39" s="6" t="s">
        <v>2022</v>
      </c>
      <c r="AA39" s="4"/>
      <c r="AB39" s="4"/>
      <c r="AC39" s="4"/>
      <c r="AD39" s="4"/>
      <c r="AE39" s="4"/>
      <c r="AF39" s="4"/>
    </row>
    <row r="40">
      <c r="A40" s="5" t="s">
        <v>22</v>
      </c>
      <c r="B40" s="155" t="s">
        <v>1879</v>
      </c>
      <c r="C40" s="9" t="s">
        <v>2023</v>
      </c>
      <c r="D40" s="28">
        <v>7.598571463E9</v>
      </c>
      <c r="E40" s="8" t="s">
        <v>38</v>
      </c>
      <c r="F40" s="28" t="s">
        <v>2024</v>
      </c>
      <c r="G40" s="9" t="s">
        <v>465</v>
      </c>
      <c r="H40" s="9" t="s">
        <v>716</v>
      </c>
      <c r="I40" s="57" t="b">
        <v>1</v>
      </c>
      <c r="J40" s="57" t="b">
        <v>1</v>
      </c>
      <c r="K40" s="67" t="b">
        <v>1</v>
      </c>
      <c r="L40" s="67" t="b">
        <v>1</v>
      </c>
      <c r="M40" s="54" t="b">
        <v>1</v>
      </c>
      <c r="N40" s="10" t="b">
        <v>0</v>
      </c>
      <c r="O40" s="10" t="b">
        <v>0</v>
      </c>
      <c r="P40" s="10" t="b">
        <v>0</v>
      </c>
      <c r="Q40" s="10" t="b">
        <v>0</v>
      </c>
      <c r="R40" s="10" t="b">
        <v>0</v>
      </c>
      <c r="S40" s="91">
        <v>46074.0</v>
      </c>
      <c r="T40" s="6" t="s">
        <v>357</v>
      </c>
      <c r="U40" s="6" t="s">
        <v>358</v>
      </c>
      <c r="V40" s="54" t="b">
        <v>1</v>
      </c>
      <c r="W40" s="9" t="s">
        <v>2025</v>
      </c>
      <c r="X40" s="6" t="s">
        <v>382</v>
      </c>
      <c r="Y40" s="6" t="s">
        <v>358</v>
      </c>
      <c r="Z40" s="6" t="s">
        <v>2026</v>
      </c>
      <c r="AA40" s="4"/>
      <c r="AB40" s="4"/>
      <c r="AC40" s="4"/>
      <c r="AD40" s="4"/>
      <c r="AE40" s="4"/>
      <c r="AF40" s="4"/>
    </row>
    <row r="41">
      <c r="A41" s="5" t="s">
        <v>22</v>
      </c>
      <c r="B41" s="155" t="s">
        <v>1949</v>
      </c>
      <c r="C41" s="9" t="s">
        <v>2027</v>
      </c>
      <c r="D41" s="28">
        <v>9.597264718E9</v>
      </c>
      <c r="E41" s="8" t="s">
        <v>38</v>
      </c>
      <c r="F41" s="28" t="s">
        <v>2028</v>
      </c>
      <c r="G41" s="9" t="s">
        <v>465</v>
      </c>
      <c r="H41" s="9" t="s">
        <v>716</v>
      </c>
      <c r="I41" s="10" t="b">
        <v>1</v>
      </c>
      <c r="J41" s="57" t="b">
        <v>1</v>
      </c>
      <c r="K41" s="57" t="b">
        <v>1</v>
      </c>
      <c r="L41" s="57" t="b">
        <v>1</v>
      </c>
      <c r="M41" s="57" t="b">
        <v>1</v>
      </c>
      <c r="N41" s="54" t="b">
        <v>1</v>
      </c>
      <c r="O41" s="10" t="b">
        <v>0</v>
      </c>
      <c r="P41" s="10" t="b">
        <v>0</v>
      </c>
      <c r="Q41" s="10" t="b">
        <v>0</v>
      </c>
      <c r="R41" s="10" t="b">
        <v>0</v>
      </c>
      <c r="S41" s="91">
        <v>46071.0</v>
      </c>
      <c r="T41" s="6" t="s">
        <v>357</v>
      </c>
      <c r="U41" s="6" t="s">
        <v>358</v>
      </c>
      <c r="V41" s="57" t="b">
        <v>0</v>
      </c>
      <c r="W41" s="9" t="s">
        <v>2029</v>
      </c>
      <c r="X41" s="6" t="s">
        <v>382</v>
      </c>
      <c r="Y41" s="6" t="s">
        <v>358</v>
      </c>
      <c r="Z41" s="6" t="s">
        <v>2030</v>
      </c>
      <c r="AA41" s="4"/>
      <c r="AB41" s="4"/>
      <c r="AC41" s="4"/>
      <c r="AD41" s="4"/>
      <c r="AE41" s="4"/>
      <c r="AF41" s="4"/>
    </row>
    <row r="42">
      <c r="A42" s="5" t="s">
        <v>22</v>
      </c>
      <c r="B42" s="155" t="s">
        <v>1879</v>
      </c>
      <c r="C42" s="8" t="s">
        <v>2031</v>
      </c>
      <c r="D42" s="28">
        <v>7.538812764E9</v>
      </c>
      <c r="E42" s="8" t="s">
        <v>38</v>
      </c>
      <c r="F42" s="28" t="s">
        <v>2032</v>
      </c>
      <c r="G42" s="9" t="s">
        <v>1117</v>
      </c>
      <c r="H42" s="9" t="s">
        <v>716</v>
      </c>
      <c r="I42" s="57" t="b">
        <v>1</v>
      </c>
      <c r="J42" s="67" t="b">
        <v>1</v>
      </c>
      <c r="K42" s="67" t="b">
        <v>1</v>
      </c>
      <c r="L42" s="67" t="b">
        <v>1</v>
      </c>
      <c r="M42" s="54" t="b">
        <v>1</v>
      </c>
      <c r="N42" s="10" t="b">
        <v>0</v>
      </c>
      <c r="O42" s="10" t="b">
        <v>0</v>
      </c>
      <c r="P42" s="10" t="b">
        <v>0</v>
      </c>
      <c r="Q42" s="10" t="b">
        <v>0</v>
      </c>
      <c r="R42" s="10" t="b">
        <v>0</v>
      </c>
      <c r="S42" s="91">
        <v>46076.0</v>
      </c>
      <c r="T42" s="6" t="s">
        <v>357</v>
      </c>
      <c r="U42" s="6" t="s">
        <v>358</v>
      </c>
      <c r="V42" s="54" t="b">
        <v>1</v>
      </c>
      <c r="W42" s="9" t="s">
        <v>2033</v>
      </c>
      <c r="X42" s="6" t="s">
        <v>382</v>
      </c>
      <c r="Y42" s="6" t="s">
        <v>358</v>
      </c>
      <c r="Z42" s="9" t="s">
        <v>2034</v>
      </c>
      <c r="AA42" s="4"/>
      <c r="AB42" s="4"/>
      <c r="AC42" s="4"/>
      <c r="AD42" s="4"/>
      <c r="AE42" s="4"/>
      <c r="AF42" s="4"/>
    </row>
    <row r="43">
      <c r="A43" s="30" t="s">
        <v>146</v>
      </c>
      <c r="B43" s="155" t="s">
        <v>1949</v>
      </c>
      <c r="C43" s="9" t="s">
        <v>2035</v>
      </c>
      <c r="D43" s="28">
        <v>7.358970282E9</v>
      </c>
      <c r="E43" s="8"/>
      <c r="F43" s="28" t="s">
        <v>2036</v>
      </c>
      <c r="G43" s="9" t="s">
        <v>2037</v>
      </c>
      <c r="H43" s="9" t="s">
        <v>716</v>
      </c>
      <c r="I43" s="10" t="b">
        <v>1</v>
      </c>
      <c r="J43" s="10" t="b">
        <v>1</v>
      </c>
      <c r="K43" s="10" t="b">
        <v>1</v>
      </c>
      <c r="L43" s="10" t="b">
        <v>1</v>
      </c>
      <c r="M43" s="10" t="b">
        <v>1</v>
      </c>
      <c r="N43" s="10" t="b">
        <v>1</v>
      </c>
      <c r="O43" s="10" t="b">
        <v>1</v>
      </c>
      <c r="P43" s="54" t="b">
        <v>1</v>
      </c>
      <c r="Q43" s="10" t="b">
        <v>0</v>
      </c>
      <c r="R43" s="10" t="b">
        <v>0</v>
      </c>
      <c r="S43" s="91">
        <v>46098.0</v>
      </c>
      <c r="T43" s="6" t="s">
        <v>357</v>
      </c>
      <c r="U43" s="6" t="s">
        <v>358</v>
      </c>
      <c r="V43" s="57" t="b">
        <v>0</v>
      </c>
      <c r="W43" s="9" t="s">
        <v>2038</v>
      </c>
      <c r="X43" s="6" t="s">
        <v>357</v>
      </c>
      <c r="Y43" s="6" t="s">
        <v>358</v>
      </c>
      <c r="Z43" s="9" t="s">
        <v>2039</v>
      </c>
      <c r="AA43" s="4"/>
      <c r="AB43" s="4"/>
      <c r="AC43" s="4"/>
      <c r="AD43" s="4"/>
      <c r="AE43" s="4"/>
      <c r="AF43" s="4"/>
    </row>
    <row r="44">
      <c r="A44" s="5" t="s">
        <v>22</v>
      </c>
      <c r="B44" s="155" t="s">
        <v>1949</v>
      </c>
      <c r="C44" s="9" t="s">
        <v>2040</v>
      </c>
      <c r="D44" s="27">
        <v>9.363982376E9</v>
      </c>
      <c r="E44" s="8" t="s">
        <v>38</v>
      </c>
      <c r="F44" s="27" t="s">
        <v>2041</v>
      </c>
      <c r="G44" s="9" t="s">
        <v>393</v>
      </c>
      <c r="H44" s="9" t="s">
        <v>716</v>
      </c>
      <c r="I44" s="57" t="b">
        <v>1</v>
      </c>
      <c r="J44" s="57" t="b">
        <v>1</v>
      </c>
      <c r="K44" s="57" t="b">
        <v>1</v>
      </c>
      <c r="L44" s="57" t="b">
        <v>1</v>
      </c>
      <c r="M44" s="67" t="b">
        <v>1</v>
      </c>
      <c r="N44" s="54" t="b">
        <v>1</v>
      </c>
      <c r="O44" s="10" t="b">
        <v>0</v>
      </c>
      <c r="P44" s="10" t="b">
        <v>0</v>
      </c>
      <c r="Q44" s="10" t="b">
        <v>0</v>
      </c>
      <c r="R44" s="10" t="b">
        <v>0</v>
      </c>
      <c r="S44" s="91">
        <v>46080.0</v>
      </c>
      <c r="T44" s="6" t="s">
        <v>357</v>
      </c>
      <c r="U44" s="6" t="s">
        <v>358</v>
      </c>
      <c r="V44" s="54" t="b">
        <v>1</v>
      </c>
      <c r="W44" s="9" t="s">
        <v>2042</v>
      </c>
      <c r="X44" s="6" t="s">
        <v>684</v>
      </c>
      <c r="Y44" s="6" t="s">
        <v>358</v>
      </c>
      <c r="Z44" s="6" t="s">
        <v>2043</v>
      </c>
      <c r="AA44" s="4"/>
      <c r="AB44" s="4"/>
      <c r="AC44" s="4"/>
      <c r="AD44" s="4"/>
      <c r="AE44" s="4"/>
      <c r="AF44" s="4"/>
    </row>
    <row r="45">
      <c r="A45" s="5" t="s">
        <v>22</v>
      </c>
      <c r="B45" s="155" t="s">
        <v>1879</v>
      </c>
      <c r="C45" s="9" t="s">
        <v>2044</v>
      </c>
      <c r="D45" s="13">
        <v>9.344933003E9</v>
      </c>
      <c r="E45" s="8" t="s">
        <v>38</v>
      </c>
      <c r="F45" s="28" t="s">
        <v>2045</v>
      </c>
      <c r="G45" s="9" t="s">
        <v>2046</v>
      </c>
      <c r="H45" s="9" t="s">
        <v>716</v>
      </c>
      <c r="I45" s="57" t="b">
        <v>1</v>
      </c>
      <c r="J45" s="67" t="b">
        <v>1</v>
      </c>
      <c r="K45" s="71" t="b">
        <v>1</v>
      </c>
      <c r="L45" s="71" t="b">
        <v>1</v>
      </c>
      <c r="M45" s="54" t="b">
        <v>1</v>
      </c>
      <c r="N45" s="10" t="b">
        <v>0</v>
      </c>
      <c r="O45" s="10" t="b">
        <v>0</v>
      </c>
      <c r="P45" s="10" t="b">
        <v>0</v>
      </c>
      <c r="Q45" s="10" t="b">
        <v>0</v>
      </c>
      <c r="R45" s="10" t="b">
        <v>0</v>
      </c>
      <c r="S45" s="91">
        <v>46101.0</v>
      </c>
      <c r="T45" s="6" t="s">
        <v>357</v>
      </c>
      <c r="U45" s="6" t="s">
        <v>358</v>
      </c>
      <c r="V45" s="54" t="b">
        <v>1</v>
      </c>
      <c r="W45" s="9" t="s">
        <v>2047</v>
      </c>
      <c r="X45" s="6" t="s">
        <v>684</v>
      </c>
      <c r="Y45" s="6" t="s">
        <v>358</v>
      </c>
      <c r="Z45" s="9" t="s">
        <v>2048</v>
      </c>
      <c r="AA45" s="4"/>
      <c r="AB45" s="4"/>
      <c r="AC45" s="4"/>
      <c r="AD45" s="4"/>
      <c r="AE45" s="4"/>
      <c r="AF45" s="4"/>
    </row>
    <row r="46">
      <c r="A46" s="5" t="s">
        <v>22</v>
      </c>
      <c r="B46" s="155" t="s">
        <v>1949</v>
      </c>
      <c r="C46" s="9" t="s">
        <v>2049</v>
      </c>
      <c r="D46" s="28">
        <v>7.418421562E9</v>
      </c>
      <c r="E46" s="8" t="s">
        <v>38</v>
      </c>
      <c r="F46" s="28" t="s">
        <v>2050</v>
      </c>
      <c r="G46" s="9" t="s">
        <v>2051</v>
      </c>
      <c r="H46" s="9" t="s">
        <v>716</v>
      </c>
      <c r="I46" s="57" t="b">
        <v>1</v>
      </c>
      <c r="J46" s="57" t="b">
        <v>1</v>
      </c>
      <c r="K46" s="54" t="b">
        <v>1</v>
      </c>
      <c r="L46" s="10" t="b">
        <v>0</v>
      </c>
      <c r="M46" s="10" t="b">
        <v>0</v>
      </c>
      <c r="N46" s="10" t="b">
        <v>0</v>
      </c>
      <c r="O46" s="10" t="b">
        <v>0</v>
      </c>
      <c r="P46" s="10" t="b">
        <v>0</v>
      </c>
      <c r="Q46" s="10" t="b">
        <v>0</v>
      </c>
      <c r="R46" s="10" t="b">
        <v>0</v>
      </c>
      <c r="S46" s="91">
        <v>46072.0</v>
      </c>
      <c r="T46" s="6" t="s">
        <v>357</v>
      </c>
      <c r="U46" s="6" t="s">
        <v>358</v>
      </c>
      <c r="V46" s="57" t="b">
        <v>0</v>
      </c>
      <c r="W46" s="9" t="s">
        <v>2052</v>
      </c>
      <c r="X46" s="6" t="s">
        <v>382</v>
      </c>
      <c r="Y46" s="6" t="s">
        <v>358</v>
      </c>
      <c r="Z46" s="6" t="s">
        <v>2053</v>
      </c>
      <c r="AA46" s="4"/>
      <c r="AB46" s="4"/>
      <c r="AC46" s="4"/>
      <c r="AD46" s="4"/>
      <c r="AE46" s="4"/>
      <c r="AF46" s="4"/>
    </row>
    <row r="47">
      <c r="A47" s="5" t="s">
        <v>22</v>
      </c>
      <c r="B47" s="155" t="s">
        <v>1879</v>
      </c>
      <c r="C47" s="9" t="s">
        <v>2054</v>
      </c>
      <c r="D47" s="28">
        <v>9.655755267E9</v>
      </c>
      <c r="E47" s="8" t="s">
        <v>38</v>
      </c>
      <c r="F47" s="28" t="s">
        <v>2055</v>
      </c>
      <c r="G47" s="9" t="s">
        <v>465</v>
      </c>
      <c r="H47" s="9" t="s">
        <v>716</v>
      </c>
      <c r="I47" s="57" t="b">
        <v>1</v>
      </c>
      <c r="J47" s="57" t="b">
        <v>1</v>
      </c>
      <c r="K47" s="57" t="b">
        <v>1</v>
      </c>
      <c r="L47" s="67" t="b">
        <v>1</v>
      </c>
      <c r="M47" s="67" t="b">
        <v>1</v>
      </c>
      <c r="N47" s="54" t="b">
        <v>1</v>
      </c>
      <c r="O47" s="10" t="b">
        <v>0</v>
      </c>
      <c r="P47" s="10" t="b">
        <v>0</v>
      </c>
      <c r="Q47" s="10" t="b">
        <v>0</v>
      </c>
      <c r="R47" s="10" t="b">
        <v>0</v>
      </c>
      <c r="S47" s="91">
        <v>46079.0</v>
      </c>
      <c r="T47" s="6" t="s">
        <v>357</v>
      </c>
      <c r="U47" s="6" t="s">
        <v>358</v>
      </c>
      <c r="V47" s="54" t="b">
        <v>1</v>
      </c>
      <c r="W47" s="9" t="s">
        <v>2056</v>
      </c>
      <c r="X47" s="6" t="s">
        <v>382</v>
      </c>
      <c r="Y47" s="6" t="s">
        <v>358</v>
      </c>
      <c r="Z47" s="6" t="s">
        <v>2057</v>
      </c>
      <c r="AA47" s="4"/>
      <c r="AB47" s="4"/>
      <c r="AC47" s="4"/>
      <c r="AD47" s="4"/>
      <c r="AE47" s="4"/>
      <c r="AF47" s="4"/>
    </row>
    <row r="48">
      <c r="A48" s="5" t="s">
        <v>22</v>
      </c>
      <c r="B48" s="155" t="s">
        <v>1761</v>
      </c>
      <c r="C48" s="9" t="s">
        <v>2058</v>
      </c>
      <c r="D48" s="13">
        <v>9.932397837E9</v>
      </c>
      <c r="E48" s="8" t="s">
        <v>45</v>
      </c>
      <c r="F48" s="166">
        <v>46064.0</v>
      </c>
      <c r="G48" s="9" t="s">
        <v>465</v>
      </c>
      <c r="H48" s="9" t="s">
        <v>716</v>
      </c>
      <c r="I48" s="57" t="b">
        <v>1</v>
      </c>
      <c r="J48" s="67" t="b">
        <v>1</v>
      </c>
      <c r="K48" s="71" t="b">
        <v>1</v>
      </c>
      <c r="L48" s="95" t="b">
        <v>1</v>
      </c>
      <c r="M48" s="10" t="b">
        <v>0</v>
      </c>
      <c r="N48" s="10" t="b">
        <v>0</v>
      </c>
      <c r="O48" s="10" t="b">
        <v>0</v>
      </c>
      <c r="P48" s="10" t="b">
        <v>0</v>
      </c>
      <c r="Q48" s="10" t="b">
        <v>0</v>
      </c>
      <c r="R48" s="10" t="b">
        <v>0</v>
      </c>
      <c r="S48" s="91">
        <v>46072.0</v>
      </c>
      <c r="T48" s="6" t="s">
        <v>890</v>
      </c>
      <c r="U48" s="6" t="s">
        <v>891</v>
      </c>
      <c r="V48" s="57" t="b">
        <v>1</v>
      </c>
      <c r="W48" s="9" t="s">
        <v>2059</v>
      </c>
      <c r="X48" s="6" t="s">
        <v>890</v>
      </c>
      <c r="Y48" s="6" t="s">
        <v>891</v>
      </c>
      <c r="Z48" s="9" t="s">
        <v>2060</v>
      </c>
      <c r="AA48" s="4"/>
      <c r="AB48" s="4"/>
      <c r="AC48" s="4"/>
      <c r="AD48" s="4"/>
      <c r="AE48" s="4"/>
      <c r="AF48" s="4"/>
    </row>
    <row r="49">
      <c r="A49" s="5" t="s">
        <v>22</v>
      </c>
      <c r="B49" s="155" t="s">
        <v>1949</v>
      </c>
      <c r="C49" s="8" t="s">
        <v>2061</v>
      </c>
      <c r="D49" s="13">
        <v>7.339663559E9</v>
      </c>
      <c r="E49" s="8" t="s">
        <v>45</v>
      </c>
      <c r="F49" s="28" t="s">
        <v>2062</v>
      </c>
      <c r="G49" s="9" t="s">
        <v>2063</v>
      </c>
      <c r="H49" s="9" t="s">
        <v>716</v>
      </c>
      <c r="I49" s="10" t="b">
        <v>1</v>
      </c>
      <c r="J49" s="10" t="b">
        <v>1</v>
      </c>
      <c r="K49" s="10" t="b">
        <v>1</v>
      </c>
      <c r="L49" s="54" t="b">
        <v>1</v>
      </c>
      <c r="M49" s="10" t="b">
        <v>0</v>
      </c>
      <c r="N49" s="10" t="b">
        <v>0</v>
      </c>
      <c r="O49" s="10" t="b">
        <v>0</v>
      </c>
      <c r="P49" s="10" t="b">
        <v>0</v>
      </c>
      <c r="Q49" s="10" t="b">
        <v>0</v>
      </c>
      <c r="R49" s="10" t="b">
        <v>0</v>
      </c>
      <c r="S49" s="91">
        <v>46074.0</v>
      </c>
      <c r="T49" s="6" t="s">
        <v>357</v>
      </c>
      <c r="U49" s="6" t="s">
        <v>358</v>
      </c>
      <c r="V49" s="57" t="b">
        <v>0</v>
      </c>
      <c r="W49" s="9" t="s">
        <v>2064</v>
      </c>
      <c r="X49" s="53"/>
      <c r="Y49" s="53"/>
      <c r="Z49" s="4"/>
      <c r="AA49" s="4"/>
      <c r="AB49" s="4"/>
      <c r="AC49" s="4"/>
      <c r="AD49" s="4"/>
      <c r="AE49" s="4"/>
      <c r="AF49" s="4"/>
    </row>
    <row r="50">
      <c r="A50" s="5" t="s">
        <v>22</v>
      </c>
      <c r="B50" s="155" t="s">
        <v>1949</v>
      </c>
      <c r="C50" s="8" t="s">
        <v>2065</v>
      </c>
      <c r="D50" s="28">
        <v>9.585373416E9</v>
      </c>
      <c r="E50" s="8" t="s">
        <v>1924</v>
      </c>
      <c r="F50" s="28" t="s">
        <v>2066</v>
      </c>
      <c r="G50" s="9" t="s">
        <v>1533</v>
      </c>
      <c r="H50" s="9" t="s">
        <v>716</v>
      </c>
      <c r="I50" s="54" t="b">
        <v>1</v>
      </c>
      <c r="J50" s="10" t="b">
        <v>0</v>
      </c>
      <c r="K50" s="10" t="b">
        <v>0</v>
      </c>
      <c r="L50" s="10" t="b">
        <v>0</v>
      </c>
      <c r="M50" s="10" t="b">
        <v>0</v>
      </c>
      <c r="N50" s="10" t="b">
        <v>0</v>
      </c>
      <c r="O50" s="10" t="b">
        <v>0</v>
      </c>
      <c r="P50" s="10" t="b">
        <v>0</v>
      </c>
      <c r="Q50" s="10" t="b">
        <v>0</v>
      </c>
      <c r="R50" s="10" t="b">
        <v>0</v>
      </c>
      <c r="S50" s="91">
        <v>46065.0</v>
      </c>
      <c r="T50" s="6" t="s">
        <v>357</v>
      </c>
      <c r="U50" s="6" t="s">
        <v>358</v>
      </c>
      <c r="V50" s="57" t="b">
        <v>0</v>
      </c>
      <c r="W50" s="9" t="s">
        <v>2067</v>
      </c>
      <c r="X50" s="53"/>
      <c r="Y50" s="53"/>
      <c r="Z50" s="4"/>
      <c r="AA50" s="4"/>
      <c r="AB50" s="4"/>
      <c r="AC50" s="4"/>
      <c r="AD50" s="4"/>
      <c r="AE50" s="4"/>
      <c r="AF50" s="4"/>
    </row>
    <row r="51">
      <c r="A51" s="5" t="s">
        <v>22</v>
      </c>
      <c r="B51" s="155" t="s">
        <v>1949</v>
      </c>
      <c r="C51" s="9" t="s">
        <v>2068</v>
      </c>
      <c r="D51" s="28">
        <v>8.111941095E9</v>
      </c>
      <c r="E51" s="8" t="s">
        <v>26</v>
      </c>
      <c r="F51" s="28" t="s">
        <v>2069</v>
      </c>
      <c r="G51" s="9" t="s">
        <v>465</v>
      </c>
      <c r="H51" s="9" t="s">
        <v>716</v>
      </c>
      <c r="I51" s="57" t="b">
        <v>1</v>
      </c>
      <c r="J51" s="67" t="b">
        <v>1</v>
      </c>
      <c r="K51" s="67" t="b">
        <v>1</v>
      </c>
      <c r="L51" s="54" t="b">
        <v>1</v>
      </c>
      <c r="M51" s="10" t="b">
        <v>0</v>
      </c>
      <c r="N51" s="10" t="b">
        <v>0</v>
      </c>
      <c r="O51" s="10" t="b">
        <v>0</v>
      </c>
      <c r="P51" s="10" t="b">
        <v>0</v>
      </c>
      <c r="Q51" s="10" t="b">
        <v>0</v>
      </c>
      <c r="R51" s="10" t="b">
        <v>0</v>
      </c>
      <c r="S51" s="91">
        <v>46072.0</v>
      </c>
      <c r="T51" s="6" t="s">
        <v>357</v>
      </c>
      <c r="U51" s="6" t="s">
        <v>358</v>
      </c>
      <c r="V51" s="54" t="b">
        <v>1</v>
      </c>
      <c r="W51" s="9" t="s">
        <v>2070</v>
      </c>
      <c r="X51" s="6" t="s">
        <v>684</v>
      </c>
      <c r="Y51" s="6" t="s">
        <v>358</v>
      </c>
      <c r="Z51" s="9" t="s">
        <v>2071</v>
      </c>
      <c r="AA51" s="4"/>
      <c r="AB51" s="4"/>
      <c r="AC51" s="4"/>
      <c r="AD51" s="4"/>
      <c r="AE51" s="4"/>
      <c r="AF51" s="4"/>
    </row>
    <row r="52">
      <c r="A52" s="5" t="s">
        <v>22</v>
      </c>
      <c r="B52" s="155" t="s">
        <v>1949</v>
      </c>
      <c r="C52" s="9" t="s">
        <v>2072</v>
      </c>
      <c r="D52" s="28">
        <v>9.025286211E9</v>
      </c>
      <c r="E52" s="8" t="s">
        <v>69</v>
      </c>
      <c r="F52" s="28" t="s">
        <v>2073</v>
      </c>
      <c r="G52" s="9" t="s">
        <v>2074</v>
      </c>
      <c r="H52" s="9" t="s">
        <v>716</v>
      </c>
      <c r="I52" s="10" t="b">
        <v>1</v>
      </c>
      <c r="J52" s="57" t="b">
        <v>1</v>
      </c>
      <c r="K52" s="67" t="b">
        <v>1</v>
      </c>
      <c r="L52" s="71" t="b">
        <v>1</v>
      </c>
      <c r="M52" s="71" t="b">
        <v>1</v>
      </c>
      <c r="N52" s="71" t="b">
        <v>1</v>
      </c>
      <c r="O52" s="71" t="b">
        <v>1</v>
      </c>
      <c r="P52" s="71" t="b">
        <v>1</v>
      </c>
      <c r="Q52" s="54" t="b">
        <v>1</v>
      </c>
      <c r="R52" s="10" t="b">
        <v>0</v>
      </c>
      <c r="S52" s="91">
        <v>46163.0</v>
      </c>
      <c r="T52" s="6" t="s">
        <v>357</v>
      </c>
      <c r="U52" s="6" t="s">
        <v>358</v>
      </c>
      <c r="V52" s="156" t="b">
        <v>1</v>
      </c>
      <c r="W52" s="9" t="s">
        <v>2075</v>
      </c>
      <c r="X52" s="6" t="s">
        <v>661</v>
      </c>
      <c r="Y52" s="6" t="s">
        <v>358</v>
      </c>
      <c r="Z52" s="9" t="s">
        <v>2076</v>
      </c>
      <c r="AA52" s="4"/>
      <c r="AB52" s="4"/>
      <c r="AC52" s="4"/>
      <c r="AD52" s="4"/>
      <c r="AE52" s="4"/>
      <c r="AF52" s="4"/>
    </row>
    <row r="53">
      <c r="A53" s="5" t="s">
        <v>22</v>
      </c>
      <c r="B53" s="155" t="s">
        <v>1949</v>
      </c>
      <c r="C53" s="9" t="s">
        <v>2077</v>
      </c>
      <c r="D53" s="13">
        <v>9.995460953E9</v>
      </c>
      <c r="E53" s="8" t="s">
        <v>1378</v>
      </c>
      <c r="F53" s="28" t="s">
        <v>2078</v>
      </c>
      <c r="G53" s="9" t="s">
        <v>2079</v>
      </c>
      <c r="H53" s="9" t="s">
        <v>716</v>
      </c>
      <c r="I53" s="54" t="b">
        <v>1</v>
      </c>
      <c r="J53" s="10" t="b">
        <v>0</v>
      </c>
      <c r="K53" s="10" t="b">
        <v>0</v>
      </c>
      <c r="L53" s="10" t="b">
        <v>0</v>
      </c>
      <c r="M53" s="10" t="b">
        <v>0</v>
      </c>
      <c r="N53" s="10" t="b">
        <v>0</v>
      </c>
      <c r="O53" s="10" t="b">
        <v>0</v>
      </c>
      <c r="P53" s="10" t="b">
        <v>0</v>
      </c>
      <c r="Q53" s="10" t="b">
        <v>0</v>
      </c>
      <c r="R53" s="10" t="b">
        <v>0</v>
      </c>
      <c r="S53" s="91">
        <v>46065.0</v>
      </c>
      <c r="T53" s="6" t="s">
        <v>357</v>
      </c>
      <c r="U53" s="6" t="s">
        <v>358</v>
      </c>
      <c r="V53" s="57" t="b">
        <v>0</v>
      </c>
      <c r="W53" s="9" t="s">
        <v>2080</v>
      </c>
      <c r="X53" s="53"/>
      <c r="Y53" s="53"/>
      <c r="Z53" s="4"/>
      <c r="AA53" s="4"/>
      <c r="AB53" s="4"/>
      <c r="AC53" s="4"/>
      <c r="AD53" s="4"/>
      <c r="AE53" s="4"/>
      <c r="AF53" s="4"/>
    </row>
    <row r="54">
      <c r="A54" s="5" t="s">
        <v>22</v>
      </c>
      <c r="B54" s="155" t="s">
        <v>1879</v>
      </c>
      <c r="C54" s="9" t="s">
        <v>2044</v>
      </c>
      <c r="D54" s="28">
        <v>6.379305918E9</v>
      </c>
      <c r="E54" s="8"/>
      <c r="F54" s="28" t="s">
        <v>2081</v>
      </c>
      <c r="G54" s="9" t="s">
        <v>465</v>
      </c>
      <c r="H54" s="9" t="s">
        <v>716</v>
      </c>
      <c r="I54" s="10" t="b">
        <v>1</v>
      </c>
      <c r="J54" s="10" t="b">
        <v>1</v>
      </c>
      <c r="K54" s="54" t="b">
        <v>1</v>
      </c>
      <c r="L54" s="10" t="b">
        <v>0</v>
      </c>
      <c r="M54" s="10" t="b">
        <v>0</v>
      </c>
      <c r="N54" s="10" t="b">
        <v>0</v>
      </c>
      <c r="O54" s="10" t="b">
        <v>0</v>
      </c>
      <c r="P54" s="10" t="b">
        <v>0</v>
      </c>
      <c r="Q54" s="10" t="b">
        <v>0</v>
      </c>
      <c r="R54" s="10" t="b">
        <v>0</v>
      </c>
      <c r="S54" s="91">
        <v>46070.0</v>
      </c>
      <c r="T54" s="6" t="s">
        <v>424</v>
      </c>
      <c r="U54" s="6" t="s">
        <v>358</v>
      </c>
      <c r="V54" s="57" t="b">
        <v>0</v>
      </c>
      <c r="W54" s="9" t="s">
        <v>2082</v>
      </c>
      <c r="X54" s="53"/>
      <c r="Y54" s="53"/>
      <c r="Z54" s="4"/>
      <c r="AA54" s="4"/>
      <c r="AB54" s="4"/>
      <c r="AC54" s="4"/>
      <c r="AD54" s="4"/>
      <c r="AE54" s="4"/>
      <c r="AF54" s="4"/>
    </row>
    <row r="55">
      <c r="A55" s="5" t="s">
        <v>22</v>
      </c>
      <c r="B55" s="155" t="s">
        <v>1879</v>
      </c>
      <c r="C55" s="9" t="s">
        <v>2083</v>
      </c>
      <c r="D55" s="28">
        <v>9.02596691E9</v>
      </c>
      <c r="E55" s="8" t="s">
        <v>38</v>
      </c>
      <c r="F55" s="28" t="s">
        <v>2084</v>
      </c>
      <c r="G55" s="9" t="s">
        <v>465</v>
      </c>
      <c r="H55" s="9" t="s">
        <v>716</v>
      </c>
      <c r="I55" s="10" t="b">
        <v>1</v>
      </c>
      <c r="J55" s="57" t="b">
        <v>1</v>
      </c>
      <c r="K55" s="57" t="b">
        <v>1</v>
      </c>
      <c r="L55" s="67" t="b">
        <v>1</v>
      </c>
      <c r="M55" s="71" t="b">
        <v>1</v>
      </c>
      <c r="N55" s="54" t="b">
        <v>1</v>
      </c>
      <c r="O55" s="10" t="b">
        <v>0</v>
      </c>
      <c r="P55" s="10" t="b">
        <v>0</v>
      </c>
      <c r="Q55" s="10" t="b">
        <v>0</v>
      </c>
      <c r="R55" s="10" t="b">
        <v>0</v>
      </c>
      <c r="S55" s="91">
        <v>46098.0</v>
      </c>
      <c r="T55" s="6" t="s">
        <v>424</v>
      </c>
      <c r="U55" s="6" t="s">
        <v>358</v>
      </c>
      <c r="V55" s="54" t="b">
        <v>1</v>
      </c>
      <c r="W55" s="9" t="s">
        <v>2085</v>
      </c>
      <c r="X55" s="6" t="s">
        <v>424</v>
      </c>
      <c r="Y55" s="6" t="s">
        <v>358</v>
      </c>
      <c r="Z55" s="6" t="s">
        <v>2086</v>
      </c>
      <c r="AA55" s="4"/>
      <c r="AB55" s="4"/>
      <c r="AC55" s="4"/>
      <c r="AD55" s="4"/>
      <c r="AE55" s="4"/>
      <c r="AF55" s="4"/>
    </row>
    <row r="56">
      <c r="A56" s="5" t="s">
        <v>22</v>
      </c>
      <c r="B56" s="155" t="s">
        <v>1949</v>
      </c>
      <c r="C56" s="9" t="s">
        <v>2087</v>
      </c>
      <c r="D56" s="28">
        <v>7.397563949E9</v>
      </c>
      <c r="E56" s="8" t="s">
        <v>180</v>
      </c>
      <c r="F56" s="28" t="s">
        <v>2088</v>
      </c>
      <c r="G56" s="9" t="s">
        <v>2089</v>
      </c>
      <c r="H56" s="9" t="s">
        <v>716</v>
      </c>
      <c r="I56" s="10" t="b">
        <v>1</v>
      </c>
      <c r="J56" s="57" t="b">
        <v>1</v>
      </c>
      <c r="K56" s="67" t="b">
        <v>1</v>
      </c>
      <c r="L56" s="10" t="b">
        <v>0</v>
      </c>
      <c r="M56" s="10" t="b">
        <v>0</v>
      </c>
      <c r="N56" s="10" t="b">
        <v>0</v>
      </c>
      <c r="O56" s="10" t="b">
        <v>0</v>
      </c>
      <c r="P56" s="10" t="b">
        <v>0</v>
      </c>
      <c r="Q56" s="10" t="b">
        <v>0</v>
      </c>
      <c r="R56" s="10" t="b">
        <v>0</v>
      </c>
      <c r="S56" s="91">
        <v>46072.0</v>
      </c>
      <c r="T56" s="6" t="s">
        <v>1124</v>
      </c>
      <c r="U56" s="6" t="s">
        <v>432</v>
      </c>
      <c r="V56" s="57" t="b">
        <v>1</v>
      </c>
      <c r="W56" s="9" t="s">
        <v>2090</v>
      </c>
      <c r="X56" s="6" t="s">
        <v>834</v>
      </c>
      <c r="Y56" s="6" t="s">
        <v>432</v>
      </c>
      <c r="Z56" s="9" t="s">
        <v>2091</v>
      </c>
      <c r="AA56" s="4"/>
      <c r="AB56" s="4"/>
      <c r="AC56" s="4"/>
      <c r="AD56" s="4"/>
      <c r="AE56" s="4"/>
      <c r="AF56" s="4"/>
    </row>
    <row r="57">
      <c r="A57" s="30" t="s">
        <v>146</v>
      </c>
      <c r="B57" s="155" t="s">
        <v>1949</v>
      </c>
      <c r="C57" s="9" t="s">
        <v>2092</v>
      </c>
      <c r="D57" s="13">
        <v>8.946052582E9</v>
      </c>
      <c r="E57" s="8" t="s">
        <v>103</v>
      </c>
      <c r="F57" s="28" t="s">
        <v>2093</v>
      </c>
      <c r="G57" s="9" t="s">
        <v>465</v>
      </c>
      <c r="H57" s="9" t="s">
        <v>716</v>
      </c>
      <c r="I57" s="10" t="b">
        <v>1</v>
      </c>
      <c r="J57" s="10" t="b">
        <v>1</v>
      </c>
      <c r="K57" s="10" t="b">
        <v>1</v>
      </c>
      <c r="L57" s="10" t="b">
        <v>1</v>
      </c>
      <c r="M57" s="57" t="b">
        <v>1</v>
      </c>
      <c r="N57" s="54" t="b">
        <v>1</v>
      </c>
      <c r="O57" s="10" t="b">
        <v>0</v>
      </c>
      <c r="P57" s="10" t="b">
        <v>0</v>
      </c>
      <c r="Q57" s="10" t="b">
        <v>0</v>
      </c>
      <c r="R57" s="10" t="b">
        <v>0</v>
      </c>
      <c r="S57" s="91">
        <v>46091.0</v>
      </c>
      <c r="T57" s="6" t="s">
        <v>357</v>
      </c>
      <c r="U57" s="6" t="s">
        <v>358</v>
      </c>
      <c r="V57" s="57" t="b">
        <v>0</v>
      </c>
      <c r="W57" s="9" t="s">
        <v>2094</v>
      </c>
      <c r="X57" s="6" t="s">
        <v>684</v>
      </c>
      <c r="Y57" s="6" t="s">
        <v>358</v>
      </c>
      <c r="Z57" s="9" t="s">
        <v>2095</v>
      </c>
      <c r="AA57" s="4"/>
      <c r="AB57" s="4"/>
      <c r="AC57" s="4"/>
      <c r="AD57" s="4"/>
      <c r="AE57" s="4"/>
      <c r="AF57" s="4"/>
    </row>
    <row r="58">
      <c r="A58" s="30" t="s">
        <v>146</v>
      </c>
      <c r="B58" s="155" t="s">
        <v>1949</v>
      </c>
      <c r="C58" s="9" t="s">
        <v>2096</v>
      </c>
      <c r="D58" s="13">
        <v>7.871569335E9</v>
      </c>
      <c r="E58" s="8"/>
      <c r="F58" s="28" t="s">
        <v>2097</v>
      </c>
      <c r="G58" s="9" t="s">
        <v>2098</v>
      </c>
      <c r="H58" s="9" t="s">
        <v>716</v>
      </c>
      <c r="I58" s="10" t="b">
        <v>1</v>
      </c>
      <c r="J58" s="10" t="b">
        <v>1</v>
      </c>
      <c r="K58" s="10" t="b">
        <v>1</v>
      </c>
      <c r="L58" s="10" t="b">
        <v>1</v>
      </c>
      <c r="M58" s="10" t="b">
        <v>1</v>
      </c>
      <c r="N58" s="10" t="b">
        <v>0</v>
      </c>
      <c r="O58" s="10" t="b">
        <v>0</v>
      </c>
      <c r="P58" s="10" t="b">
        <v>0</v>
      </c>
      <c r="Q58" s="10" t="b">
        <v>0</v>
      </c>
      <c r="R58" s="10" t="b">
        <v>0</v>
      </c>
      <c r="S58" s="91">
        <v>46076.0</v>
      </c>
      <c r="T58" s="6" t="s">
        <v>361</v>
      </c>
      <c r="U58" s="6" t="s">
        <v>362</v>
      </c>
      <c r="V58" s="57" t="b">
        <v>0</v>
      </c>
      <c r="W58" s="9" t="s">
        <v>2099</v>
      </c>
      <c r="X58" s="53"/>
      <c r="Y58" s="53"/>
      <c r="Z58" s="4"/>
      <c r="AA58" s="4"/>
      <c r="AB58" s="4"/>
      <c r="AC58" s="4"/>
      <c r="AD58" s="4"/>
      <c r="AE58" s="4"/>
      <c r="AF58" s="4"/>
    </row>
    <row r="59">
      <c r="A59" s="30" t="s">
        <v>146</v>
      </c>
      <c r="B59" s="155" t="s">
        <v>1949</v>
      </c>
      <c r="C59" s="9" t="s">
        <v>2100</v>
      </c>
      <c r="D59" s="13">
        <v>8.248753546E9</v>
      </c>
      <c r="E59" s="8" t="s">
        <v>1378</v>
      </c>
      <c r="F59" s="28" t="s">
        <v>2101</v>
      </c>
      <c r="G59" s="9" t="s">
        <v>2102</v>
      </c>
      <c r="H59" s="9" t="s">
        <v>716</v>
      </c>
      <c r="I59" s="54" t="b">
        <v>1</v>
      </c>
      <c r="J59" s="10" t="b">
        <v>0</v>
      </c>
      <c r="K59" s="10" t="b">
        <v>0</v>
      </c>
      <c r="L59" s="10" t="b">
        <v>0</v>
      </c>
      <c r="M59" s="10" t="b">
        <v>0</v>
      </c>
      <c r="N59" s="10" t="b">
        <v>0</v>
      </c>
      <c r="O59" s="10" t="b">
        <v>0</v>
      </c>
      <c r="P59" s="10" t="b">
        <v>0</v>
      </c>
      <c r="Q59" s="10" t="b">
        <v>0</v>
      </c>
      <c r="R59" s="10" t="b">
        <v>0</v>
      </c>
      <c r="S59" s="91">
        <v>46066.0</v>
      </c>
      <c r="T59" s="6" t="s">
        <v>357</v>
      </c>
      <c r="U59" s="6" t="s">
        <v>358</v>
      </c>
      <c r="V59" s="57" t="b">
        <v>0</v>
      </c>
      <c r="W59" s="9" t="s">
        <v>2103</v>
      </c>
      <c r="X59" s="53"/>
      <c r="Y59" s="53"/>
      <c r="Z59" s="4"/>
      <c r="AA59" s="4"/>
      <c r="AB59" s="4"/>
      <c r="AC59" s="4"/>
      <c r="AD59" s="4"/>
      <c r="AE59" s="4"/>
      <c r="AF59" s="4"/>
    </row>
    <row r="60">
      <c r="A60" s="5" t="s">
        <v>22</v>
      </c>
      <c r="B60" s="155" t="s">
        <v>1761</v>
      </c>
      <c r="C60" s="9" t="s">
        <v>2104</v>
      </c>
      <c r="D60" s="13">
        <v>8.883662056E9</v>
      </c>
      <c r="E60" s="8" t="s">
        <v>38</v>
      </c>
      <c r="F60" s="167">
        <v>46066.0</v>
      </c>
      <c r="G60" s="9" t="s">
        <v>2105</v>
      </c>
      <c r="H60" s="9" t="s">
        <v>1001</v>
      </c>
      <c r="I60" s="57" t="b">
        <v>1</v>
      </c>
      <c r="J60" s="57" t="b">
        <v>1</v>
      </c>
      <c r="K60" s="57" t="b">
        <v>1</v>
      </c>
      <c r="L60" s="54" t="b">
        <v>1</v>
      </c>
      <c r="M60" s="10" t="b">
        <v>0</v>
      </c>
      <c r="N60" s="10" t="b">
        <v>0</v>
      </c>
      <c r="O60" s="10" t="b">
        <v>0</v>
      </c>
      <c r="P60" s="10" t="b">
        <v>0</v>
      </c>
      <c r="Q60" s="10" t="b">
        <v>0</v>
      </c>
      <c r="R60" s="10" t="b">
        <v>0</v>
      </c>
      <c r="S60" s="91">
        <v>46079.0</v>
      </c>
      <c r="T60" s="6" t="s">
        <v>357</v>
      </c>
      <c r="U60" s="6" t="s">
        <v>358</v>
      </c>
      <c r="V60" s="54" t="b">
        <v>1</v>
      </c>
      <c r="W60" s="9" t="s">
        <v>2106</v>
      </c>
      <c r="X60" s="6" t="s">
        <v>382</v>
      </c>
      <c r="Y60" s="6" t="s">
        <v>358</v>
      </c>
      <c r="Z60" s="6" t="s">
        <v>1731</v>
      </c>
      <c r="AA60" s="4"/>
      <c r="AB60" s="4"/>
      <c r="AC60" s="4"/>
      <c r="AD60" s="4"/>
      <c r="AE60" s="4"/>
      <c r="AF60" s="4"/>
    </row>
    <row r="61">
      <c r="A61" s="5" t="s">
        <v>22</v>
      </c>
      <c r="B61" s="155" t="s">
        <v>1949</v>
      </c>
      <c r="C61" s="9" t="s">
        <v>2107</v>
      </c>
      <c r="D61" s="13">
        <v>7.397545863E9</v>
      </c>
      <c r="E61" s="8" t="s">
        <v>1924</v>
      </c>
      <c r="F61" s="28" t="s">
        <v>2108</v>
      </c>
      <c r="G61" s="9" t="s">
        <v>2109</v>
      </c>
      <c r="H61" s="9" t="s">
        <v>716</v>
      </c>
      <c r="I61" s="54" t="b">
        <v>1</v>
      </c>
      <c r="J61" s="10" t="b">
        <v>0</v>
      </c>
      <c r="K61" s="10" t="b">
        <v>0</v>
      </c>
      <c r="L61" s="10" t="b">
        <v>0</v>
      </c>
      <c r="M61" s="10" t="b">
        <v>0</v>
      </c>
      <c r="N61" s="10" t="b">
        <v>0</v>
      </c>
      <c r="O61" s="10" t="b">
        <v>0</v>
      </c>
      <c r="P61" s="10" t="b">
        <v>0</v>
      </c>
      <c r="Q61" s="10" t="b">
        <v>0</v>
      </c>
      <c r="R61" s="10" t="b">
        <v>0</v>
      </c>
      <c r="S61" s="91">
        <v>46069.0</v>
      </c>
      <c r="T61" s="6" t="s">
        <v>375</v>
      </c>
      <c r="U61" s="6" t="s">
        <v>358</v>
      </c>
      <c r="V61" s="57" t="b">
        <v>0</v>
      </c>
      <c r="W61" s="9" t="s">
        <v>2110</v>
      </c>
      <c r="X61" s="53"/>
      <c r="Y61" s="53"/>
      <c r="Z61" s="4"/>
      <c r="AA61" s="4"/>
      <c r="AB61" s="4"/>
      <c r="AC61" s="4"/>
      <c r="AD61" s="4"/>
      <c r="AE61" s="4"/>
      <c r="AF61" s="4"/>
    </row>
    <row r="62">
      <c r="A62" s="5" t="s">
        <v>22</v>
      </c>
      <c r="B62" s="155" t="s">
        <v>1879</v>
      </c>
      <c r="C62" s="9" t="s">
        <v>2111</v>
      </c>
      <c r="D62" s="13">
        <v>6.381005809E9</v>
      </c>
      <c r="E62" s="8" t="s">
        <v>38</v>
      </c>
      <c r="F62" s="164">
        <v>46066.90416666667</v>
      </c>
      <c r="G62" s="9" t="s">
        <v>465</v>
      </c>
      <c r="H62" s="9" t="s">
        <v>716</v>
      </c>
      <c r="I62" s="10" t="b">
        <v>1</v>
      </c>
      <c r="J62" s="57" t="b">
        <v>1</v>
      </c>
      <c r="K62" s="57" t="b">
        <v>1</v>
      </c>
      <c r="L62" s="67" t="b">
        <v>1</v>
      </c>
      <c r="M62" s="67" t="b">
        <v>1</v>
      </c>
      <c r="N62" s="67" t="b">
        <v>1</v>
      </c>
      <c r="O62" s="54" t="b">
        <v>1</v>
      </c>
      <c r="P62" s="10" t="b">
        <v>0</v>
      </c>
      <c r="Q62" s="10" t="b">
        <v>0</v>
      </c>
      <c r="R62" s="10" t="b">
        <v>0</v>
      </c>
      <c r="S62" s="91">
        <v>46091.0</v>
      </c>
      <c r="T62" s="6" t="s">
        <v>357</v>
      </c>
      <c r="U62" s="6" t="s">
        <v>358</v>
      </c>
      <c r="V62" s="54" t="b">
        <v>1</v>
      </c>
      <c r="W62" s="9" t="s">
        <v>2112</v>
      </c>
      <c r="X62" s="6" t="s">
        <v>684</v>
      </c>
      <c r="Y62" s="6" t="s">
        <v>358</v>
      </c>
      <c r="Z62" s="6" t="s">
        <v>2113</v>
      </c>
      <c r="AA62" s="4"/>
      <c r="AB62" s="4"/>
      <c r="AC62" s="4"/>
      <c r="AD62" s="4"/>
      <c r="AE62" s="4"/>
      <c r="AF62" s="4"/>
    </row>
    <row r="63">
      <c r="A63" s="5" t="s">
        <v>22</v>
      </c>
      <c r="B63" s="155" t="s">
        <v>1949</v>
      </c>
      <c r="C63" s="9" t="s">
        <v>2114</v>
      </c>
      <c r="D63" s="13">
        <v>6.38247049E9</v>
      </c>
      <c r="E63" s="8" t="s">
        <v>1378</v>
      </c>
      <c r="F63" s="28" t="s">
        <v>2115</v>
      </c>
      <c r="G63" s="9" t="s">
        <v>2116</v>
      </c>
      <c r="H63" s="9" t="s">
        <v>716</v>
      </c>
      <c r="I63" s="54" t="b">
        <v>1</v>
      </c>
      <c r="J63" s="10" t="b">
        <v>0</v>
      </c>
      <c r="K63" s="10" t="b">
        <v>0</v>
      </c>
      <c r="L63" s="10" t="b">
        <v>0</v>
      </c>
      <c r="M63" s="10" t="b">
        <v>0</v>
      </c>
      <c r="N63" s="10" t="b">
        <v>0</v>
      </c>
      <c r="O63" s="10" t="b">
        <v>0</v>
      </c>
      <c r="P63" s="10" t="b">
        <v>0</v>
      </c>
      <c r="Q63" s="10" t="b">
        <v>0</v>
      </c>
      <c r="R63" s="10" t="b">
        <v>0</v>
      </c>
      <c r="S63" s="91">
        <v>46069.0</v>
      </c>
      <c r="T63" s="6" t="s">
        <v>357</v>
      </c>
      <c r="U63" s="6" t="s">
        <v>358</v>
      </c>
      <c r="V63" s="57" t="b">
        <v>0</v>
      </c>
      <c r="W63" s="9" t="s">
        <v>2117</v>
      </c>
      <c r="X63" s="53"/>
      <c r="Y63" s="53"/>
      <c r="Z63" s="4"/>
      <c r="AA63" s="4"/>
      <c r="AB63" s="4"/>
      <c r="AC63" s="4"/>
      <c r="AD63" s="4"/>
      <c r="AE63" s="4"/>
      <c r="AF63" s="4"/>
    </row>
    <row r="64">
      <c r="A64" s="5" t="s">
        <v>22</v>
      </c>
      <c r="B64" s="155" t="s">
        <v>1879</v>
      </c>
      <c r="C64" s="9" t="s">
        <v>2118</v>
      </c>
      <c r="D64" s="13">
        <v>7.397229061E9</v>
      </c>
      <c r="E64" s="8"/>
      <c r="F64" s="28" t="s">
        <v>2119</v>
      </c>
      <c r="G64" s="9" t="s">
        <v>1149</v>
      </c>
      <c r="H64" s="9" t="s">
        <v>716</v>
      </c>
      <c r="I64" s="10" t="b">
        <v>1</v>
      </c>
      <c r="J64" s="10" t="b">
        <v>1</v>
      </c>
      <c r="K64" s="10" t="b">
        <v>1</v>
      </c>
      <c r="L64" s="10" t="b">
        <v>1</v>
      </c>
      <c r="M64" s="10" t="b">
        <v>0</v>
      </c>
      <c r="N64" s="10" t="b">
        <v>0</v>
      </c>
      <c r="O64" s="10" t="b">
        <v>0</v>
      </c>
      <c r="P64" s="10" t="b">
        <v>0</v>
      </c>
      <c r="Q64" s="10" t="b">
        <v>0</v>
      </c>
      <c r="R64" s="10" t="b">
        <v>0</v>
      </c>
      <c r="S64" s="91">
        <v>46094.0</v>
      </c>
      <c r="T64" s="6" t="s">
        <v>1055</v>
      </c>
      <c r="U64" s="6" t="s">
        <v>362</v>
      </c>
      <c r="V64" s="57" t="b">
        <v>0</v>
      </c>
      <c r="W64" s="9" t="s">
        <v>2120</v>
      </c>
      <c r="X64" s="53"/>
      <c r="Y64" s="53"/>
      <c r="Z64" s="4"/>
      <c r="AA64" s="4"/>
      <c r="AB64" s="4"/>
      <c r="AC64" s="4"/>
      <c r="AD64" s="4"/>
      <c r="AE64" s="4"/>
      <c r="AF64" s="4"/>
    </row>
    <row r="65">
      <c r="A65" s="30" t="s">
        <v>146</v>
      </c>
      <c r="B65" s="155" t="s">
        <v>1949</v>
      </c>
      <c r="C65" s="9" t="s">
        <v>2121</v>
      </c>
      <c r="D65" s="13">
        <v>9.342807101E9</v>
      </c>
      <c r="E65" s="8"/>
      <c r="F65" s="13" t="s">
        <v>2122</v>
      </c>
      <c r="G65" s="9" t="s">
        <v>2123</v>
      </c>
      <c r="H65" s="9" t="s">
        <v>716</v>
      </c>
      <c r="I65" s="10" t="b">
        <v>1</v>
      </c>
      <c r="J65" s="10" t="b">
        <v>1</v>
      </c>
      <c r="K65" s="10" t="b">
        <v>1</v>
      </c>
      <c r="L65" s="10" t="b">
        <v>1</v>
      </c>
      <c r="M65" s="10" t="b">
        <v>0</v>
      </c>
      <c r="N65" s="10" t="b">
        <v>0</v>
      </c>
      <c r="O65" s="10" t="b">
        <v>0</v>
      </c>
      <c r="P65" s="10" t="b">
        <v>0</v>
      </c>
      <c r="Q65" s="10" t="b">
        <v>0</v>
      </c>
      <c r="R65" s="10" t="b">
        <v>0</v>
      </c>
      <c r="S65" s="91">
        <v>46094.0</v>
      </c>
      <c r="T65" s="6" t="s">
        <v>361</v>
      </c>
      <c r="U65" s="6" t="s">
        <v>362</v>
      </c>
      <c r="V65" s="57" t="b">
        <v>0</v>
      </c>
      <c r="W65" s="9" t="s">
        <v>2124</v>
      </c>
      <c r="X65" s="53"/>
      <c r="Y65" s="53"/>
      <c r="Z65" s="4"/>
      <c r="AA65" s="4"/>
      <c r="AB65" s="4"/>
      <c r="AC65" s="4"/>
      <c r="AD65" s="4"/>
      <c r="AE65" s="4"/>
      <c r="AF65" s="4"/>
    </row>
    <row r="66">
      <c r="A66" s="5" t="s">
        <v>22</v>
      </c>
      <c r="B66" s="155" t="s">
        <v>1879</v>
      </c>
      <c r="C66" s="9" t="s">
        <v>1536</v>
      </c>
      <c r="D66" s="13">
        <v>7.871334098E9</v>
      </c>
      <c r="E66" s="8" t="s">
        <v>1378</v>
      </c>
      <c r="F66" s="28" t="s">
        <v>2125</v>
      </c>
      <c r="G66" s="9" t="s">
        <v>1149</v>
      </c>
      <c r="H66" s="9" t="s">
        <v>716</v>
      </c>
      <c r="I66" s="10" t="b">
        <v>1</v>
      </c>
      <c r="J66" s="54" t="b">
        <v>1</v>
      </c>
      <c r="K66" s="10" t="b">
        <v>0</v>
      </c>
      <c r="L66" s="10" t="b">
        <v>0</v>
      </c>
      <c r="M66" s="10" t="b">
        <v>0</v>
      </c>
      <c r="N66" s="10" t="b">
        <v>0</v>
      </c>
      <c r="O66" s="10" t="b">
        <v>0</v>
      </c>
      <c r="P66" s="10" t="b">
        <v>0</v>
      </c>
      <c r="Q66" s="10" t="b">
        <v>0</v>
      </c>
      <c r="R66" s="10" t="b">
        <v>0</v>
      </c>
      <c r="S66" s="91">
        <v>46069.0</v>
      </c>
      <c r="T66" s="6" t="s">
        <v>357</v>
      </c>
      <c r="U66" s="6" t="s">
        <v>358</v>
      </c>
      <c r="V66" s="57" t="b">
        <v>0</v>
      </c>
      <c r="W66" s="9" t="s">
        <v>2126</v>
      </c>
      <c r="X66" s="53"/>
      <c r="Y66" s="53"/>
      <c r="Z66" s="4"/>
      <c r="AA66" s="4"/>
      <c r="AB66" s="4"/>
      <c r="AC66" s="4"/>
      <c r="AD66" s="4"/>
      <c r="AE66" s="4"/>
      <c r="AF66" s="4"/>
    </row>
    <row r="67">
      <c r="A67" s="5" t="s">
        <v>22</v>
      </c>
      <c r="B67" s="155" t="s">
        <v>1879</v>
      </c>
      <c r="C67" s="9" t="s">
        <v>2127</v>
      </c>
      <c r="D67" s="13">
        <v>9.626122787E9</v>
      </c>
      <c r="E67" s="8" t="s">
        <v>69</v>
      </c>
      <c r="F67" s="28" t="s">
        <v>2128</v>
      </c>
      <c r="G67" s="9" t="s">
        <v>1149</v>
      </c>
      <c r="H67" s="9" t="s">
        <v>716</v>
      </c>
      <c r="I67" s="10" t="b">
        <v>1</v>
      </c>
      <c r="J67" s="57" t="b">
        <v>1</v>
      </c>
      <c r="K67" s="67" t="b">
        <v>1</v>
      </c>
      <c r="L67" s="71" t="b">
        <v>1</v>
      </c>
      <c r="M67" s="10" t="b">
        <v>0</v>
      </c>
      <c r="N67" s="10" t="b">
        <v>0</v>
      </c>
      <c r="O67" s="10" t="b">
        <v>0</v>
      </c>
      <c r="P67" s="10" t="b">
        <v>0</v>
      </c>
      <c r="Q67" s="10" t="b">
        <v>0</v>
      </c>
      <c r="R67" s="10" t="b">
        <v>0</v>
      </c>
      <c r="S67" s="91">
        <v>46077.0</v>
      </c>
      <c r="T67" s="6" t="s">
        <v>357</v>
      </c>
      <c r="U67" s="6" t="s">
        <v>358</v>
      </c>
      <c r="V67" s="57" t="b">
        <v>0</v>
      </c>
      <c r="W67" s="9" t="s">
        <v>2129</v>
      </c>
      <c r="X67" s="6" t="s">
        <v>382</v>
      </c>
      <c r="Y67" s="6" t="s">
        <v>358</v>
      </c>
      <c r="Z67" s="9" t="s">
        <v>2130</v>
      </c>
      <c r="AA67" s="4"/>
      <c r="AB67" s="4"/>
      <c r="AC67" s="4"/>
      <c r="AD67" s="4"/>
      <c r="AE67" s="4"/>
      <c r="AF67" s="4"/>
    </row>
    <row r="68">
      <c r="A68" s="30" t="s">
        <v>146</v>
      </c>
      <c r="B68" s="155" t="s">
        <v>1879</v>
      </c>
      <c r="C68" s="9" t="s">
        <v>2131</v>
      </c>
      <c r="D68" s="13">
        <v>8.825931558E9</v>
      </c>
      <c r="E68" s="8"/>
      <c r="F68" s="28" t="s">
        <v>2132</v>
      </c>
      <c r="G68" s="9" t="s">
        <v>2133</v>
      </c>
      <c r="H68" s="9" t="s">
        <v>716</v>
      </c>
      <c r="I68" s="10" t="b">
        <v>1</v>
      </c>
      <c r="J68" s="10" t="b">
        <v>1</v>
      </c>
      <c r="K68" s="10" t="b">
        <v>1</v>
      </c>
      <c r="L68" s="10" t="b">
        <v>1</v>
      </c>
      <c r="M68" s="10" t="b">
        <v>0</v>
      </c>
      <c r="N68" s="10" t="b">
        <v>0</v>
      </c>
      <c r="O68" s="10" t="b">
        <v>0</v>
      </c>
      <c r="P68" s="10" t="b">
        <v>0</v>
      </c>
      <c r="Q68" s="10" t="b">
        <v>0</v>
      </c>
      <c r="R68" s="10" t="b">
        <v>0</v>
      </c>
      <c r="S68" s="91">
        <v>46094.0</v>
      </c>
      <c r="T68" s="6" t="s">
        <v>361</v>
      </c>
      <c r="U68" s="6" t="s">
        <v>362</v>
      </c>
      <c r="V68" s="57" t="b">
        <v>0</v>
      </c>
      <c r="W68" s="9" t="s">
        <v>2134</v>
      </c>
      <c r="X68" s="53"/>
      <c r="Y68" s="53"/>
      <c r="Z68" s="4"/>
      <c r="AA68" s="4"/>
      <c r="AB68" s="4"/>
      <c r="AC68" s="4"/>
      <c r="AD68" s="4"/>
      <c r="AE68" s="4"/>
      <c r="AF68" s="4"/>
    </row>
    <row r="69">
      <c r="A69" s="30" t="s">
        <v>146</v>
      </c>
      <c r="B69" s="155" t="s">
        <v>1879</v>
      </c>
      <c r="C69" s="9" t="s">
        <v>2135</v>
      </c>
      <c r="D69" s="13">
        <v>6.382306649E9</v>
      </c>
      <c r="E69" s="8"/>
      <c r="F69" s="28" t="s">
        <v>2136</v>
      </c>
      <c r="G69" s="9" t="s">
        <v>1149</v>
      </c>
      <c r="H69" s="9" t="s">
        <v>716</v>
      </c>
      <c r="I69" s="10" t="b">
        <v>1</v>
      </c>
      <c r="J69" s="10" t="b">
        <v>1</v>
      </c>
      <c r="K69" s="10" t="b">
        <v>1</v>
      </c>
      <c r="L69" s="10" t="b">
        <v>1</v>
      </c>
      <c r="M69" s="10" t="b">
        <v>0</v>
      </c>
      <c r="N69" s="10" t="b">
        <v>0</v>
      </c>
      <c r="O69" s="10" t="b">
        <v>0</v>
      </c>
      <c r="P69" s="10" t="b">
        <v>0</v>
      </c>
      <c r="Q69" s="10" t="b">
        <v>0</v>
      </c>
      <c r="R69" s="10" t="b">
        <v>0</v>
      </c>
      <c r="S69" s="91">
        <v>46094.0</v>
      </c>
      <c r="T69" s="6" t="s">
        <v>361</v>
      </c>
      <c r="U69" s="6" t="s">
        <v>362</v>
      </c>
      <c r="V69" s="57" t="b">
        <v>0</v>
      </c>
      <c r="W69" s="9" t="s">
        <v>2137</v>
      </c>
      <c r="X69" s="53"/>
      <c r="Y69" s="53"/>
      <c r="Z69" s="4"/>
      <c r="AA69" s="4"/>
      <c r="AB69" s="4"/>
      <c r="AC69" s="4"/>
      <c r="AD69" s="4"/>
      <c r="AE69" s="4"/>
      <c r="AF69" s="4"/>
    </row>
    <row r="70">
      <c r="A70" s="5" t="s">
        <v>22</v>
      </c>
      <c r="B70" s="155" t="s">
        <v>1879</v>
      </c>
      <c r="C70" s="9" t="s">
        <v>377</v>
      </c>
      <c r="D70" s="13">
        <v>9.080508187E9</v>
      </c>
      <c r="E70" s="8" t="s">
        <v>1924</v>
      </c>
      <c r="F70" s="28" t="s">
        <v>2136</v>
      </c>
      <c r="G70" s="9" t="s">
        <v>2138</v>
      </c>
      <c r="H70" s="9" t="s">
        <v>716</v>
      </c>
      <c r="I70" s="10" t="b">
        <v>1</v>
      </c>
      <c r="J70" s="10" t="b">
        <v>1</v>
      </c>
      <c r="K70" s="54" t="b">
        <v>1</v>
      </c>
      <c r="L70" s="10" t="b">
        <v>0</v>
      </c>
      <c r="M70" s="10" t="b">
        <v>0</v>
      </c>
      <c r="N70" s="10" t="b">
        <v>0</v>
      </c>
      <c r="O70" s="10" t="b">
        <v>0</v>
      </c>
      <c r="P70" s="10" t="b">
        <v>0</v>
      </c>
      <c r="Q70" s="10" t="b">
        <v>0</v>
      </c>
      <c r="R70" s="10" t="b">
        <v>0</v>
      </c>
      <c r="S70" s="91">
        <v>46074.0</v>
      </c>
      <c r="T70" s="6" t="s">
        <v>357</v>
      </c>
      <c r="U70" s="6" t="s">
        <v>358</v>
      </c>
      <c r="V70" s="57" t="b">
        <v>0</v>
      </c>
      <c r="W70" s="9" t="s">
        <v>2139</v>
      </c>
      <c r="X70" s="53"/>
      <c r="Y70" s="53"/>
      <c r="Z70" s="4"/>
      <c r="AA70" s="4"/>
      <c r="AB70" s="4"/>
      <c r="AC70" s="4"/>
      <c r="AD70" s="4"/>
      <c r="AE70" s="4"/>
      <c r="AF70" s="4"/>
    </row>
    <row r="71">
      <c r="A71" s="5" t="s">
        <v>22</v>
      </c>
      <c r="B71" s="155" t="s">
        <v>1879</v>
      </c>
      <c r="C71" s="9" t="s">
        <v>2140</v>
      </c>
      <c r="D71" s="13">
        <v>8.610289264E9</v>
      </c>
      <c r="E71" s="8" t="s">
        <v>38</v>
      </c>
      <c r="F71" s="28" t="s">
        <v>2141</v>
      </c>
      <c r="G71" s="9" t="s">
        <v>1149</v>
      </c>
      <c r="H71" s="9" t="s">
        <v>716</v>
      </c>
      <c r="I71" s="10" t="b">
        <v>1</v>
      </c>
      <c r="J71" s="10" t="b">
        <v>1</v>
      </c>
      <c r="K71" s="10" t="b">
        <v>1</v>
      </c>
      <c r="L71" s="57" t="b">
        <v>1</v>
      </c>
      <c r="M71" s="57" t="b">
        <v>1</v>
      </c>
      <c r="N71" s="54" t="b">
        <v>1</v>
      </c>
      <c r="O71" s="10" t="b">
        <v>0</v>
      </c>
      <c r="P71" s="10" t="b">
        <v>0</v>
      </c>
      <c r="Q71" s="10" t="b">
        <v>0</v>
      </c>
      <c r="R71" s="10" t="b">
        <v>0</v>
      </c>
      <c r="S71" s="91">
        <v>46080.0</v>
      </c>
      <c r="T71" s="6" t="s">
        <v>357</v>
      </c>
      <c r="U71" s="6" t="s">
        <v>358</v>
      </c>
      <c r="V71" s="54" t="b">
        <v>1</v>
      </c>
      <c r="W71" s="9" t="s">
        <v>2142</v>
      </c>
      <c r="X71" s="6" t="s">
        <v>382</v>
      </c>
      <c r="Y71" s="6" t="s">
        <v>358</v>
      </c>
      <c r="Z71" s="9" t="s">
        <v>2143</v>
      </c>
      <c r="AA71" s="4"/>
      <c r="AB71" s="4"/>
      <c r="AC71" s="4"/>
      <c r="AD71" s="4"/>
      <c r="AE71" s="4"/>
      <c r="AF71" s="4"/>
    </row>
    <row r="72">
      <c r="A72" s="5" t="s">
        <v>22</v>
      </c>
      <c r="B72" s="155" t="s">
        <v>1879</v>
      </c>
      <c r="C72" s="9" t="s">
        <v>2144</v>
      </c>
      <c r="D72" s="13">
        <v>9.51410788E9</v>
      </c>
      <c r="E72" s="8" t="s">
        <v>69</v>
      </c>
      <c r="F72" s="28" t="s">
        <v>2145</v>
      </c>
      <c r="G72" s="9" t="s">
        <v>1346</v>
      </c>
      <c r="H72" s="9" t="s">
        <v>716</v>
      </c>
      <c r="I72" s="57" t="b">
        <v>1</v>
      </c>
      <c r="J72" s="57" t="b">
        <v>1</v>
      </c>
      <c r="K72" s="57" t="b">
        <v>1</v>
      </c>
      <c r="L72" s="54" t="b">
        <v>1</v>
      </c>
      <c r="M72" s="10" t="b">
        <v>0</v>
      </c>
      <c r="N72" s="10" t="b">
        <v>0</v>
      </c>
      <c r="O72" s="10" t="b">
        <v>0</v>
      </c>
      <c r="P72" s="10" t="b">
        <v>0</v>
      </c>
      <c r="Q72" s="10" t="b">
        <v>0</v>
      </c>
      <c r="R72" s="10" t="b">
        <v>0</v>
      </c>
      <c r="S72" s="91">
        <v>46076.0</v>
      </c>
      <c r="T72" s="6" t="s">
        <v>357</v>
      </c>
      <c r="U72" s="6" t="s">
        <v>358</v>
      </c>
      <c r="V72" s="54" t="b">
        <v>1</v>
      </c>
      <c r="W72" s="9" t="s">
        <v>2146</v>
      </c>
      <c r="X72" s="6" t="s">
        <v>382</v>
      </c>
      <c r="Y72" s="6" t="s">
        <v>358</v>
      </c>
      <c r="Z72" s="9" t="s">
        <v>2143</v>
      </c>
      <c r="AA72" s="4"/>
      <c r="AB72" s="4"/>
      <c r="AC72" s="4"/>
      <c r="AD72" s="4"/>
      <c r="AE72" s="4"/>
      <c r="AF72" s="4"/>
    </row>
    <row r="73">
      <c r="A73" s="5" t="s">
        <v>22</v>
      </c>
      <c r="B73" s="155" t="s">
        <v>1879</v>
      </c>
      <c r="C73" s="9" t="s">
        <v>2147</v>
      </c>
      <c r="D73" s="13">
        <v>9.500690126E9</v>
      </c>
      <c r="E73" s="8" t="s">
        <v>38</v>
      </c>
      <c r="F73" s="28" t="s">
        <v>2148</v>
      </c>
      <c r="G73" s="9" t="s">
        <v>1149</v>
      </c>
      <c r="H73" s="9" t="s">
        <v>716</v>
      </c>
      <c r="I73" s="57" t="b">
        <v>1</v>
      </c>
      <c r="J73" s="67" t="b">
        <v>1</v>
      </c>
      <c r="K73" s="71" t="b">
        <v>1</v>
      </c>
      <c r="L73" s="71" t="b">
        <v>1</v>
      </c>
      <c r="M73" s="95" t="b">
        <v>1</v>
      </c>
      <c r="N73" s="95" t="b">
        <v>1</v>
      </c>
      <c r="O73" s="10" t="b">
        <v>0</v>
      </c>
      <c r="P73" s="10" t="b">
        <v>0</v>
      </c>
      <c r="Q73" s="10" t="b">
        <v>0</v>
      </c>
      <c r="R73" s="10" t="b">
        <v>0</v>
      </c>
      <c r="S73" s="91">
        <v>46077.0</v>
      </c>
      <c r="T73" s="6" t="s">
        <v>2149</v>
      </c>
      <c r="U73" s="6" t="s">
        <v>588</v>
      </c>
      <c r="V73" s="57" t="b">
        <v>1</v>
      </c>
      <c r="W73" s="9" t="s">
        <v>2150</v>
      </c>
      <c r="X73" s="6" t="s">
        <v>2151</v>
      </c>
      <c r="Y73" s="6" t="s">
        <v>429</v>
      </c>
      <c r="Z73" s="9" t="s">
        <v>2152</v>
      </c>
      <c r="AA73" s="4"/>
      <c r="AB73" s="4"/>
      <c r="AC73" s="4"/>
      <c r="AD73" s="4"/>
      <c r="AE73" s="4"/>
      <c r="AF73" s="4"/>
    </row>
    <row r="74">
      <c r="A74" s="30" t="s">
        <v>146</v>
      </c>
      <c r="B74" s="155" t="s">
        <v>1879</v>
      </c>
      <c r="C74" s="9" t="s">
        <v>2153</v>
      </c>
      <c r="D74" s="13">
        <v>9.629642192E9</v>
      </c>
      <c r="E74" s="8"/>
      <c r="F74" s="28" t="s">
        <v>2154</v>
      </c>
      <c r="G74" s="9" t="s">
        <v>1149</v>
      </c>
      <c r="H74" s="9" t="s">
        <v>716</v>
      </c>
      <c r="I74" s="10" t="b">
        <v>1</v>
      </c>
      <c r="J74" s="10" t="b">
        <v>1</v>
      </c>
      <c r="K74" s="10" t="b">
        <v>1</v>
      </c>
      <c r="L74" s="10" t="b">
        <v>1</v>
      </c>
      <c r="M74" s="10" t="b">
        <v>0</v>
      </c>
      <c r="N74" s="10" t="b">
        <v>0</v>
      </c>
      <c r="O74" s="10" t="b">
        <v>0</v>
      </c>
      <c r="P74" s="10" t="b">
        <v>0</v>
      </c>
      <c r="Q74" s="10" t="b">
        <v>0</v>
      </c>
      <c r="R74" s="10" t="b">
        <v>0</v>
      </c>
      <c r="S74" s="91">
        <v>46094.0</v>
      </c>
      <c r="T74" s="6" t="s">
        <v>361</v>
      </c>
      <c r="U74" s="6" t="s">
        <v>362</v>
      </c>
      <c r="V74" s="57" t="b">
        <v>0</v>
      </c>
      <c r="W74" s="9" t="s">
        <v>2155</v>
      </c>
      <c r="X74" s="53"/>
      <c r="Y74" s="53"/>
      <c r="Z74" s="4"/>
      <c r="AA74" s="4"/>
      <c r="AB74" s="4"/>
      <c r="AC74" s="4"/>
      <c r="AD74" s="4"/>
      <c r="AE74" s="4"/>
      <c r="AF74" s="4"/>
    </row>
    <row r="75">
      <c r="A75" s="30" t="s">
        <v>146</v>
      </c>
      <c r="B75" s="155" t="s">
        <v>1879</v>
      </c>
      <c r="C75" s="9" t="s">
        <v>2156</v>
      </c>
      <c r="D75" s="13">
        <v>7.695961436E9</v>
      </c>
      <c r="E75" s="8" t="s">
        <v>69</v>
      </c>
      <c r="F75" s="28" t="s">
        <v>2157</v>
      </c>
      <c r="G75" s="9" t="s">
        <v>1346</v>
      </c>
      <c r="H75" s="9" t="s">
        <v>716</v>
      </c>
      <c r="I75" s="10" t="b">
        <v>1</v>
      </c>
      <c r="J75" s="10" t="b">
        <v>1</v>
      </c>
      <c r="K75" s="10" t="b">
        <v>1</v>
      </c>
      <c r="L75" s="10" t="b">
        <v>1</v>
      </c>
      <c r="M75" s="57" t="b">
        <v>1</v>
      </c>
      <c r="N75" s="54" t="b">
        <v>1</v>
      </c>
      <c r="O75" s="10" t="b">
        <v>0</v>
      </c>
      <c r="P75" s="10" t="b">
        <v>0</v>
      </c>
      <c r="Q75" s="10" t="b">
        <v>0</v>
      </c>
      <c r="R75" s="10" t="b">
        <v>0</v>
      </c>
      <c r="S75" s="91">
        <v>46107.0</v>
      </c>
      <c r="T75" s="6" t="s">
        <v>357</v>
      </c>
      <c r="U75" s="6" t="s">
        <v>358</v>
      </c>
      <c r="V75" s="57" t="b">
        <v>0</v>
      </c>
      <c r="W75" s="9" t="s">
        <v>2158</v>
      </c>
      <c r="X75" s="6" t="s">
        <v>382</v>
      </c>
      <c r="Y75" s="6" t="s">
        <v>358</v>
      </c>
      <c r="Z75" s="9" t="s">
        <v>2159</v>
      </c>
      <c r="AA75" s="4"/>
      <c r="AB75" s="4"/>
      <c r="AC75" s="4"/>
      <c r="AD75" s="4"/>
      <c r="AE75" s="4"/>
      <c r="AF75" s="4"/>
    </row>
    <row r="76">
      <c r="A76" s="5" t="s">
        <v>22</v>
      </c>
      <c r="B76" s="155" t="s">
        <v>1761</v>
      </c>
      <c r="C76" s="9" t="s">
        <v>2160</v>
      </c>
      <c r="D76" s="13">
        <v>7.010265173E9</v>
      </c>
      <c r="E76" s="8" t="s">
        <v>69</v>
      </c>
      <c r="F76" s="167">
        <v>46069.0</v>
      </c>
      <c r="G76" s="9" t="s">
        <v>654</v>
      </c>
      <c r="H76" s="9" t="s">
        <v>716</v>
      </c>
      <c r="I76" s="57" t="b">
        <v>1</v>
      </c>
      <c r="J76" s="57" t="b">
        <v>1</v>
      </c>
      <c r="K76" s="57" t="b">
        <v>1</v>
      </c>
      <c r="L76" s="54" t="b">
        <v>1</v>
      </c>
      <c r="M76" s="67" t="b">
        <v>1</v>
      </c>
      <c r="N76" s="54" t="b">
        <v>1</v>
      </c>
      <c r="O76" s="10" t="b">
        <v>0</v>
      </c>
      <c r="P76" s="10" t="b">
        <v>0</v>
      </c>
      <c r="Q76" s="10" t="b">
        <v>0</v>
      </c>
      <c r="R76" s="10" t="b">
        <v>0</v>
      </c>
      <c r="S76" s="91">
        <v>46077.0</v>
      </c>
      <c r="T76" s="6" t="s">
        <v>543</v>
      </c>
      <c r="U76" s="6" t="s">
        <v>358</v>
      </c>
      <c r="V76" s="54" t="b">
        <v>1</v>
      </c>
      <c r="W76" s="9" t="s">
        <v>2161</v>
      </c>
      <c r="X76" s="6" t="s">
        <v>684</v>
      </c>
      <c r="Y76" s="6" t="s">
        <v>358</v>
      </c>
      <c r="Z76" s="9" t="s">
        <v>2162</v>
      </c>
      <c r="AA76" s="4"/>
      <c r="AB76" s="4"/>
      <c r="AC76" s="4"/>
      <c r="AD76" s="4"/>
      <c r="AE76" s="4"/>
      <c r="AF76" s="4"/>
    </row>
    <row r="77">
      <c r="A77" s="5" t="s">
        <v>22</v>
      </c>
      <c r="B77" s="155" t="s">
        <v>1761</v>
      </c>
      <c r="C77" s="9" t="s">
        <v>2163</v>
      </c>
      <c r="D77" s="13">
        <v>9.047764846E9</v>
      </c>
      <c r="E77" s="8" t="s">
        <v>38</v>
      </c>
      <c r="F77" s="167">
        <v>46070.0</v>
      </c>
      <c r="G77" s="9" t="s">
        <v>2164</v>
      </c>
      <c r="H77" s="9" t="s">
        <v>716</v>
      </c>
      <c r="I77" s="10" t="b">
        <v>1</v>
      </c>
      <c r="J77" s="57" t="b">
        <v>1</v>
      </c>
      <c r="K77" s="57" t="b">
        <v>1</v>
      </c>
      <c r="L77" s="67" t="b">
        <v>1</v>
      </c>
      <c r="M77" s="54" t="b">
        <v>1</v>
      </c>
      <c r="N77" s="10" t="b">
        <v>0</v>
      </c>
      <c r="O77" s="10" t="b">
        <v>0</v>
      </c>
      <c r="P77" s="10" t="b">
        <v>0</v>
      </c>
      <c r="Q77" s="10" t="b">
        <v>0</v>
      </c>
      <c r="R77" s="10" t="b">
        <v>0</v>
      </c>
      <c r="S77" s="91">
        <v>46101.0</v>
      </c>
      <c r="T77" s="6" t="s">
        <v>357</v>
      </c>
      <c r="U77" s="6" t="s">
        <v>358</v>
      </c>
      <c r="V77" s="57" t="b">
        <v>0</v>
      </c>
      <c r="W77" s="9" t="s">
        <v>2165</v>
      </c>
      <c r="X77" s="6" t="s">
        <v>684</v>
      </c>
      <c r="Y77" s="6" t="s">
        <v>358</v>
      </c>
      <c r="Z77" s="9" t="s">
        <v>2166</v>
      </c>
      <c r="AA77" s="4"/>
      <c r="AB77" s="4"/>
      <c r="AC77" s="4"/>
      <c r="AD77" s="4"/>
      <c r="AE77" s="4"/>
      <c r="AF77" s="4"/>
    </row>
    <row r="78">
      <c r="A78" s="5" t="s">
        <v>22</v>
      </c>
      <c r="B78" s="155" t="s">
        <v>1761</v>
      </c>
      <c r="C78" s="9" t="s">
        <v>2167</v>
      </c>
      <c r="D78" s="13">
        <v>6.379222672E9</v>
      </c>
      <c r="E78" s="8" t="s">
        <v>69</v>
      </c>
      <c r="F78" s="167">
        <v>46071.0</v>
      </c>
      <c r="G78" s="4"/>
      <c r="H78" s="9" t="s">
        <v>716</v>
      </c>
      <c r="I78" s="10" t="b">
        <v>1</v>
      </c>
      <c r="J78" s="10" t="b">
        <v>1</v>
      </c>
      <c r="K78" s="10" t="b">
        <v>1</v>
      </c>
      <c r="L78" s="10" t="b">
        <v>1</v>
      </c>
      <c r="M78" s="54" t="b">
        <v>1</v>
      </c>
      <c r="N78" s="10" t="b">
        <v>0</v>
      </c>
      <c r="O78" s="10" t="b">
        <v>0</v>
      </c>
      <c r="P78" s="10" t="b">
        <v>0</v>
      </c>
      <c r="Q78" s="10" t="b">
        <v>0</v>
      </c>
      <c r="R78" s="10" t="b">
        <v>0</v>
      </c>
      <c r="S78" s="91">
        <v>46076.0</v>
      </c>
      <c r="T78" s="6" t="s">
        <v>357</v>
      </c>
      <c r="U78" s="6" t="s">
        <v>358</v>
      </c>
      <c r="V78" s="57" t="b">
        <v>0</v>
      </c>
      <c r="W78" s="9" t="s">
        <v>2168</v>
      </c>
      <c r="X78" s="53"/>
      <c r="Y78" s="53"/>
      <c r="Z78" s="4"/>
      <c r="AA78" s="4"/>
      <c r="AB78" s="4"/>
      <c r="AC78" s="4"/>
      <c r="AD78" s="4"/>
      <c r="AE78" s="4"/>
      <c r="AF78" s="4"/>
    </row>
    <row r="79">
      <c r="A79" s="30" t="s">
        <v>146</v>
      </c>
      <c r="B79" s="155" t="s">
        <v>1879</v>
      </c>
      <c r="C79" s="9" t="s">
        <v>2169</v>
      </c>
      <c r="D79" s="13">
        <v>9.047929828E9</v>
      </c>
      <c r="E79" s="8"/>
      <c r="F79" s="28" t="s">
        <v>2170</v>
      </c>
      <c r="G79" s="9" t="s">
        <v>2171</v>
      </c>
      <c r="H79" s="9" t="s">
        <v>716</v>
      </c>
      <c r="I79" s="10" t="b">
        <v>1</v>
      </c>
      <c r="J79" s="10" t="b">
        <v>1</v>
      </c>
      <c r="K79" s="10" t="b">
        <v>1</v>
      </c>
      <c r="L79" s="10" t="b">
        <v>1</v>
      </c>
      <c r="M79" s="10" t="b">
        <v>0</v>
      </c>
      <c r="N79" s="10" t="b">
        <v>0</v>
      </c>
      <c r="O79" s="10" t="b">
        <v>0</v>
      </c>
      <c r="P79" s="10" t="b">
        <v>0</v>
      </c>
      <c r="Q79" s="10" t="b">
        <v>0</v>
      </c>
      <c r="R79" s="10" t="b">
        <v>0</v>
      </c>
      <c r="S79" s="91">
        <v>46094.0</v>
      </c>
      <c r="T79" s="6" t="s">
        <v>361</v>
      </c>
      <c r="U79" s="6" t="s">
        <v>362</v>
      </c>
      <c r="V79" s="57" t="b">
        <v>0</v>
      </c>
      <c r="W79" s="9" t="s">
        <v>2172</v>
      </c>
      <c r="X79" s="6"/>
      <c r="Y79" s="6"/>
      <c r="Z79" s="9"/>
      <c r="AA79" s="4"/>
      <c r="AB79" s="4"/>
      <c r="AC79" s="4"/>
      <c r="AD79" s="4"/>
      <c r="AE79" s="4"/>
      <c r="AF79" s="4"/>
    </row>
    <row r="80">
      <c r="A80" s="30" t="s">
        <v>146</v>
      </c>
      <c r="B80" s="155" t="s">
        <v>1879</v>
      </c>
      <c r="C80" s="9" t="s">
        <v>2173</v>
      </c>
      <c r="D80" s="13">
        <v>7.092505031E9</v>
      </c>
      <c r="E80" s="8"/>
      <c r="F80" s="28" t="s">
        <v>2174</v>
      </c>
      <c r="G80" s="9" t="s">
        <v>2175</v>
      </c>
      <c r="H80" s="9" t="s">
        <v>716</v>
      </c>
      <c r="I80" s="10" t="b">
        <v>1</v>
      </c>
      <c r="J80" s="10" t="b">
        <v>1</v>
      </c>
      <c r="K80" s="10" t="b">
        <v>1</v>
      </c>
      <c r="L80" s="10" t="b">
        <v>1</v>
      </c>
      <c r="M80" s="10" t="b">
        <v>0</v>
      </c>
      <c r="N80" s="10" t="b">
        <v>0</v>
      </c>
      <c r="O80" s="10" t="b">
        <v>0</v>
      </c>
      <c r="P80" s="10" t="b">
        <v>0</v>
      </c>
      <c r="Q80" s="10" t="b">
        <v>0</v>
      </c>
      <c r="R80" s="10" t="b">
        <v>0</v>
      </c>
      <c r="S80" s="91">
        <v>46094.0</v>
      </c>
      <c r="T80" s="6" t="s">
        <v>361</v>
      </c>
      <c r="U80" s="6" t="s">
        <v>362</v>
      </c>
      <c r="V80" s="57" t="b">
        <v>0</v>
      </c>
      <c r="W80" s="9" t="s">
        <v>2176</v>
      </c>
      <c r="X80" s="53"/>
      <c r="Y80" s="53"/>
      <c r="Z80" s="4"/>
      <c r="AA80" s="4"/>
      <c r="AB80" s="4"/>
      <c r="AC80" s="4"/>
      <c r="AD80" s="4"/>
      <c r="AE80" s="4"/>
      <c r="AF80" s="4"/>
    </row>
    <row r="81">
      <c r="A81" s="5" t="s">
        <v>22</v>
      </c>
      <c r="B81" s="155" t="s">
        <v>1879</v>
      </c>
      <c r="C81" s="9" t="s">
        <v>2177</v>
      </c>
      <c r="D81" s="28">
        <v>8.148641087E9</v>
      </c>
      <c r="E81" s="8" t="s">
        <v>69</v>
      </c>
      <c r="F81" s="28" t="s">
        <v>2178</v>
      </c>
      <c r="G81" s="9" t="s">
        <v>2179</v>
      </c>
      <c r="H81" s="9" t="s">
        <v>716</v>
      </c>
      <c r="I81" s="10" t="b">
        <v>1</v>
      </c>
      <c r="J81" s="57" t="b">
        <v>1</v>
      </c>
      <c r="K81" s="57" t="b">
        <v>1</v>
      </c>
      <c r="L81" s="54" t="b">
        <v>1</v>
      </c>
      <c r="M81" s="10" t="b">
        <v>0</v>
      </c>
      <c r="N81" s="10" t="b">
        <v>0</v>
      </c>
      <c r="O81" s="10" t="b">
        <v>0</v>
      </c>
      <c r="P81" s="10" t="b">
        <v>0</v>
      </c>
      <c r="Q81" s="10" t="b">
        <v>0</v>
      </c>
      <c r="R81" s="10" t="b">
        <v>0</v>
      </c>
      <c r="S81" s="91">
        <v>46072.0</v>
      </c>
      <c r="T81" s="6" t="s">
        <v>357</v>
      </c>
      <c r="U81" s="6" t="s">
        <v>358</v>
      </c>
      <c r="V81" s="57" t="b">
        <v>0</v>
      </c>
      <c r="W81" s="9" t="s">
        <v>2180</v>
      </c>
      <c r="X81" s="6" t="s">
        <v>357</v>
      </c>
      <c r="Y81" s="6" t="s">
        <v>358</v>
      </c>
      <c r="Z81" s="9" t="s">
        <v>2181</v>
      </c>
      <c r="AA81" s="4"/>
      <c r="AB81" s="4"/>
      <c r="AC81" s="4"/>
      <c r="AD81" s="4"/>
      <c r="AE81" s="4"/>
      <c r="AF81" s="4"/>
    </row>
    <row r="82">
      <c r="A82" s="30" t="s">
        <v>146</v>
      </c>
      <c r="B82" s="155" t="s">
        <v>1879</v>
      </c>
      <c r="C82" s="9" t="s">
        <v>2182</v>
      </c>
      <c r="D82" s="28">
        <v>9.500639357E9</v>
      </c>
      <c r="E82" s="8"/>
      <c r="F82" s="28" t="s">
        <v>2183</v>
      </c>
      <c r="G82" s="9" t="s">
        <v>2184</v>
      </c>
      <c r="H82" s="9" t="s">
        <v>716</v>
      </c>
      <c r="I82" s="10" t="b">
        <v>1</v>
      </c>
      <c r="J82" s="10" t="b">
        <v>1</v>
      </c>
      <c r="K82" s="10" t="b">
        <v>1</v>
      </c>
      <c r="L82" s="10" t="b">
        <v>1</v>
      </c>
      <c r="M82" s="10" t="b">
        <v>0</v>
      </c>
      <c r="N82" s="10" t="b">
        <v>0</v>
      </c>
      <c r="O82" s="10" t="b">
        <v>0</v>
      </c>
      <c r="P82" s="10" t="b">
        <v>0</v>
      </c>
      <c r="Q82" s="10" t="b">
        <v>0</v>
      </c>
      <c r="R82" s="10" t="b">
        <v>0</v>
      </c>
      <c r="S82" s="91">
        <v>46094.0</v>
      </c>
      <c r="T82" s="6" t="s">
        <v>361</v>
      </c>
      <c r="U82" s="6" t="s">
        <v>362</v>
      </c>
      <c r="V82" s="57" t="b">
        <v>0</v>
      </c>
      <c r="W82" s="9" t="s">
        <v>2176</v>
      </c>
      <c r="X82" s="53"/>
      <c r="Y82" s="53"/>
      <c r="Z82" s="4"/>
      <c r="AA82" s="4"/>
      <c r="AB82" s="4"/>
      <c r="AC82" s="4"/>
      <c r="AD82" s="4"/>
      <c r="AE82" s="4"/>
      <c r="AF82" s="4"/>
    </row>
    <row r="83">
      <c r="A83" s="5" t="s">
        <v>22</v>
      </c>
      <c r="B83" s="155" t="s">
        <v>1879</v>
      </c>
      <c r="C83" s="9" t="s">
        <v>2185</v>
      </c>
      <c r="D83" s="28">
        <v>6.379768614E9</v>
      </c>
      <c r="E83" s="8" t="s">
        <v>69</v>
      </c>
      <c r="F83" s="28" t="s">
        <v>2186</v>
      </c>
      <c r="G83" s="9" t="s">
        <v>2102</v>
      </c>
      <c r="H83" s="9" t="s">
        <v>716</v>
      </c>
      <c r="I83" s="57" t="b">
        <v>1</v>
      </c>
      <c r="J83" s="57" t="b">
        <v>1</v>
      </c>
      <c r="K83" s="54" t="b">
        <v>1</v>
      </c>
      <c r="L83" s="10" t="b">
        <v>0</v>
      </c>
      <c r="M83" s="10" t="b">
        <v>0</v>
      </c>
      <c r="N83" s="10" t="b">
        <v>0</v>
      </c>
      <c r="O83" s="10" t="b">
        <v>0</v>
      </c>
      <c r="P83" s="10" t="b">
        <v>0</v>
      </c>
      <c r="Q83" s="10" t="b">
        <v>0</v>
      </c>
      <c r="R83" s="10" t="b">
        <v>0</v>
      </c>
      <c r="S83" s="91">
        <v>46076.0</v>
      </c>
      <c r="T83" s="6" t="s">
        <v>357</v>
      </c>
      <c r="U83" s="6" t="s">
        <v>358</v>
      </c>
      <c r="V83" s="54" t="b">
        <v>1</v>
      </c>
      <c r="W83" s="9" t="s">
        <v>2187</v>
      </c>
      <c r="X83" s="6" t="s">
        <v>382</v>
      </c>
      <c r="Y83" s="6" t="s">
        <v>358</v>
      </c>
      <c r="Z83" s="6" t="s">
        <v>2188</v>
      </c>
      <c r="AA83" s="4"/>
      <c r="AB83" s="4"/>
      <c r="AC83" s="4"/>
      <c r="AD83" s="4"/>
      <c r="AE83" s="4"/>
      <c r="AF83" s="4"/>
    </row>
    <row r="84">
      <c r="A84" s="5" t="s">
        <v>22</v>
      </c>
      <c r="B84" s="155" t="s">
        <v>1879</v>
      </c>
      <c r="C84" s="9" t="s">
        <v>2189</v>
      </c>
      <c r="D84" s="28">
        <v>7.397198628E9</v>
      </c>
      <c r="E84" s="8" t="s">
        <v>108</v>
      </c>
      <c r="F84" s="28" t="s">
        <v>2190</v>
      </c>
      <c r="G84" s="9" t="s">
        <v>1149</v>
      </c>
      <c r="H84" s="9" t="s">
        <v>716</v>
      </c>
      <c r="I84" s="57" t="b">
        <v>1</v>
      </c>
      <c r="J84" s="57" t="b">
        <v>1</v>
      </c>
      <c r="K84" s="54" t="b">
        <v>1</v>
      </c>
      <c r="L84" s="10" t="b">
        <v>0</v>
      </c>
      <c r="M84" s="10" t="b">
        <v>0</v>
      </c>
      <c r="N84" s="10" t="b">
        <v>0</v>
      </c>
      <c r="O84" s="10" t="b">
        <v>0</v>
      </c>
      <c r="P84" s="10" t="b">
        <v>0</v>
      </c>
      <c r="Q84" s="10" t="b">
        <v>0</v>
      </c>
      <c r="R84" s="10" t="b">
        <v>0</v>
      </c>
      <c r="S84" s="91">
        <v>46073.0</v>
      </c>
      <c r="T84" s="6" t="s">
        <v>357</v>
      </c>
      <c r="U84" s="6" t="s">
        <v>358</v>
      </c>
      <c r="V84" s="156" t="b">
        <v>1</v>
      </c>
      <c r="W84" s="9" t="s">
        <v>2191</v>
      </c>
      <c r="X84" s="6" t="s">
        <v>382</v>
      </c>
      <c r="Y84" s="6" t="s">
        <v>358</v>
      </c>
      <c r="Z84" s="6" t="s">
        <v>2192</v>
      </c>
      <c r="AA84" s="4"/>
      <c r="AB84" s="4"/>
      <c r="AC84" s="4"/>
      <c r="AD84" s="4"/>
      <c r="AE84" s="4"/>
      <c r="AF84" s="4"/>
    </row>
    <row r="85">
      <c r="A85" s="30" t="s">
        <v>146</v>
      </c>
      <c r="B85" s="155" t="s">
        <v>1879</v>
      </c>
      <c r="C85" s="9" t="s">
        <v>2193</v>
      </c>
      <c r="D85" s="28">
        <v>9.36358057E9</v>
      </c>
      <c r="E85" s="8" t="s">
        <v>38</v>
      </c>
      <c r="F85" s="28" t="s">
        <v>2194</v>
      </c>
      <c r="G85" s="9" t="s">
        <v>1149</v>
      </c>
      <c r="H85" s="9" t="s">
        <v>716</v>
      </c>
      <c r="I85" s="57" t="b">
        <v>1</v>
      </c>
      <c r="J85" s="57" t="b">
        <v>1</v>
      </c>
      <c r="K85" s="54" t="b">
        <v>1</v>
      </c>
      <c r="L85" s="10" t="b">
        <v>0</v>
      </c>
      <c r="M85" s="10" t="b">
        <v>0</v>
      </c>
      <c r="N85" s="10" t="b">
        <v>0</v>
      </c>
      <c r="O85" s="10" t="b">
        <v>0</v>
      </c>
      <c r="P85" s="10" t="b">
        <v>0</v>
      </c>
      <c r="Q85" s="10" t="b">
        <v>0</v>
      </c>
      <c r="R85" s="10" t="b">
        <v>0</v>
      </c>
      <c r="S85" s="91">
        <v>46097.0</v>
      </c>
      <c r="T85" s="6" t="s">
        <v>357</v>
      </c>
      <c r="U85" s="6" t="s">
        <v>358</v>
      </c>
      <c r="V85" s="54" t="b">
        <v>1</v>
      </c>
      <c r="W85" s="168" t="s">
        <v>2195</v>
      </c>
      <c r="X85" s="6" t="s">
        <v>684</v>
      </c>
      <c r="Y85" s="6" t="s">
        <v>358</v>
      </c>
      <c r="Z85" s="9" t="s">
        <v>2196</v>
      </c>
      <c r="AA85" s="4"/>
      <c r="AB85" s="4"/>
      <c r="AC85" s="4"/>
      <c r="AD85" s="4"/>
      <c r="AE85" s="4"/>
      <c r="AF85" s="4"/>
    </row>
    <row r="86">
      <c r="A86" s="5" t="s">
        <v>22</v>
      </c>
      <c r="B86" s="155" t="s">
        <v>1879</v>
      </c>
      <c r="C86" s="9" t="s">
        <v>2197</v>
      </c>
      <c r="D86" s="13">
        <v>7.502059407E9</v>
      </c>
      <c r="E86" s="8" t="s">
        <v>69</v>
      </c>
      <c r="F86" s="28" t="s">
        <v>2198</v>
      </c>
      <c r="G86" s="9" t="s">
        <v>1533</v>
      </c>
      <c r="H86" s="9" t="s">
        <v>716</v>
      </c>
      <c r="I86" s="10" t="b">
        <v>1</v>
      </c>
      <c r="J86" s="57" t="b">
        <v>1</v>
      </c>
      <c r="K86" s="67" t="b">
        <v>1</v>
      </c>
      <c r="L86" s="54" t="b">
        <v>1</v>
      </c>
      <c r="M86" s="10" t="b">
        <v>0</v>
      </c>
      <c r="N86" s="10" t="b">
        <v>0</v>
      </c>
      <c r="O86" s="10" t="b">
        <v>0</v>
      </c>
      <c r="P86" s="10" t="b">
        <v>0</v>
      </c>
      <c r="Q86" s="10" t="b">
        <v>0</v>
      </c>
      <c r="R86" s="10" t="b">
        <v>0</v>
      </c>
      <c r="S86" s="91">
        <v>46081.0</v>
      </c>
      <c r="T86" s="6" t="s">
        <v>357</v>
      </c>
      <c r="U86" s="6" t="s">
        <v>358</v>
      </c>
      <c r="V86" s="54" t="b">
        <v>1</v>
      </c>
      <c r="W86" s="9" t="s">
        <v>2199</v>
      </c>
      <c r="X86" s="6" t="s">
        <v>382</v>
      </c>
      <c r="Y86" s="6" t="s">
        <v>358</v>
      </c>
      <c r="Z86" s="9" t="s">
        <v>2200</v>
      </c>
      <c r="AA86" s="4"/>
      <c r="AB86" s="4"/>
      <c r="AC86" s="4"/>
      <c r="AD86" s="4"/>
      <c r="AE86" s="4"/>
      <c r="AF86" s="4"/>
    </row>
    <row r="87">
      <c r="A87" s="30" t="s">
        <v>146</v>
      </c>
      <c r="B87" s="155" t="s">
        <v>1879</v>
      </c>
      <c r="C87" s="9" t="s">
        <v>2201</v>
      </c>
      <c r="D87" s="13">
        <v>6.37979534E9</v>
      </c>
      <c r="E87" s="8"/>
      <c r="F87" s="28" t="s">
        <v>2202</v>
      </c>
      <c r="G87" s="9" t="s">
        <v>2203</v>
      </c>
      <c r="H87" s="9" t="s">
        <v>716</v>
      </c>
      <c r="I87" s="54" t="b">
        <v>1</v>
      </c>
      <c r="J87" s="10" t="b">
        <v>0</v>
      </c>
      <c r="K87" s="10" t="b">
        <v>0</v>
      </c>
      <c r="L87" s="10" t="b">
        <v>0</v>
      </c>
      <c r="M87" s="10" t="b">
        <v>0</v>
      </c>
      <c r="N87" s="10" t="b">
        <v>0</v>
      </c>
      <c r="O87" s="10" t="b">
        <v>0</v>
      </c>
      <c r="P87" s="10" t="b">
        <v>0</v>
      </c>
      <c r="Q87" s="10" t="b">
        <v>0</v>
      </c>
      <c r="R87" s="10" t="b">
        <v>0</v>
      </c>
      <c r="S87" s="91">
        <v>46071.0</v>
      </c>
      <c r="T87" s="6" t="s">
        <v>357</v>
      </c>
      <c r="U87" s="6" t="s">
        <v>358</v>
      </c>
      <c r="V87" s="57" t="b">
        <v>0</v>
      </c>
      <c r="W87" s="9" t="s">
        <v>2204</v>
      </c>
      <c r="X87" s="53"/>
      <c r="Y87" s="53"/>
      <c r="Z87" s="4"/>
      <c r="AA87" s="4"/>
      <c r="AB87" s="4"/>
      <c r="AC87" s="4"/>
      <c r="AD87" s="4"/>
      <c r="AE87" s="4"/>
      <c r="AF87" s="4"/>
    </row>
    <row r="88">
      <c r="A88" s="5" t="s">
        <v>22</v>
      </c>
      <c r="B88" s="155" t="s">
        <v>1879</v>
      </c>
      <c r="C88" s="9" t="s">
        <v>2205</v>
      </c>
      <c r="D88" s="13">
        <v>7.41882488E9</v>
      </c>
      <c r="E88" s="8" t="s">
        <v>69</v>
      </c>
      <c r="F88" s="28" t="s">
        <v>2206</v>
      </c>
      <c r="G88" s="9" t="s">
        <v>1149</v>
      </c>
      <c r="H88" s="9" t="s">
        <v>716</v>
      </c>
      <c r="I88" s="10" t="b">
        <v>1</v>
      </c>
      <c r="J88" s="57" t="b">
        <v>1</v>
      </c>
      <c r="K88" s="67" t="b">
        <v>1</v>
      </c>
      <c r="L88" s="71" t="b">
        <v>1</v>
      </c>
      <c r="M88" s="95" t="b">
        <v>1</v>
      </c>
      <c r="N88" s="10" t="b">
        <v>0</v>
      </c>
      <c r="O88" s="10" t="b">
        <v>0</v>
      </c>
      <c r="P88" s="10" t="b">
        <v>0</v>
      </c>
      <c r="Q88" s="10" t="b">
        <v>0</v>
      </c>
      <c r="R88" s="10" t="b">
        <v>0</v>
      </c>
      <c r="S88" s="91">
        <v>46076.0</v>
      </c>
      <c r="T88" s="6" t="s">
        <v>890</v>
      </c>
      <c r="U88" s="6" t="s">
        <v>891</v>
      </c>
      <c r="V88" s="57" t="b">
        <v>1</v>
      </c>
      <c r="W88" s="9" t="s">
        <v>2207</v>
      </c>
      <c r="X88" s="6" t="s">
        <v>890</v>
      </c>
      <c r="Y88" s="6" t="s">
        <v>891</v>
      </c>
      <c r="Z88" s="9" t="s">
        <v>2208</v>
      </c>
      <c r="AA88" s="4"/>
      <c r="AB88" s="4"/>
      <c r="AC88" s="4"/>
      <c r="AD88" s="4"/>
      <c r="AE88" s="4"/>
      <c r="AF88" s="4"/>
    </row>
    <row r="89">
      <c r="A89" s="5" t="s">
        <v>22</v>
      </c>
      <c r="B89" s="155" t="s">
        <v>1879</v>
      </c>
      <c r="C89" s="9" t="s">
        <v>2209</v>
      </c>
      <c r="D89" s="13">
        <v>8.946039133E9</v>
      </c>
      <c r="E89" s="8"/>
      <c r="F89" s="28" t="s">
        <v>2210</v>
      </c>
      <c r="G89" s="9" t="s">
        <v>2211</v>
      </c>
      <c r="H89" s="9" t="s">
        <v>716</v>
      </c>
      <c r="I89" s="10" t="b">
        <v>1</v>
      </c>
      <c r="J89" s="10" t="b">
        <v>0</v>
      </c>
      <c r="K89" s="10" t="b">
        <v>0</v>
      </c>
      <c r="L89" s="10" t="b">
        <v>0</v>
      </c>
      <c r="M89" s="10" t="b">
        <v>0</v>
      </c>
      <c r="N89" s="10" t="b">
        <v>0</v>
      </c>
      <c r="O89" s="10" t="b">
        <v>0</v>
      </c>
      <c r="P89" s="10" t="b">
        <v>0</v>
      </c>
      <c r="Q89" s="10" t="b">
        <v>0</v>
      </c>
      <c r="R89" s="10" t="b">
        <v>0</v>
      </c>
      <c r="S89" s="91">
        <v>46071.0</v>
      </c>
      <c r="T89" s="6" t="s">
        <v>357</v>
      </c>
      <c r="U89" s="6" t="s">
        <v>358</v>
      </c>
      <c r="V89" s="57" t="b">
        <v>0</v>
      </c>
      <c r="W89" s="9" t="s">
        <v>2212</v>
      </c>
      <c r="X89" s="53"/>
      <c r="Y89" s="53"/>
      <c r="Z89" s="4"/>
      <c r="AA89" s="4"/>
      <c r="AB89" s="4"/>
      <c r="AC89" s="4"/>
      <c r="AD89" s="4"/>
      <c r="AE89" s="4"/>
      <c r="AF89" s="4"/>
    </row>
    <row r="90">
      <c r="A90" s="30" t="s">
        <v>146</v>
      </c>
      <c r="B90" s="155" t="s">
        <v>1879</v>
      </c>
      <c r="C90" s="9" t="s">
        <v>2213</v>
      </c>
      <c r="D90" s="13">
        <v>8.30061943E9</v>
      </c>
      <c r="E90" s="8" t="s">
        <v>69</v>
      </c>
      <c r="F90" s="13" t="s">
        <v>2214</v>
      </c>
      <c r="G90" s="9" t="s">
        <v>1744</v>
      </c>
      <c r="H90" s="9" t="s">
        <v>716</v>
      </c>
      <c r="I90" s="57" t="b">
        <v>1</v>
      </c>
      <c r="J90" s="54" t="b">
        <v>1</v>
      </c>
      <c r="K90" s="10" t="b">
        <v>0</v>
      </c>
      <c r="L90" s="10" t="b">
        <v>0</v>
      </c>
      <c r="M90" s="10" t="b">
        <v>0</v>
      </c>
      <c r="N90" s="10" t="b">
        <v>0</v>
      </c>
      <c r="O90" s="10" t="b">
        <v>0</v>
      </c>
      <c r="P90" s="10" t="b">
        <v>0</v>
      </c>
      <c r="Q90" s="10" t="b">
        <v>0</v>
      </c>
      <c r="R90" s="10" t="b">
        <v>0</v>
      </c>
      <c r="S90" s="91">
        <v>46072.0</v>
      </c>
      <c r="T90" s="6" t="s">
        <v>357</v>
      </c>
      <c r="U90" s="6" t="s">
        <v>358</v>
      </c>
      <c r="V90" s="57" t="b">
        <v>1</v>
      </c>
      <c r="W90" s="9" t="s">
        <v>2215</v>
      </c>
      <c r="X90" s="6" t="s">
        <v>357</v>
      </c>
      <c r="Y90" s="6" t="s">
        <v>358</v>
      </c>
      <c r="Z90" s="9" t="s">
        <v>2216</v>
      </c>
      <c r="AA90" s="4"/>
      <c r="AB90" s="4"/>
      <c r="AC90" s="4"/>
      <c r="AD90" s="4"/>
      <c r="AE90" s="4"/>
      <c r="AF90" s="4"/>
    </row>
    <row r="91">
      <c r="A91" s="5" t="s">
        <v>22</v>
      </c>
      <c r="B91" s="155" t="s">
        <v>1761</v>
      </c>
      <c r="C91" s="9" t="s">
        <v>2217</v>
      </c>
      <c r="D91" s="13">
        <v>9.345872968E9</v>
      </c>
      <c r="E91" s="8" t="s">
        <v>38</v>
      </c>
      <c r="F91" s="28" t="s">
        <v>2005</v>
      </c>
      <c r="G91" s="8" t="s">
        <v>409</v>
      </c>
      <c r="H91" s="9" t="s">
        <v>716</v>
      </c>
      <c r="I91" s="10" t="b">
        <v>1</v>
      </c>
      <c r="J91" s="57" t="b">
        <v>1</v>
      </c>
      <c r="K91" s="67" t="b">
        <v>1</v>
      </c>
      <c r="L91" s="71" t="b">
        <v>1</v>
      </c>
      <c r="M91" s="71" t="b">
        <v>1</v>
      </c>
      <c r="N91" s="71" t="b">
        <v>1</v>
      </c>
      <c r="O91" s="54" t="b">
        <v>1</v>
      </c>
      <c r="P91" s="10" t="b">
        <v>0</v>
      </c>
      <c r="Q91" s="10" t="b">
        <v>0</v>
      </c>
      <c r="R91" s="10" t="b">
        <v>0</v>
      </c>
      <c r="S91" s="91">
        <v>46136.0</v>
      </c>
      <c r="T91" s="6" t="s">
        <v>357</v>
      </c>
      <c r="U91" s="6" t="s">
        <v>358</v>
      </c>
      <c r="V91" s="54" t="b">
        <v>1</v>
      </c>
      <c r="W91" s="9" t="s">
        <v>2218</v>
      </c>
      <c r="X91" s="6" t="s">
        <v>357</v>
      </c>
      <c r="Y91" s="6" t="s">
        <v>358</v>
      </c>
      <c r="Z91" s="9" t="s">
        <v>2219</v>
      </c>
      <c r="AA91" s="4"/>
      <c r="AB91" s="4"/>
      <c r="AC91" s="4"/>
      <c r="AD91" s="4"/>
      <c r="AE91" s="4"/>
      <c r="AF91" s="4"/>
    </row>
    <row r="92">
      <c r="A92" s="30" t="s">
        <v>146</v>
      </c>
      <c r="B92" s="155" t="s">
        <v>1879</v>
      </c>
      <c r="C92" s="9" t="s">
        <v>2220</v>
      </c>
      <c r="D92" s="13">
        <v>8.22079183E9</v>
      </c>
      <c r="E92" s="8" t="s">
        <v>103</v>
      </c>
      <c r="F92" s="13" t="s">
        <v>2221</v>
      </c>
      <c r="G92" s="9" t="s">
        <v>2222</v>
      </c>
      <c r="H92" s="9" t="s">
        <v>716</v>
      </c>
      <c r="I92" s="57" t="b">
        <v>1</v>
      </c>
      <c r="J92" s="57" t="b">
        <v>1</v>
      </c>
      <c r="K92" s="57" t="b">
        <v>1</v>
      </c>
      <c r="L92" s="57" t="b">
        <v>1</v>
      </c>
      <c r="M92" s="67" t="b">
        <v>1</v>
      </c>
      <c r="N92" s="54" t="b">
        <v>1</v>
      </c>
      <c r="O92" s="10" t="b">
        <v>0</v>
      </c>
      <c r="P92" s="10" t="b">
        <v>0</v>
      </c>
      <c r="Q92" s="10" t="b">
        <v>0</v>
      </c>
      <c r="R92" s="10" t="b">
        <v>0</v>
      </c>
      <c r="S92" s="91">
        <v>46101.0</v>
      </c>
      <c r="T92" s="6" t="s">
        <v>357</v>
      </c>
      <c r="U92" s="6" t="s">
        <v>358</v>
      </c>
      <c r="V92" s="54" t="b">
        <v>1</v>
      </c>
      <c r="W92" s="9" t="s">
        <v>2223</v>
      </c>
      <c r="X92" s="6" t="s">
        <v>357</v>
      </c>
      <c r="Y92" s="6" t="s">
        <v>358</v>
      </c>
      <c r="Z92" s="6" t="s">
        <v>2224</v>
      </c>
      <c r="AA92" s="4"/>
      <c r="AB92" s="4"/>
      <c r="AC92" s="4"/>
      <c r="AD92" s="4"/>
      <c r="AE92" s="4"/>
      <c r="AF92" s="4"/>
    </row>
    <row r="93">
      <c r="A93" s="30" t="s">
        <v>146</v>
      </c>
      <c r="B93" s="155" t="s">
        <v>1879</v>
      </c>
      <c r="C93" s="9" t="s">
        <v>2225</v>
      </c>
      <c r="D93" s="13">
        <v>9.360461563E9</v>
      </c>
      <c r="E93" s="8" t="s">
        <v>69</v>
      </c>
      <c r="F93" s="28" t="s">
        <v>2226</v>
      </c>
      <c r="G93" s="9" t="s">
        <v>1149</v>
      </c>
      <c r="H93" s="9" t="s">
        <v>716</v>
      </c>
      <c r="I93" s="57" t="b">
        <v>1</v>
      </c>
      <c r="J93" s="67" t="b">
        <v>1</v>
      </c>
      <c r="K93" s="71" t="b">
        <v>1</v>
      </c>
      <c r="L93" s="54" t="b">
        <v>1</v>
      </c>
      <c r="M93" s="10" t="b">
        <v>0</v>
      </c>
      <c r="N93" s="10" t="b">
        <v>0</v>
      </c>
      <c r="O93" s="10" t="b">
        <v>0</v>
      </c>
      <c r="P93" s="10" t="b">
        <v>0</v>
      </c>
      <c r="Q93" s="10" t="b">
        <v>0</v>
      </c>
      <c r="R93" s="10" t="b">
        <v>0</v>
      </c>
      <c r="S93" s="91">
        <v>46081.0</v>
      </c>
      <c r="T93" s="6" t="s">
        <v>357</v>
      </c>
      <c r="U93" s="6" t="s">
        <v>358</v>
      </c>
      <c r="V93" s="54" t="b">
        <v>1</v>
      </c>
      <c r="W93" s="9" t="s">
        <v>2227</v>
      </c>
      <c r="X93" s="6" t="s">
        <v>382</v>
      </c>
      <c r="Y93" s="6" t="s">
        <v>358</v>
      </c>
      <c r="Z93" s="9" t="s">
        <v>2228</v>
      </c>
      <c r="AA93" s="4"/>
      <c r="AB93" s="4"/>
      <c r="AC93" s="4"/>
      <c r="AD93" s="4"/>
      <c r="AE93" s="4"/>
      <c r="AF93" s="4"/>
    </row>
    <row r="94">
      <c r="A94" s="30" t="s">
        <v>146</v>
      </c>
      <c r="B94" s="155" t="s">
        <v>1879</v>
      </c>
      <c r="C94" s="9" t="s">
        <v>2229</v>
      </c>
      <c r="D94" s="13">
        <v>9.78700337E9</v>
      </c>
      <c r="E94" s="8"/>
      <c r="F94" s="13" t="s">
        <v>2230</v>
      </c>
      <c r="G94" s="9" t="s">
        <v>2231</v>
      </c>
      <c r="H94" s="9" t="s">
        <v>716</v>
      </c>
      <c r="I94" s="10" t="b">
        <v>1</v>
      </c>
      <c r="J94" s="10" t="b">
        <v>1</v>
      </c>
      <c r="K94" s="10" t="b">
        <v>1</v>
      </c>
      <c r="L94" s="10" t="b">
        <v>1</v>
      </c>
      <c r="M94" s="10" t="b">
        <v>0</v>
      </c>
      <c r="N94" s="10" t="b">
        <v>0</v>
      </c>
      <c r="O94" s="10" t="b">
        <v>0</v>
      </c>
      <c r="P94" s="10" t="b">
        <v>0</v>
      </c>
      <c r="Q94" s="10" t="b">
        <v>0</v>
      </c>
      <c r="R94" s="10" t="b">
        <v>0</v>
      </c>
      <c r="S94" s="91">
        <v>46094.0</v>
      </c>
      <c r="T94" s="6" t="s">
        <v>1055</v>
      </c>
      <c r="U94" s="6" t="s">
        <v>362</v>
      </c>
      <c r="V94" s="57" t="b">
        <v>0</v>
      </c>
      <c r="W94" s="9" t="s">
        <v>2232</v>
      </c>
      <c r="X94" s="53"/>
      <c r="Y94" s="53"/>
      <c r="Z94" s="4"/>
      <c r="AA94" s="4"/>
      <c r="AB94" s="4"/>
      <c r="AC94" s="4"/>
      <c r="AD94" s="4"/>
      <c r="AE94" s="4"/>
      <c r="AF94" s="4"/>
    </row>
    <row r="95">
      <c r="A95" s="30" t="s">
        <v>146</v>
      </c>
      <c r="B95" s="155" t="s">
        <v>1879</v>
      </c>
      <c r="C95" s="9" t="s">
        <v>2233</v>
      </c>
      <c r="D95" s="13">
        <v>9.68841004E9</v>
      </c>
      <c r="E95" s="8" t="s">
        <v>169</v>
      </c>
      <c r="F95" s="28" t="s">
        <v>2234</v>
      </c>
      <c r="G95" s="9" t="s">
        <v>1149</v>
      </c>
      <c r="H95" s="9" t="s">
        <v>716</v>
      </c>
      <c r="I95" s="10" t="b">
        <v>1</v>
      </c>
      <c r="J95" s="10" t="b">
        <v>1</v>
      </c>
      <c r="K95" s="10" t="b">
        <v>1</v>
      </c>
      <c r="L95" s="10" t="b">
        <v>1</v>
      </c>
      <c r="M95" s="54" t="b">
        <v>1</v>
      </c>
      <c r="N95" s="10" t="b">
        <v>0</v>
      </c>
      <c r="O95" s="10" t="b">
        <v>0</v>
      </c>
      <c r="P95" s="10" t="b">
        <v>0</v>
      </c>
      <c r="Q95" s="10" t="b">
        <v>0</v>
      </c>
      <c r="R95" s="10" t="b">
        <v>0</v>
      </c>
      <c r="S95" s="91">
        <v>46094.0</v>
      </c>
      <c r="T95" s="6" t="s">
        <v>357</v>
      </c>
      <c r="U95" s="6" t="s">
        <v>358</v>
      </c>
      <c r="V95" s="57" t="b">
        <v>0</v>
      </c>
      <c r="W95" s="9" t="s">
        <v>2012</v>
      </c>
      <c r="X95" s="6" t="s">
        <v>684</v>
      </c>
      <c r="Y95" s="6" t="s">
        <v>358</v>
      </c>
      <c r="Z95" s="9" t="s">
        <v>2235</v>
      </c>
      <c r="AA95" s="4"/>
      <c r="AB95" s="4"/>
      <c r="AC95" s="4"/>
      <c r="AD95" s="4"/>
      <c r="AE95" s="4"/>
      <c r="AF95" s="4"/>
    </row>
    <row r="96">
      <c r="A96" s="30" t="s">
        <v>146</v>
      </c>
      <c r="B96" s="155" t="s">
        <v>1879</v>
      </c>
      <c r="C96" s="9" t="s">
        <v>2236</v>
      </c>
      <c r="D96" s="13">
        <v>6.383013115E9</v>
      </c>
      <c r="E96" s="8"/>
      <c r="F96" s="28" t="s">
        <v>2237</v>
      </c>
      <c r="G96" s="9" t="s">
        <v>1720</v>
      </c>
      <c r="H96" s="9" t="s">
        <v>716</v>
      </c>
      <c r="I96" s="10" t="b">
        <v>1</v>
      </c>
      <c r="J96" s="10" t="b">
        <v>1</v>
      </c>
      <c r="K96" s="10" t="b">
        <v>1</v>
      </c>
      <c r="L96" s="10" t="b">
        <v>1</v>
      </c>
      <c r="M96" s="10" t="b">
        <v>0</v>
      </c>
      <c r="N96" s="10" t="b">
        <v>0</v>
      </c>
      <c r="O96" s="10" t="b">
        <v>0</v>
      </c>
      <c r="P96" s="10" t="b">
        <v>0</v>
      </c>
      <c r="Q96" s="10" t="b">
        <v>0</v>
      </c>
      <c r="R96" s="10" t="b">
        <v>0</v>
      </c>
      <c r="S96" s="91">
        <v>46094.0</v>
      </c>
      <c r="T96" s="6" t="s">
        <v>441</v>
      </c>
      <c r="U96" s="6" t="s">
        <v>362</v>
      </c>
      <c r="V96" s="57" t="b">
        <v>0</v>
      </c>
      <c r="W96" s="9" t="s">
        <v>2012</v>
      </c>
      <c r="X96" s="53"/>
      <c r="Y96" s="53"/>
      <c r="Z96" s="4"/>
      <c r="AA96" s="4"/>
      <c r="AB96" s="4"/>
      <c r="AC96" s="4"/>
      <c r="AD96" s="4"/>
      <c r="AE96" s="4"/>
      <c r="AF96" s="4"/>
    </row>
    <row r="97">
      <c r="A97" s="5" t="s">
        <v>22</v>
      </c>
      <c r="B97" s="155" t="s">
        <v>1879</v>
      </c>
      <c r="C97" s="9" t="s">
        <v>2238</v>
      </c>
      <c r="D97" s="13">
        <v>9.655070202E9</v>
      </c>
      <c r="E97" s="8" t="s">
        <v>69</v>
      </c>
      <c r="F97" s="13" t="s">
        <v>2239</v>
      </c>
      <c r="G97" s="9" t="s">
        <v>2240</v>
      </c>
      <c r="H97" s="9" t="s">
        <v>716</v>
      </c>
      <c r="I97" s="10" t="b">
        <v>1</v>
      </c>
      <c r="J97" s="57" t="b">
        <v>1</v>
      </c>
      <c r="K97" s="57" t="b">
        <v>1</v>
      </c>
      <c r="L97" s="54" t="b">
        <v>1</v>
      </c>
      <c r="M97" s="10" t="b">
        <v>0</v>
      </c>
      <c r="N97" s="10" t="b">
        <v>0</v>
      </c>
      <c r="O97" s="10" t="b">
        <v>0</v>
      </c>
      <c r="P97" s="10" t="b">
        <v>0</v>
      </c>
      <c r="Q97" s="10" t="b">
        <v>0</v>
      </c>
      <c r="R97" s="10" t="b">
        <v>0</v>
      </c>
      <c r="S97" s="91">
        <v>46081.0</v>
      </c>
      <c r="T97" s="6" t="s">
        <v>357</v>
      </c>
      <c r="U97" s="6" t="s">
        <v>358</v>
      </c>
      <c r="V97" s="54" t="b">
        <v>1</v>
      </c>
      <c r="W97" s="9" t="s">
        <v>2241</v>
      </c>
      <c r="X97" s="6" t="s">
        <v>382</v>
      </c>
      <c r="Y97" s="6" t="s">
        <v>358</v>
      </c>
      <c r="Z97" s="6" t="s">
        <v>2242</v>
      </c>
      <c r="AA97" s="4"/>
      <c r="AB97" s="4"/>
      <c r="AC97" s="4"/>
      <c r="AD97" s="4"/>
      <c r="AE97" s="4"/>
      <c r="AF97" s="4"/>
    </row>
    <row r="98">
      <c r="A98" s="5" t="s">
        <v>22</v>
      </c>
      <c r="B98" s="155" t="s">
        <v>1761</v>
      </c>
      <c r="C98" s="9" t="s">
        <v>2243</v>
      </c>
      <c r="D98" s="13">
        <v>8.940897825E9</v>
      </c>
      <c r="E98" s="8" t="s">
        <v>69</v>
      </c>
      <c r="F98" s="13" t="s">
        <v>2244</v>
      </c>
      <c r="G98" s="9" t="s">
        <v>1149</v>
      </c>
      <c r="H98" s="9" t="s">
        <v>716</v>
      </c>
      <c r="I98" s="57" t="b">
        <v>1</v>
      </c>
      <c r="J98" s="67" t="b">
        <v>1</v>
      </c>
      <c r="K98" s="71" t="b">
        <v>1</v>
      </c>
      <c r="L98" s="71" t="b">
        <v>1</v>
      </c>
      <c r="M98" s="95" t="b">
        <v>1</v>
      </c>
      <c r="N98" s="95" t="b">
        <v>1</v>
      </c>
      <c r="O98" s="95" t="b">
        <v>1</v>
      </c>
      <c r="P98" s="10" t="b">
        <v>0</v>
      </c>
      <c r="Q98" s="10" t="b">
        <v>0</v>
      </c>
      <c r="R98" s="10" t="b">
        <v>0</v>
      </c>
      <c r="S98" s="91">
        <v>46091.0</v>
      </c>
      <c r="T98" s="6" t="s">
        <v>890</v>
      </c>
      <c r="U98" s="6" t="s">
        <v>891</v>
      </c>
      <c r="V98" s="57" t="b">
        <v>1</v>
      </c>
      <c r="W98" s="9" t="s">
        <v>2245</v>
      </c>
      <c r="X98" s="6" t="s">
        <v>890</v>
      </c>
      <c r="Y98" s="6" t="s">
        <v>891</v>
      </c>
      <c r="Z98" s="9" t="s">
        <v>2246</v>
      </c>
      <c r="AA98" s="4"/>
      <c r="AB98" s="4"/>
      <c r="AC98" s="4"/>
      <c r="AD98" s="4"/>
      <c r="AE98" s="4"/>
      <c r="AF98" s="4"/>
    </row>
    <row r="99">
      <c r="A99" s="30" t="s">
        <v>146</v>
      </c>
      <c r="B99" s="155" t="s">
        <v>1879</v>
      </c>
      <c r="C99" s="9" t="s">
        <v>2247</v>
      </c>
      <c r="D99" s="13">
        <v>9.361160476E9</v>
      </c>
      <c r="E99" s="8"/>
      <c r="F99" s="28" t="s">
        <v>2248</v>
      </c>
      <c r="G99" s="9" t="s">
        <v>1149</v>
      </c>
      <c r="H99" s="9" t="s">
        <v>716</v>
      </c>
      <c r="I99" s="10" t="b">
        <v>1</v>
      </c>
      <c r="J99" s="10" t="b">
        <v>1</v>
      </c>
      <c r="K99" s="10" t="b">
        <v>1</v>
      </c>
      <c r="L99" s="10" t="b">
        <v>1</v>
      </c>
      <c r="M99" s="54" t="b">
        <v>1</v>
      </c>
      <c r="N99" s="10" t="b">
        <v>0</v>
      </c>
      <c r="O99" s="10" t="b">
        <v>0</v>
      </c>
      <c r="P99" s="10" t="b">
        <v>0</v>
      </c>
      <c r="Q99" s="10" t="b">
        <v>0</v>
      </c>
      <c r="R99" s="10" t="b">
        <v>0</v>
      </c>
      <c r="S99" s="91">
        <v>46094.0</v>
      </c>
      <c r="T99" s="6" t="s">
        <v>357</v>
      </c>
      <c r="U99" s="6" t="s">
        <v>358</v>
      </c>
      <c r="V99" s="57" t="b">
        <v>0</v>
      </c>
      <c r="W99" s="9" t="s">
        <v>2012</v>
      </c>
      <c r="X99" s="6" t="s">
        <v>382</v>
      </c>
      <c r="Y99" s="6" t="s">
        <v>358</v>
      </c>
      <c r="Z99" s="9" t="s">
        <v>2249</v>
      </c>
      <c r="AA99" s="4"/>
      <c r="AB99" s="4"/>
      <c r="AC99" s="4"/>
      <c r="AD99" s="4"/>
      <c r="AE99" s="4"/>
      <c r="AF99" s="4"/>
    </row>
    <row r="100">
      <c r="A100" s="5" t="s">
        <v>22</v>
      </c>
      <c r="B100" s="155" t="s">
        <v>1879</v>
      </c>
      <c r="C100" s="9" t="s">
        <v>2250</v>
      </c>
      <c r="D100" s="13">
        <v>6.369653337E9</v>
      </c>
      <c r="E100" s="8" t="s">
        <v>69</v>
      </c>
      <c r="F100" s="13" t="s">
        <v>2251</v>
      </c>
      <c r="G100" s="9" t="s">
        <v>1744</v>
      </c>
      <c r="H100" s="9" t="s">
        <v>716</v>
      </c>
      <c r="I100" s="10" t="b">
        <v>1</v>
      </c>
      <c r="J100" s="10" t="b">
        <v>1</v>
      </c>
      <c r="K100" s="54" t="b">
        <v>1</v>
      </c>
      <c r="L100" s="10" t="b">
        <v>0</v>
      </c>
      <c r="M100" s="10" t="b">
        <v>0</v>
      </c>
      <c r="N100" s="10" t="b">
        <v>0</v>
      </c>
      <c r="O100" s="10" t="b">
        <v>0</v>
      </c>
      <c r="P100" s="10" t="b">
        <v>0</v>
      </c>
      <c r="Q100" s="10" t="b">
        <v>0</v>
      </c>
      <c r="R100" s="10" t="b">
        <v>0</v>
      </c>
      <c r="S100" s="91">
        <v>46074.0</v>
      </c>
      <c r="T100" s="6" t="s">
        <v>357</v>
      </c>
      <c r="U100" s="6" t="s">
        <v>358</v>
      </c>
      <c r="V100" s="57" t="b">
        <v>0</v>
      </c>
      <c r="W100" s="9" t="s">
        <v>2252</v>
      </c>
      <c r="X100" s="53"/>
      <c r="Y100" s="53"/>
      <c r="Z100" s="4"/>
      <c r="AA100" s="4"/>
      <c r="AB100" s="4"/>
      <c r="AC100" s="4"/>
      <c r="AD100" s="4"/>
      <c r="AE100" s="4"/>
      <c r="AF100" s="4"/>
    </row>
    <row r="101">
      <c r="A101" s="30" t="s">
        <v>22</v>
      </c>
      <c r="B101" s="155" t="s">
        <v>1879</v>
      </c>
      <c r="C101" s="9" t="s">
        <v>2253</v>
      </c>
      <c r="D101" s="13">
        <v>7.339306808E9</v>
      </c>
      <c r="E101" s="8"/>
      <c r="F101" s="28" t="s">
        <v>2254</v>
      </c>
      <c r="G101" s="9" t="s">
        <v>1720</v>
      </c>
      <c r="H101" s="9" t="s">
        <v>716</v>
      </c>
      <c r="I101" s="10" t="b">
        <v>1</v>
      </c>
      <c r="J101" s="10" t="b">
        <v>1</v>
      </c>
      <c r="K101" s="10" t="b">
        <v>1</v>
      </c>
      <c r="L101" s="10" t="b">
        <v>0</v>
      </c>
      <c r="M101" s="10" t="b">
        <v>0</v>
      </c>
      <c r="N101" s="10" t="b">
        <v>0</v>
      </c>
      <c r="O101" s="10" t="b">
        <v>0</v>
      </c>
      <c r="P101" s="10" t="b">
        <v>0</v>
      </c>
      <c r="Q101" s="10" t="b">
        <v>0</v>
      </c>
      <c r="R101" s="10" t="b">
        <v>0</v>
      </c>
      <c r="S101" s="91">
        <v>46094.0</v>
      </c>
      <c r="T101" s="6" t="s">
        <v>361</v>
      </c>
      <c r="U101" s="6" t="s">
        <v>362</v>
      </c>
      <c r="V101" s="57" t="b">
        <v>0</v>
      </c>
      <c r="W101" s="9" t="s">
        <v>2012</v>
      </c>
      <c r="X101" s="53"/>
      <c r="Y101" s="53"/>
      <c r="Z101" s="4"/>
      <c r="AA101" s="4"/>
      <c r="AB101" s="4"/>
      <c r="AC101" s="4"/>
      <c r="AD101" s="4"/>
      <c r="AE101" s="4"/>
      <c r="AF101" s="4"/>
    </row>
    <row r="102">
      <c r="A102" s="5" t="s">
        <v>22</v>
      </c>
      <c r="B102" s="155" t="s">
        <v>1879</v>
      </c>
      <c r="C102" s="9" t="s">
        <v>2255</v>
      </c>
      <c r="D102" s="13">
        <v>7.358825714E9</v>
      </c>
      <c r="E102" s="8"/>
      <c r="F102" s="28" t="s">
        <v>2256</v>
      </c>
      <c r="G102" s="9" t="s">
        <v>1602</v>
      </c>
      <c r="H102" s="9" t="s">
        <v>716</v>
      </c>
      <c r="I102" s="10" t="b">
        <v>1</v>
      </c>
      <c r="J102" s="10" t="b">
        <v>1</v>
      </c>
      <c r="K102" s="54" t="b">
        <v>1</v>
      </c>
      <c r="L102" s="10" t="b">
        <v>0</v>
      </c>
      <c r="M102" s="10" t="b">
        <v>0</v>
      </c>
      <c r="N102" s="10" t="b">
        <v>0</v>
      </c>
      <c r="O102" s="10" t="b">
        <v>0</v>
      </c>
      <c r="P102" s="10" t="b">
        <v>0</v>
      </c>
      <c r="Q102" s="10" t="b">
        <v>0</v>
      </c>
      <c r="R102" s="10" t="b">
        <v>0</v>
      </c>
      <c r="S102" s="91">
        <v>46076.0</v>
      </c>
      <c r="T102" s="6" t="s">
        <v>357</v>
      </c>
      <c r="U102" s="6" t="s">
        <v>358</v>
      </c>
      <c r="V102" s="57" t="b">
        <v>0</v>
      </c>
      <c r="W102" s="9" t="s">
        <v>2257</v>
      </c>
      <c r="X102" s="53"/>
      <c r="Y102" s="53"/>
      <c r="Z102" s="4"/>
      <c r="AA102" s="4"/>
      <c r="AB102" s="4"/>
      <c r="AC102" s="4"/>
      <c r="AD102" s="4"/>
      <c r="AE102" s="4"/>
      <c r="AF102" s="4"/>
    </row>
    <row r="103">
      <c r="A103" s="5" t="s">
        <v>22</v>
      </c>
      <c r="B103" s="155" t="s">
        <v>1879</v>
      </c>
      <c r="C103" s="9" t="s">
        <v>2258</v>
      </c>
      <c r="D103" s="13">
        <v>9.944819556E9</v>
      </c>
      <c r="E103" s="8" t="s">
        <v>69</v>
      </c>
      <c r="F103" s="13" t="s">
        <v>2259</v>
      </c>
      <c r="G103" s="9" t="s">
        <v>1149</v>
      </c>
      <c r="H103" s="9" t="s">
        <v>716</v>
      </c>
      <c r="I103" s="57" t="b">
        <v>1</v>
      </c>
      <c r="J103" s="57" t="b">
        <v>1</v>
      </c>
      <c r="K103" s="54" t="b">
        <v>1</v>
      </c>
      <c r="L103" s="10" t="b">
        <v>0</v>
      </c>
      <c r="M103" s="10" t="b">
        <v>0</v>
      </c>
      <c r="N103" s="10" t="b">
        <v>0</v>
      </c>
      <c r="O103" s="10" t="b">
        <v>0</v>
      </c>
      <c r="P103" s="10" t="b">
        <v>0</v>
      </c>
      <c r="Q103" s="10" t="b">
        <v>0</v>
      </c>
      <c r="R103" s="10" t="b">
        <v>0</v>
      </c>
      <c r="S103" s="91">
        <v>46077.0</v>
      </c>
      <c r="T103" s="6" t="s">
        <v>357</v>
      </c>
      <c r="U103" s="6" t="s">
        <v>358</v>
      </c>
      <c r="V103" s="57" t="b">
        <v>0</v>
      </c>
      <c r="W103" s="9" t="s">
        <v>2260</v>
      </c>
      <c r="X103" s="6" t="s">
        <v>382</v>
      </c>
      <c r="Y103" s="6" t="s">
        <v>358</v>
      </c>
      <c r="Z103" s="9" t="s">
        <v>2261</v>
      </c>
      <c r="AA103" s="4"/>
      <c r="AB103" s="4"/>
      <c r="AC103" s="4"/>
      <c r="AD103" s="4"/>
      <c r="AE103" s="4"/>
      <c r="AF103" s="4"/>
    </row>
    <row r="104">
      <c r="A104" s="5" t="s">
        <v>22</v>
      </c>
      <c r="B104" s="155" t="s">
        <v>1879</v>
      </c>
      <c r="C104" s="9" t="s">
        <v>2262</v>
      </c>
      <c r="D104" s="13">
        <v>9.698719665E9</v>
      </c>
      <c r="E104" s="8"/>
      <c r="F104" s="28" t="s">
        <v>2263</v>
      </c>
      <c r="G104" s="9" t="s">
        <v>1149</v>
      </c>
      <c r="H104" s="9" t="s">
        <v>716</v>
      </c>
      <c r="I104" s="10" t="b">
        <v>1</v>
      </c>
      <c r="J104" s="54" t="b">
        <v>1</v>
      </c>
      <c r="K104" s="10" t="b">
        <v>0</v>
      </c>
      <c r="L104" s="10" t="b">
        <v>0</v>
      </c>
      <c r="M104" s="10" t="b">
        <v>0</v>
      </c>
      <c r="N104" s="10" t="b">
        <v>0</v>
      </c>
      <c r="O104" s="10" t="b">
        <v>0</v>
      </c>
      <c r="P104" s="10" t="b">
        <v>0</v>
      </c>
      <c r="Q104" s="10" t="b">
        <v>0</v>
      </c>
      <c r="R104" s="10" t="b">
        <v>0</v>
      </c>
      <c r="S104" s="91">
        <v>46080.0</v>
      </c>
      <c r="T104" s="6" t="s">
        <v>357</v>
      </c>
      <c r="U104" s="6" t="s">
        <v>358</v>
      </c>
      <c r="V104" s="57" t="b">
        <v>0</v>
      </c>
      <c r="W104" s="9" t="s">
        <v>2264</v>
      </c>
      <c r="X104" s="53"/>
      <c r="Y104" s="53"/>
      <c r="Z104" s="4"/>
      <c r="AA104" s="4"/>
      <c r="AB104" s="4"/>
      <c r="AC104" s="4"/>
      <c r="AD104" s="4"/>
      <c r="AE104" s="4"/>
      <c r="AF104" s="4"/>
    </row>
    <row r="105">
      <c r="A105" s="30" t="s">
        <v>22</v>
      </c>
      <c r="B105" s="155" t="s">
        <v>1879</v>
      </c>
      <c r="C105" s="9" t="s">
        <v>2265</v>
      </c>
      <c r="D105" s="13">
        <v>8.220379984E9</v>
      </c>
      <c r="E105" s="8" t="s">
        <v>69</v>
      </c>
      <c r="F105" s="28" t="s">
        <v>2266</v>
      </c>
      <c r="G105" s="9" t="s">
        <v>2102</v>
      </c>
      <c r="H105" s="9" t="s">
        <v>716</v>
      </c>
      <c r="I105" s="10" t="b">
        <v>1</v>
      </c>
      <c r="J105" s="57" t="b">
        <v>1</v>
      </c>
      <c r="K105" s="67" t="b">
        <v>1</v>
      </c>
      <c r="L105" s="67" t="b">
        <v>1</v>
      </c>
      <c r="M105" s="71" t="b">
        <v>1</v>
      </c>
      <c r="N105" s="71" t="b">
        <v>1</v>
      </c>
      <c r="O105" s="71" t="b">
        <v>1</v>
      </c>
      <c r="P105" s="95" t="b">
        <v>1</v>
      </c>
      <c r="Q105" s="95" t="b">
        <v>1</v>
      </c>
      <c r="R105" s="10" t="b">
        <v>0</v>
      </c>
      <c r="S105" s="91">
        <v>46132.0</v>
      </c>
      <c r="T105" s="6" t="s">
        <v>1124</v>
      </c>
      <c r="U105" s="6" t="s">
        <v>429</v>
      </c>
      <c r="V105" s="57" t="b">
        <v>1</v>
      </c>
      <c r="W105" s="9" t="s">
        <v>2267</v>
      </c>
      <c r="X105" s="6" t="s">
        <v>834</v>
      </c>
      <c r="Y105" s="6" t="s">
        <v>429</v>
      </c>
      <c r="Z105" s="9" t="s">
        <v>2268</v>
      </c>
      <c r="AA105" s="4"/>
      <c r="AB105" s="4"/>
      <c r="AC105" s="4"/>
      <c r="AD105" s="4"/>
      <c r="AE105" s="4"/>
      <c r="AF105" s="4"/>
    </row>
    <row r="106">
      <c r="A106" s="5" t="s">
        <v>22</v>
      </c>
      <c r="B106" s="155" t="s">
        <v>1879</v>
      </c>
      <c r="C106" s="9" t="s">
        <v>2107</v>
      </c>
      <c r="D106" s="13">
        <v>8.925633193E9</v>
      </c>
      <c r="E106" s="8"/>
      <c r="F106" s="28" t="s">
        <v>2266</v>
      </c>
      <c r="G106" s="9" t="s">
        <v>1346</v>
      </c>
      <c r="H106" s="9" t="s">
        <v>716</v>
      </c>
      <c r="I106" s="54" t="b">
        <v>1</v>
      </c>
      <c r="J106" s="10" t="b">
        <v>0</v>
      </c>
      <c r="K106" s="10" t="b">
        <v>0</v>
      </c>
      <c r="L106" s="10" t="b">
        <v>0</v>
      </c>
      <c r="M106" s="10" t="b">
        <v>0</v>
      </c>
      <c r="N106" s="10" t="b">
        <v>0</v>
      </c>
      <c r="O106" s="10" t="b">
        <v>0</v>
      </c>
      <c r="P106" s="10" t="b">
        <v>0</v>
      </c>
      <c r="Q106" s="10" t="b">
        <v>0</v>
      </c>
      <c r="R106" s="10" t="b">
        <v>0</v>
      </c>
      <c r="S106" s="91">
        <v>46076.0</v>
      </c>
      <c r="T106" s="6" t="s">
        <v>357</v>
      </c>
      <c r="U106" s="6" t="s">
        <v>358</v>
      </c>
      <c r="V106" s="57" t="b">
        <v>0</v>
      </c>
      <c r="W106" s="9" t="s">
        <v>2269</v>
      </c>
      <c r="X106" s="53"/>
      <c r="Y106" s="53"/>
      <c r="Z106" s="4"/>
      <c r="AA106" s="4"/>
      <c r="AB106" s="4"/>
      <c r="AC106" s="4"/>
      <c r="AD106" s="4"/>
      <c r="AE106" s="4"/>
      <c r="AF106" s="4"/>
    </row>
    <row r="107">
      <c r="A107" s="30" t="s">
        <v>22</v>
      </c>
      <c r="B107" s="155" t="s">
        <v>1879</v>
      </c>
      <c r="C107" s="9" t="s">
        <v>2114</v>
      </c>
      <c r="D107" s="13">
        <v>7.87114708E9</v>
      </c>
      <c r="E107" s="8"/>
      <c r="F107" s="28" t="s">
        <v>2270</v>
      </c>
      <c r="G107" s="9" t="s">
        <v>1346</v>
      </c>
      <c r="H107" s="9" t="s">
        <v>716</v>
      </c>
      <c r="I107" s="10" t="b">
        <v>1</v>
      </c>
      <c r="J107" s="10" t="b">
        <v>1</v>
      </c>
      <c r="K107" s="54" t="b">
        <v>1</v>
      </c>
      <c r="L107" s="10" t="b">
        <v>0</v>
      </c>
      <c r="M107" s="10" t="b">
        <v>0</v>
      </c>
      <c r="N107" s="10" t="b">
        <v>0</v>
      </c>
      <c r="O107" s="10" t="b">
        <v>0</v>
      </c>
      <c r="P107" s="10" t="b">
        <v>0</v>
      </c>
      <c r="Q107" s="10" t="b">
        <v>0</v>
      </c>
      <c r="R107" s="10" t="b">
        <v>0</v>
      </c>
      <c r="S107" s="91">
        <v>46076.0</v>
      </c>
      <c r="T107" s="6" t="s">
        <v>357</v>
      </c>
      <c r="U107" s="6" t="s">
        <v>358</v>
      </c>
      <c r="V107" s="57" t="b">
        <v>0</v>
      </c>
      <c r="W107" s="9" t="s">
        <v>2271</v>
      </c>
      <c r="X107" s="53"/>
      <c r="Y107" s="53"/>
      <c r="Z107" s="4"/>
      <c r="AA107" s="4"/>
      <c r="AB107" s="4"/>
      <c r="AC107" s="4"/>
      <c r="AD107" s="4"/>
      <c r="AE107" s="4"/>
      <c r="AF107" s="4"/>
    </row>
    <row r="108">
      <c r="A108" s="30" t="s">
        <v>146</v>
      </c>
      <c r="B108" s="155" t="s">
        <v>1879</v>
      </c>
      <c r="C108" s="9" t="s">
        <v>2272</v>
      </c>
      <c r="D108" s="13">
        <v>7.639090768E9</v>
      </c>
      <c r="E108" s="8" t="s">
        <v>69</v>
      </c>
      <c r="F108" s="28" t="s">
        <v>2273</v>
      </c>
      <c r="G108" s="9" t="s">
        <v>1149</v>
      </c>
      <c r="H108" s="9" t="s">
        <v>716</v>
      </c>
      <c r="I108" s="57" t="b">
        <v>1</v>
      </c>
      <c r="J108" s="57" t="b">
        <v>1</v>
      </c>
      <c r="K108" s="54" t="b">
        <v>1</v>
      </c>
      <c r="L108" s="10" t="b">
        <v>0</v>
      </c>
      <c r="M108" s="10" t="b">
        <v>0</v>
      </c>
      <c r="N108" s="10" t="b">
        <v>0</v>
      </c>
      <c r="O108" s="10" t="b">
        <v>0</v>
      </c>
      <c r="P108" s="10" t="b">
        <v>0</v>
      </c>
      <c r="Q108" s="10" t="b">
        <v>0</v>
      </c>
      <c r="R108" s="10" t="b">
        <v>0</v>
      </c>
      <c r="S108" s="91">
        <v>46094.0</v>
      </c>
      <c r="T108" s="6" t="s">
        <v>357</v>
      </c>
      <c r="U108" s="6" t="s">
        <v>358</v>
      </c>
      <c r="V108" s="54" t="b">
        <v>1</v>
      </c>
      <c r="W108" s="9" t="s">
        <v>2274</v>
      </c>
      <c r="X108" s="6" t="s">
        <v>684</v>
      </c>
      <c r="Y108" s="6" t="s">
        <v>358</v>
      </c>
      <c r="Z108" s="6" t="s">
        <v>2275</v>
      </c>
      <c r="AA108" s="4"/>
      <c r="AB108" s="4"/>
      <c r="AC108" s="4"/>
      <c r="AD108" s="4"/>
      <c r="AE108" s="4"/>
      <c r="AF108" s="4"/>
    </row>
    <row r="109">
      <c r="A109" s="30" t="s">
        <v>22</v>
      </c>
      <c r="B109" s="155" t="s">
        <v>1879</v>
      </c>
      <c r="C109" s="9" t="s">
        <v>2276</v>
      </c>
      <c r="D109" s="13">
        <v>9.940865801E9</v>
      </c>
      <c r="E109" s="8" t="s">
        <v>69</v>
      </c>
      <c r="F109" s="28" t="s">
        <v>2277</v>
      </c>
      <c r="G109" s="9" t="s">
        <v>1149</v>
      </c>
      <c r="H109" s="9" t="s">
        <v>716</v>
      </c>
      <c r="I109" s="10" t="b">
        <v>1</v>
      </c>
      <c r="J109" s="10" t="b">
        <v>1</v>
      </c>
      <c r="K109" s="10" t="b">
        <v>1</v>
      </c>
      <c r="L109" s="57" t="b">
        <v>1</v>
      </c>
      <c r="M109" s="54" t="b">
        <v>1</v>
      </c>
      <c r="N109" s="10" t="b">
        <v>0</v>
      </c>
      <c r="O109" s="10" t="b">
        <v>0</v>
      </c>
      <c r="P109" s="10" t="b">
        <v>0</v>
      </c>
      <c r="Q109" s="10" t="b">
        <v>0</v>
      </c>
      <c r="R109" s="10" t="b">
        <v>0</v>
      </c>
      <c r="S109" s="91">
        <v>46112.0</v>
      </c>
      <c r="T109" s="6" t="s">
        <v>357</v>
      </c>
      <c r="U109" s="6" t="s">
        <v>358</v>
      </c>
      <c r="V109" s="57" t="b">
        <v>0</v>
      </c>
      <c r="W109" s="9" t="s">
        <v>2278</v>
      </c>
      <c r="X109" s="6" t="s">
        <v>684</v>
      </c>
      <c r="Y109" s="6" t="s">
        <v>358</v>
      </c>
      <c r="Z109" s="9" t="s">
        <v>2279</v>
      </c>
      <c r="AA109" s="4"/>
      <c r="AB109" s="4"/>
      <c r="AC109" s="4"/>
      <c r="AD109" s="4"/>
      <c r="AE109" s="4"/>
      <c r="AF109" s="4"/>
    </row>
    <row r="110">
      <c r="A110" s="5" t="s">
        <v>22</v>
      </c>
      <c r="B110" s="155" t="s">
        <v>1761</v>
      </c>
      <c r="C110" s="9" t="s">
        <v>131</v>
      </c>
      <c r="D110" s="13">
        <v>9.597483831E9</v>
      </c>
      <c r="E110" s="8" t="s">
        <v>38</v>
      </c>
      <c r="F110" s="169">
        <v>46076.0</v>
      </c>
      <c r="G110" s="9" t="s">
        <v>1149</v>
      </c>
      <c r="H110" s="9" t="s">
        <v>716</v>
      </c>
      <c r="I110" s="57" t="b">
        <v>1</v>
      </c>
      <c r="J110" s="10" t="b">
        <v>0</v>
      </c>
      <c r="K110" s="10" t="b">
        <v>0</v>
      </c>
      <c r="L110" s="10" t="b">
        <v>0</v>
      </c>
      <c r="M110" s="10" t="b">
        <v>0</v>
      </c>
      <c r="N110" s="10" t="b">
        <v>0</v>
      </c>
      <c r="O110" s="10" t="b">
        <v>0</v>
      </c>
      <c r="P110" s="10" t="b">
        <v>0</v>
      </c>
      <c r="Q110" s="10" t="b">
        <v>0</v>
      </c>
      <c r="R110" s="10" t="b">
        <v>0</v>
      </c>
      <c r="S110" s="91">
        <v>46076.0</v>
      </c>
      <c r="T110" s="6" t="s">
        <v>890</v>
      </c>
      <c r="U110" s="6" t="s">
        <v>891</v>
      </c>
      <c r="V110" s="57" t="b">
        <v>1</v>
      </c>
      <c r="W110" s="13" t="s">
        <v>134</v>
      </c>
      <c r="X110" s="53"/>
      <c r="Y110" s="53"/>
      <c r="Z110" s="4"/>
      <c r="AA110" s="4"/>
      <c r="AB110" s="4"/>
      <c r="AC110" s="4"/>
      <c r="AD110" s="4"/>
      <c r="AE110" s="4"/>
      <c r="AF110" s="4"/>
    </row>
    <row r="111">
      <c r="A111" s="5" t="s">
        <v>22</v>
      </c>
      <c r="B111" s="155" t="s">
        <v>1879</v>
      </c>
      <c r="C111" s="9" t="s">
        <v>2280</v>
      </c>
      <c r="D111" s="13">
        <v>9.342386365E9</v>
      </c>
      <c r="E111" s="8"/>
      <c r="F111" s="13" t="s">
        <v>2281</v>
      </c>
      <c r="G111" s="9" t="s">
        <v>2282</v>
      </c>
      <c r="H111" s="9" t="s">
        <v>716</v>
      </c>
      <c r="I111" s="54" t="b">
        <v>1</v>
      </c>
      <c r="J111" s="10" t="b">
        <v>0</v>
      </c>
      <c r="K111" s="10" t="b">
        <v>0</v>
      </c>
      <c r="L111" s="10" t="b">
        <v>0</v>
      </c>
      <c r="M111" s="10" t="b">
        <v>0</v>
      </c>
      <c r="N111" s="10" t="b">
        <v>0</v>
      </c>
      <c r="O111" s="10" t="b">
        <v>0</v>
      </c>
      <c r="P111" s="10" t="b">
        <v>0</v>
      </c>
      <c r="Q111" s="10" t="b">
        <v>0</v>
      </c>
      <c r="R111" s="10" t="b">
        <v>0</v>
      </c>
      <c r="S111" s="91">
        <v>46076.0</v>
      </c>
      <c r="T111" s="6" t="s">
        <v>357</v>
      </c>
      <c r="U111" s="6" t="s">
        <v>358</v>
      </c>
      <c r="V111" s="57" t="b">
        <v>0</v>
      </c>
      <c r="W111" s="9" t="s">
        <v>2283</v>
      </c>
      <c r="X111" s="53"/>
      <c r="Y111" s="53"/>
      <c r="Z111" s="4"/>
      <c r="AA111" s="4"/>
      <c r="AB111" s="4"/>
      <c r="AC111" s="4"/>
      <c r="AD111" s="4"/>
      <c r="AE111" s="4"/>
      <c r="AF111" s="4"/>
    </row>
    <row r="112">
      <c r="A112" s="30" t="s">
        <v>146</v>
      </c>
      <c r="B112" s="155" t="s">
        <v>1879</v>
      </c>
      <c r="C112" s="9" t="s">
        <v>1764</v>
      </c>
      <c r="D112" s="13">
        <v>9.10877359E9</v>
      </c>
      <c r="E112" s="8" t="s">
        <v>69</v>
      </c>
      <c r="F112" s="28" t="s">
        <v>2284</v>
      </c>
      <c r="G112" s="9" t="s">
        <v>1149</v>
      </c>
      <c r="H112" s="9" t="s">
        <v>716</v>
      </c>
      <c r="I112" s="57" t="b">
        <v>1</v>
      </c>
      <c r="J112" s="54" t="b">
        <v>1</v>
      </c>
      <c r="K112" s="10" t="b">
        <v>0</v>
      </c>
      <c r="L112" s="10" t="b">
        <v>0</v>
      </c>
      <c r="M112" s="10" t="b">
        <v>0</v>
      </c>
      <c r="N112" s="10" t="b">
        <v>0</v>
      </c>
      <c r="O112" s="10" t="b">
        <v>0</v>
      </c>
      <c r="P112" s="10" t="b">
        <v>0</v>
      </c>
      <c r="Q112" s="10" t="b">
        <v>0</v>
      </c>
      <c r="R112" s="10" t="b">
        <v>0</v>
      </c>
      <c r="S112" s="91">
        <v>46094.0</v>
      </c>
      <c r="T112" s="6" t="s">
        <v>357</v>
      </c>
      <c r="U112" s="6" t="s">
        <v>358</v>
      </c>
      <c r="V112" s="54" t="b">
        <v>1</v>
      </c>
      <c r="W112" s="9" t="s">
        <v>2285</v>
      </c>
      <c r="X112" s="6" t="s">
        <v>684</v>
      </c>
      <c r="Y112" s="6" t="s">
        <v>358</v>
      </c>
      <c r="Z112" s="6" t="s">
        <v>2286</v>
      </c>
      <c r="AA112" s="4"/>
      <c r="AB112" s="4"/>
      <c r="AC112" s="4"/>
      <c r="AD112" s="4"/>
      <c r="AE112" s="4"/>
      <c r="AF112" s="4"/>
    </row>
    <row r="113">
      <c r="A113" s="30" t="s">
        <v>22</v>
      </c>
      <c r="B113" s="155" t="s">
        <v>1879</v>
      </c>
      <c r="C113" s="9" t="s">
        <v>2287</v>
      </c>
      <c r="D113" s="13">
        <v>9.791766962E9</v>
      </c>
      <c r="E113" s="8" t="s">
        <v>69</v>
      </c>
      <c r="F113" s="28" t="s">
        <v>2288</v>
      </c>
      <c r="G113" s="9" t="s">
        <v>1149</v>
      </c>
      <c r="H113" s="9" t="s">
        <v>716</v>
      </c>
      <c r="I113" s="10" t="b">
        <v>1</v>
      </c>
      <c r="J113" s="10" t="b">
        <v>1</v>
      </c>
      <c r="K113" s="57" t="b">
        <v>1</v>
      </c>
      <c r="L113" s="67" t="b">
        <v>1</v>
      </c>
      <c r="M113" s="71" t="b">
        <v>1</v>
      </c>
      <c r="N113" s="71" t="b">
        <v>1</v>
      </c>
      <c r="O113" s="71" t="b">
        <v>1</v>
      </c>
      <c r="P113" s="71" t="b">
        <v>1</v>
      </c>
      <c r="Q113" s="71" t="b">
        <v>1</v>
      </c>
      <c r="R113" s="54" t="b">
        <v>1</v>
      </c>
      <c r="S113" s="91">
        <v>46118.0</v>
      </c>
      <c r="T113" s="6" t="s">
        <v>357</v>
      </c>
      <c r="U113" s="6" t="s">
        <v>358</v>
      </c>
      <c r="V113" s="54" t="b">
        <v>1</v>
      </c>
      <c r="W113" s="9" t="s">
        <v>2289</v>
      </c>
      <c r="X113" s="6" t="s">
        <v>684</v>
      </c>
      <c r="Y113" s="6" t="s">
        <v>358</v>
      </c>
      <c r="Z113" s="9" t="s">
        <v>2290</v>
      </c>
      <c r="AA113" s="4"/>
      <c r="AB113" s="4"/>
      <c r="AC113" s="4"/>
      <c r="AD113" s="4"/>
      <c r="AE113" s="4"/>
      <c r="AF113" s="4"/>
    </row>
    <row r="114">
      <c r="A114" s="30" t="s">
        <v>146</v>
      </c>
      <c r="B114" s="155" t="s">
        <v>1879</v>
      </c>
      <c r="C114" s="9" t="s">
        <v>2291</v>
      </c>
      <c r="D114" s="13">
        <v>9.345179301E9</v>
      </c>
      <c r="E114" s="8"/>
      <c r="F114" s="13" t="s">
        <v>2292</v>
      </c>
      <c r="G114" s="9" t="s">
        <v>2293</v>
      </c>
      <c r="H114" s="9" t="s">
        <v>716</v>
      </c>
      <c r="I114" s="54" t="b">
        <v>1</v>
      </c>
      <c r="J114" s="10" t="b">
        <v>0</v>
      </c>
      <c r="K114" s="10" t="b">
        <v>0</v>
      </c>
      <c r="L114" s="10" t="b">
        <v>0</v>
      </c>
      <c r="M114" s="10" t="b">
        <v>0</v>
      </c>
      <c r="N114" s="10" t="b">
        <v>0</v>
      </c>
      <c r="O114" s="10" t="b">
        <v>0</v>
      </c>
      <c r="P114" s="10" t="b">
        <v>0</v>
      </c>
      <c r="Q114" s="10" t="b">
        <v>0</v>
      </c>
      <c r="R114" s="10" t="b">
        <v>0</v>
      </c>
      <c r="S114" s="91">
        <v>46077.0</v>
      </c>
      <c r="T114" s="6" t="s">
        <v>357</v>
      </c>
      <c r="U114" s="6" t="s">
        <v>358</v>
      </c>
      <c r="V114" s="57" t="b">
        <v>0</v>
      </c>
      <c r="W114" s="9" t="s">
        <v>2294</v>
      </c>
      <c r="X114" s="53"/>
      <c r="Y114" s="53"/>
      <c r="Z114" s="4"/>
      <c r="AA114" s="4"/>
      <c r="AB114" s="4"/>
      <c r="AC114" s="4"/>
      <c r="AD114" s="4"/>
      <c r="AE114" s="4"/>
      <c r="AF114" s="4"/>
    </row>
    <row r="115">
      <c r="A115" s="5" t="s">
        <v>22</v>
      </c>
      <c r="B115" s="155" t="s">
        <v>1761</v>
      </c>
      <c r="C115" s="9" t="s">
        <v>2295</v>
      </c>
      <c r="D115" s="13">
        <v>9.345739353E9</v>
      </c>
      <c r="E115" s="8" t="s">
        <v>69</v>
      </c>
      <c r="F115" s="169">
        <v>46078.0</v>
      </c>
      <c r="G115" s="9" t="s">
        <v>1389</v>
      </c>
      <c r="H115" s="9" t="s">
        <v>716</v>
      </c>
      <c r="I115" s="57" t="b">
        <v>1</v>
      </c>
      <c r="J115" s="67" t="b">
        <v>1</v>
      </c>
      <c r="K115" s="67" t="b">
        <v>1</v>
      </c>
      <c r="L115" s="67" t="b">
        <v>1</v>
      </c>
      <c r="M115" s="67" t="b">
        <v>1</v>
      </c>
      <c r="N115" s="54" t="b">
        <v>1</v>
      </c>
      <c r="O115" s="10" t="b">
        <v>0</v>
      </c>
      <c r="P115" s="10" t="b">
        <v>0</v>
      </c>
      <c r="Q115" s="10" t="b">
        <v>0</v>
      </c>
      <c r="R115" s="10" t="b">
        <v>0</v>
      </c>
      <c r="S115" s="91">
        <v>46097.0</v>
      </c>
      <c r="T115" s="6" t="s">
        <v>357</v>
      </c>
      <c r="U115" s="6" t="s">
        <v>358</v>
      </c>
      <c r="V115" s="54" t="b">
        <v>1</v>
      </c>
      <c r="W115" s="9" t="s">
        <v>2296</v>
      </c>
      <c r="X115" s="6" t="s">
        <v>684</v>
      </c>
      <c r="Y115" s="6" t="s">
        <v>358</v>
      </c>
      <c r="Z115" s="6" t="s">
        <v>2297</v>
      </c>
      <c r="AA115" s="4"/>
      <c r="AB115" s="4"/>
      <c r="AC115" s="4"/>
      <c r="AD115" s="4"/>
      <c r="AE115" s="4"/>
      <c r="AF115" s="4"/>
    </row>
    <row r="116">
      <c r="A116" s="5" t="s">
        <v>22</v>
      </c>
      <c r="B116" s="155" t="s">
        <v>1761</v>
      </c>
      <c r="C116" s="9" t="s">
        <v>2298</v>
      </c>
      <c r="D116" s="13">
        <v>9.894880106E9</v>
      </c>
      <c r="E116" s="8" t="s">
        <v>69</v>
      </c>
      <c r="F116" s="93"/>
      <c r="G116" s="9" t="s">
        <v>1149</v>
      </c>
      <c r="H116" s="9" t="s">
        <v>716</v>
      </c>
      <c r="I116" s="57" t="b">
        <v>1</v>
      </c>
      <c r="J116" s="57" t="b">
        <v>1</v>
      </c>
      <c r="K116" s="67" t="b">
        <v>1</v>
      </c>
      <c r="L116" s="54" t="b">
        <v>1</v>
      </c>
      <c r="M116" s="10" t="b">
        <v>0</v>
      </c>
      <c r="N116" s="10" t="b">
        <v>0</v>
      </c>
      <c r="O116" s="10" t="b">
        <v>0</v>
      </c>
      <c r="P116" s="10" t="b">
        <v>0</v>
      </c>
      <c r="Q116" s="10" t="b">
        <v>0</v>
      </c>
      <c r="R116" s="10" t="b">
        <v>0</v>
      </c>
      <c r="S116" s="91">
        <v>46091.0</v>
      </c>
      <c r="T116" s="6" t="s">
        <v>357</v>
      </c>
      <c r="U116" s="6" t="s">
        <v>358</v>
      </c>
      <c r="V116" s="54" t="b">
        <v>1</v>
      </c>
      <c r="W116" s="9" t="s">
        <v>2299</v>
      </c>
      <c r="X116" s="6" t="s">
        <v>357</v>
      </c>
      <c r="Y116" s="6" t="s">
        <v>358</v>
      </c>
      <c r="Z116" s="9" t="s">
        <v>2300</v>
      </c>
      <c r="AA116" s="4"/>
      <c r="AB116" s="4"/>
      <c r="AC116" s="4"/>
      <c r="AD116" s="4"/>
      <c r="AE116" s="4"/>
      <c r="AF116" s="4"/>
    </row>
    <row r="117">
      <c r="A117" s="5" t="s">
        <v>22</v>
      </c>
      <c r="B117" s="155" t="s">
        <v>1761</v>
      </c>
      <c r="C117" s="9" t="s">
        <v>2301</v>
      </c>
      <c r="D117" s="13">
        <v>8.015028972E9</v>
      </c>
      <c r="E117" s="8" t="s">
        <v>38</v>
      </c>
      <c r="F117" s="93"/>
      <c r="G117" s="9" t="s">
        <v>1149</v>
      </c>
      <c r="H117" s="9" t="s">
        <v>716</v>
      </c>
      <c r="I117" s="57" t="b">
        <v>1</v>
      </c>
      <c r="J117" s="67" t="b">
        <v>1</v>
      </c>
      <c r="K117" s="67" t="b">
        <v>1</v>
      </c>
      <c r="L117" s="71" t="b">
        <v>1</v>
      </c>
      <c r="M117" s="10" t="b">
        <v>0</v>
      </c>
      <c r="N117" s="10" t="b">
        <v>0</v>
      </c>
      <c r="O117" s="10" t="b">
        <v>0</v>
      </c>
      <c r="P117" s="10" t="b">
        <v>0</v>
      </c>
      <c r="Q117" s="10" t="b">
        <v>0</v>
      </c>
      <c r="R117" s="10" t="b">
        <v>0</v>
      </c>
      <c r="S117" s="91">
        <v>46094.0</v>
      </c>
      <c r="T117" s="6" t="s">
        <v>890</v>
      </c>
      <c r="U117" s="6" t="s">
        <v>891</v>
      </c>
      <c r="V117" s="57" t="b">
        <v>1</v>
      </c>
      <c r="W117" s="9" t="s">
        <v>2302</v>
      </c>
      <c r="X117" s="6" t="s">
        <v>890</v>
      </c>
      <c r="Y117" s="6" t="s">
        <v>891</v>
      </c>
      <c r="Z117" s="9" t="s">
        <v>2303</v>
      </c>
      <c r="AA117" s="4"/>
      <c r="AB117" s="4"/>
      <c r="AC117" s="4"/>
      <c r="AD117" s="4"/>
      <c r="AE117" s="4"/>
      <c r="AF117" s="4"/>
    </row>
    <row r="118">
      <c r="A118" s="5" t="s">
        <v>22</v>
      </c>
      <c r="B118" s="155" t="s">
        <v>1761</v>
      </c>
      <c r="C118" s="9" t="s">
        <v>2304</v>
      </c>
      <c r="D118" s="13">
        <v>8.098045906E9</v>
      </c>
      <c r="E118" s="8" t="s">
        <v>38</v>
      </c>
      <c r="F118" s="93"/>
      <c r="G118" s="9" t="s">
        <v>1219</v>
      </c>
      <c r="H118" s="9" t="s">
        <v>716</v>
      </c>
      <c r="I118" s="57" t="b">
        <v>1</v>
      </c>
      <c r="J118" s="67" t="b">
        <v>1</v>
      </c>
      <c r="K118" s="67" t="b">
        <v>1</v>
      </c>
      <c r="L118" s="67" t="b">
        <v>1</v>
      </c>
      <c r="M118" s="67" t="b">
        <v>1</v>
      </c>
      <c r="N118" s="10" t="b">
        <v>0</v>
      </c>
      <c r="O118" s="10" t="b">
        <v>0</v>
      </c>
      <c r="P118" s="10" t="b">
        <v>0</v>
      </c>
      <c r="Q118" s="10" t="b">
        <v>0</v>
      </c>
      <c r="R118" s="10" t="b">
        <v>0</v>
      </c>
      <c r="S118" s="91">
        <v>46097.0</v>
      </c>
      <c r="T118" s="6" t="s">
        <v>357</v>
      </c>
      <c r="U118" s="6" t="s">
        <v>358</v>
      </c>
      <c r="V118" s="54" t="b">
        <v>1</v>
      </c>
      <c r="W118" s="9" t="s">
        <v>2305</v>
      </c>
      <c r="X118" s="6" t="s">
        <v>382</v>
      </c>
      <c r="Y118" s="6" t="s">
        <v>358</v>
      </c>
      <c r="Z118" s="9" t="s">
        <v>2306</v>
      </c>
      <c r="AA118" s="4"/>
      <c r="AB118" s="4"/>
      <c r="AC118" s="4"/>
      <c r="AD118" s="4"/>
      <c r="AE118" s="4"/>
      <c r="AF118" s="4"/>
    </row>
    <row r="119">
      <c r="A119" s="5" t="s">
        <v>22</v>
      </c>
      <c r="B119" s="155" t="s">
        <v>1761</v>
      </c>
      <c r="C119" s="9" t="s">
        <v>2307</v>
      </c>
      <c r="D119" s="13">
        <v>7.395885515E9</v>
      </c>
      <c r="E119" s="8" t="s">
        <v>38</v>
      </c>
      <c r="F119" s="93"/>
      <c r="G119" s="9" t="s">
        <v>1149</v>
      </c>
      <c r="H119" s="9" t="s">
        <v>716</v>
      </c>
      <c r="I119" s="57" t="b">
        <v>1</v>
      </c>
      <c r="J119" s="57" t="b">
        <v>1</v>
      </c>
      <c r="K119" s="57" t="b">
        <v>1</v>
      </c>
      <c r="L119" s="54" t="b">
        <v>1</v>
      </c>
      <c r="M119" s="10" t="b">
        <v>0</v>
      </c>
      <c r="N119" s="10" t="b">
        <v>0</v>
      </c>
      <c r="O119" s="10" t="b">
        <v>0</v>
      </c>
      <c r="P119" s="10" t="b">
        <v>0</v>
      </c>
      <c r="Q119" s="10" t="b">
        <v>0</v>
      </c>
      <c r="R119" s="10" t="b">
        <v>0</v>
      </c>
      <c r="S119" s="91">
        <v>46091.0</v>
      </c>
      <c r="T119" s="6" t="s">
        <v>357</v>
      </c>
      <c r="U119" s="6" t="s">
        <v>358</v>
      </c>
      <c r="V119" s="54" t="b">
        <v>1</v>
      </c>
      <c r="W119" s="9" t="s">
        <v>2308</v>
      </c>
      <c r="X119" s="6" t="s">
        <v>382</v>
      </c>
      <c r="Y119" s="6" t="s">
        <v>358</v>
      </c>
      <c r="Z119" s="9" t="s">
        <v>2309</v>
      </c>
      <c r="AA119" s="4"/>
      <c r="AB119" s="4"/>
      <c r="AC119" s="4"/>
      <c r="AD119" s="4"/>
      <c r="AE119" s="4"/>
      <c r="AF119" s="4"/>
    </row>
    <row r="120">
      <c r="A120" s="5" t="s">
        <v>22</v>
      </c>
      <c r="B120" s="155" t="s">
        <v>1761</v>
      </c>
      <c r="C120" s="9" t="s">
        <v>2310</v>
      </c>
      <c r="D120" s="13">
        <v>8.015353241E9</v>
      </c>
      <c r="E120" s="8" t="s">
        <v>169</v>
      </c>
      <c r="F120" s="93"/>
      <c r="G120" s="9" t="s">
        <v>1149</v>
      </c>
      <c r="H120" s="9" t="s">
        <v>716</v>
      </c>
      <c r="I120" s="57" t="b">
        <v>1</v>
      </c>
      <c r="J120" s="10" t="b">
        <v>0</v>
      </c>
      <c r="K120" s="10" t="b">
        <v>0</v>
      </c>
      <c r="L120" s="10" t="b">
        <v>0</v>
      </c>
      <c r="M120" s="10" t="b">
        <v>0</v>
      </c>
      <c r="N120" s="10" t="b">
        <v>0</v>
      </c>
      <c r="O120" s="10" t="b">
        <v>0</v>
      </c>
      <c r="P120" s="10" t="b">
        <v>0</v>
      </c>
      <c r="Q120" s="10" t="b">
        <v>0</v>
      </c>
      <c r="R120" s="10" t="b">
        <v>0</v>
      </c>
      <c r="S120" s="91">
        <v>46091.0</v>
      </c>
      <c r="T120" s="6" t="s">
        <v>890</v>
      </c>
      <c r="U120" s="6" t="s">
        <v>891</v>
      </c>
      <c r="V120" s="57" t="b">
        <v>1</v>
      </c>
      <c r="W120" s="9" t="s">
        <v>2311</v>
      </c>
      <c r="X120" s="53"/>
      <c r="Y120" s="53"/>
      <c r="Z120" s="4"/>
      <c r="AA120" s="4"/>
      <c r="AB120" s="4"/>
      <c r="AC120" s="4"/>
      <c r="AD120" s="4"/>
      <c r="AE120" s="4"/>
      <c r="AF120" s="4"/>
    </row>
    <row r="121">
      <c r="A121" s="5" t="s">
        <v>22</v>
      </c>
      <c r="B121" s="155" t="s">
        <v>1761</v>
      </c>
      <c r="C121" s="9" t="s">
        <v>2312</v>
      </c>
      <c r="D121" s="13">
        <v>8.072503109E9</v>
      </c>
      <c r="E121" s="8" t="s">
        <v>169</v>
      </c>
      <c r="F121" s="93"/>
      <c r="G121" s="9" t="s">
        <v>1149</v>
      </c>
      <c r="H121" s="9" t="s">
        <v>716</v>
      </c>
      <c r="I121" s="57" t="b">
        <v>1</v>
      </c>
      <c r="J121" s="67" t="b">
        <v>1</v>
      </c>
      <c r="K121" s="67" t="b">
        <v>1</v>
      </c>
      <c r="L121" s="54" t="b">
        <v>1</v>
      </c>
      <c r="M121" s="10" t="b">
        <v>0</v>
      </c>
      <c r="N121" s="10" t="b">
        <v>0</v>
      </c>
      <c r="O121" s="10" t="b">
        <v>0</v>
      </c>
      <c r="P121" s="10" t="b">
        <v>0</v>
      </c>
      <c r="Q121" s="10" t="b">
        <v>0</v>
      </c>
      <c r="R121" s="10" t="b">
        <v>0</v>
      </c>
      <c r="S121" s="91">
        <v>46113.0</v>
      </c>
      <c r="T121" s="6" t="s">
        <v>357</v>
      </c>
      <c r="U121" s="6" t="s">
        <v>358</v>
      </c>
      <c r="V121" s="57" t="b">
        <v>0</v>
      </c>
      <c r="W121" s="9" t="s">
        <v>2313</v>
      </c>
      <c r="X121" s="6" t="s">
        <v>357</v>
      </c>
      <c r="Y121" s="6" t="s">
        <v>358</v>
      </c>
      <c r="Z121" s="9" t="s">
        <v>2314</v>
      </c>
      <c r="AA121" s="4"/>
      <c r="AB121" s="4"/>
      <c r="AC121" s="4"/>
      <c r="AD121" s="4"/>
      <c r="AE121" s="4"/>
      <c r="AF121" s="4"/>
    </row>
    <row r="122">
      <c r="A122" s="5" t="s">
        <v>22</v>
      </c>
      <c r="B122" s="155" t="s">
        <v>1761</v>
      </c>
      <c r="C122" s="9" t="s">
        <v>2315</v>
      </c>
      <c r="D122" s="13">
        <v>8.300180811E9</v>
      </c>
      <c r="E122" s="8" t="s">
        <v>185</v>
      </c>
      <c r="F122" s="93"/>
      <c r="G122" s="4"/>
      <c r="H122" s="9" t="s">
        <v>716</v>
      </c>
      <c r="I122" s="57" t="b">
        <v>1</v>
      </c>
      <c r="J122" s="54" t="b">
        <v>1</v>
      </c>
      <c r="K122" s="10" t="b">
        <v>0</v>
      </c>
      <c r="L122" s="10" t="b">
        <v>0</v>
      </c>
      <c r="M122" s="10" t="b">
        <v>0</v>
      </c>
      <c r="N122" s="10" t="b">
        <v>0</v>
      </c>
      <c r="O122" s="10" t="b">
        <v>0</v>
      </c>
      <c r="P122" s="10" t="b">
        <v>0</v>
      </c>
      <c r="Q122" s="10" t="b">
        <v>0</v>
      </c>
      <c r="R122" s="10" t="b">
        <v>0</v>
      </c>
      <c r="S122" s="91">
        <v>46098.0</v>
      </c>
      <c r="T122" s="6" t="s">
        <v>357</v>
      </c>
      <c r="U122" s="6" t="s">
        <v>358</v>
      </c>
      <c r="V122" s="54" t="b">
        <v>1</v>
      </c>
      <c r="W122" s="9" t="s">
        <v>2316</v>
      </c>
      <c r="X122" s="6" t="s">
        <v>684</v>
      </c>
      <c r="Y122" s="6" t="s">
        <v>358</v>
      </c>
      <c r="Z122" s="9" t="s">
        <v>2317</v>
      </c>
      <c r="AA122" s="4"/>
      <c r="AB122" s="4"/>
      <c r="AC122" s="4"/>
      <c r="AD122" s="4"/>
      <c r="AE122" s="4"/>
      <c r="AF122" s="4"/>
    </row>
    <row r="123">
      <c r="A123" s="5" t="s">
        <v>22</v>
      </c>
      <c r="B123" s="155" t="s">
        <v>1761</v>
      </c>
      <c r="C123" s="9" t="s">
        <v>2318</v>
      </c>
      <c r="D123" s="13">
        <v>9.047319087E9</v>
      </c>
      <c r="E123" s="8" t="s">
        <v>1575</v>
      </c>
      <c r="F123" s="93"/>
      <c r="G123" s="9" t="s">
        <v>1149</v>
      </c>
      <c r="H123" s="9" t="s">
        <v>716</v>
      </c>
      <c r="I123" s="57" t="b">
        <v>1</v>
      </c>
      <c r="J123" s="57" t="b">
        <v>1</v>
      </c>
      <c r="K123" s="57" t="b">
        <v>1</v>
      </c>
      <c r="L123" s="57" t="b">
        <v>1</v>
      </c>
      <c r="M123" s="54" t="b">
        <v>1</v>
      </c>
      <c r="N123" s="10" t="b">
        <v>0</v>
      </c>
      <c r="O123" s="10" t="b">
        <v>0</v>
      </c>
      <c r="P123" s="10" t="b">
        <v>0</v>
      </c>
      <c r="Q123" s="10" t="b">
        <v>0</v>
      </c>
      <c r="R123" s="10" t="b">
        <v>0</v>
      </c>
      <c r="S123" s="91">
        <v>46107.0</v>
      </c>
      <c r="T123" s="6" t="s">
        <v>357</v>
      </c>
      <c r="U123" s="6" t="s">
        <v>358</v>
      </c>
      <c r="V123" s="57" t="b">
        <v>0</v>
      </c>
      <c r="W123" s="9" t="s">
        <v>2319</v>
      </c>
      <c r="X123" s="6" t="s">
        <v>684</v>
      </c>
      <c r="Y123" s="6" t="s">
        <v>358</v>
      </c>
      <c r="Z123" s="9" t="s">
        <v>2320</v>
      </c>
      <c r="AA123" s="4"/>
      <c r="AB123" s="4"/>
      <c r="AC123" s="4"/>
      <c r="AD123" s="4"/>
      <c r="AE123" s="4"/>
      <c r="AF123" s="4"/>
    </row>
    <row r="124">
      <c r="A124" s="5" t="s">
        <v>22</v>
      </c>
      <c r="B124" s="155" t="s">
        <v>1761</v>
      </c>
      <c r="C124" s="9" t="s">
        <v>2321</v>
      </c>
      <c r="D124" s="13">
        <v>9.994500871E9</v>
      </c>
      <c r="E124" s="8" t="s">
        <v>169</v>
      </c>
      <c r="F124" s="93"/>
      <c r="G124" s="9" t="s">
        <v>2322</v>
      </c>
      <c r="H124" s="9" t="s">
        <v>716</v>
      </c>
      <c r="I124" s="57" t="b">
        <v>1</v>
      </c>
      <c r="J124" s="67" t="b">
        <v>1</v>
      </c>
      <c r="K124" s="67" t="b">
        <v>1</v>
      </c>
      <c r="L124" s="71" t="b">
        <v>1</v>
      </c>
      <c r="M124" s="71" t="b">
        <v>1</v>
      </c>
      <c r="N124" s="54" t="b">
        <v>1</v>
      </c>
      <c r="O124" s="10" t="b">
        <v>0</v>
      </c>
      <c r="P124" s="10" t="b">
        <v>0</v>
      </c>
      <c r="Q124" s="10" t="b">
        <v>0</v>
      </c>
      <c r="R124" s="10" t="b">
        <v>0</v>
      </c>
      <c r="S124" s="91">
        <v>46113.0</v>
      </c>
      <c r="T124" s="6" t="s">
        <v>357</v>
      </c>
      <c r="U124" s="6" t="s">
        <v>358</v>
      </c>
      <c r="V124" s="57" t="b">
        <v>0</v>
      </c>
      <c r="W124" s="9" t="s">
        <v>2323</v>
      </c>
      <c r="X124" s="6" t="s">
        <v>684</v>
      </c>
      <c r="Y124" s="6" t="s">
        <v>358</v>
      </c>
      <c r="Z124" s="9" t="s">
        <v>2324</v>
      </c>
      <c r="AA124" s="4"/>
      <c r="AB124" s="4"/>
      <c r="AC124" s="4"/>
      <c r="AD124" s="4"/>
      <c r="AE124" s="4"/>
      <c r="AF124" s="4"/>
    </row>
    <row r="125">
      <c r="A125" s="5" t="s">
        <v>22</v>
      </c>
      <c r="B125" s="155" t="s">
        <v>1761</v>
      </c>
      <c r="C125" s="9" t="s">
        <v>2118</v>
      </c>
      <c r="D125" s="13">
        <v>8.667622911E9</v>
      </c>
      <c r="E125" s="8" t="s">
        <v>1378</v>
      </c>
      <c r="F125" s="93"/>
      <c r="G125" s="9" t="s">
        <v>1149</v>
      </c>
      <c r="H125" s="9" t="s">
        <v>716</v>
      </c>
      <c r="I125" s="57" t="b">
        <v>1</v>
      </c>
      <c r="J125" s="67" t="b">
        <v>1</v>
      </c>
      <c r="K125" s="67" t="b">
        <v>1</v>
      </c>
      <c r="L125" s="71" t="b">
        <v>1</v>
      </c>
      <c r="M125" s="10" t="b">
        <v>0</v>
      </c>
      <c r="N125" s="10" t="b">
        <v>0</v>
      </c>
      <c r="O125" s="10" t="b">
        <v>0</v>
      </c>
      <c r="P125" s="10" t="b">
        <v>0</v>
      </c>
      <c r="Q125" s="10" t="b">
        <v>0</v>
      </c>
      <c r="R125" s="10" t="b">
        <v>0</v>
      </c>
      <c r="S125" s="91">
        <v>46119.0</v>
      </c>
      <c r="T125" s="6" t="s">
        <v>1124</v>
      </c>
      <c r="U125" s="6" t="s">
        <v>429</v>
      </c>
      <c r="V125" s="57" t="b">
        <v>1</v>
      </c>
      <c r="W125" s="9" t="s">
        <v>2325</v>
      </c>
      <c r="X125" s="6" t="s">
        <v>834</v>
      </c>
      <c r="Y125" s="6" t="s">
        <v>429</v>
      </c>
      <c r="Z125" s="9" t="s">
        <v>2326</v>
      </c>
      <c r="AA125" s="4"/>
      <c r="AB125" s="4"/>
      <c r="AC125" s="4"/>
      <c r="AD125" s="4"/>
      <c r="AE125" s="4"/>
      <c r="AF125" s="4"/>
    </row>
    <row r="126">
      <c r="A126" s="5" t="s">
        <v>22</v>
      </c>
      <c r="B126" s="155" t="s">
        <v>1757</v>
      </c>
      <c r="C126" s="9" t="s">
        <v>2327</v>
      </c>
      <c r="D126" s="13">
        <v>8.525807716E9</v>
      </c>
      <c r="E126" s="8" t="s">
        <v>69</v>
      </c>
      <c r="G126" s="13" t="s">
        <v>1556</v>
      </c>
      <c r="H126" s="9" t="s">
        <v>716</v>
      </c>
      <c r="I126" s="57" t="b">
        <v>1</v>
      </c>
      <c r="J126" s="57" t="b">
        <v>1</v>
      </c>
      <c r="K126" s="67" t="b">
        <v>1</v>
      </c>
      <c r="L126" s="67" t="b">
        <v>1</v>
      </c>
      <c r="M126" s="54" t="b">
        <v>1</v>
      </c>
      <c r="N126" s="10" t="b">
        <v>0</v>
      </c>
      <c r="O126" s="10" t="b">
        <v>0</v>
      </c>
      <c r="P126" s="10" t="b">
        <v>0</v>
      </c>
      <c r="Q126" s="10" t="b">
        <v>0</v>
      </c>
      <c r="R126" s="10" t="b">
        <v>0</v>
      </c>
      <c r="S126" s="91">
        <v>46119.0</v>
      </c>
      <c r="T126" s="6" t="s">
        <v>357</v>
      </c>
      <c r="U126" s="6" t="s">
        <v>358</v>
      </c>
      <c r="V126" s="54" t="b">
        <v>1</v>
      </c>
      <c r="W126" s="9" t="s">
        <v>2328</v>
      </c>
      <c r="X126" s="6" t="s">
        <v>684</v>
      </c>
      <c r="Y126" s="6" t="s">
        <v>358</v>
      </c>
      <c r="Z126" s="9" t="s">
        <v>2329</v>
      </c>
      <c r="AA126" s="4"/>
      <c r="AB126" s="4"/>
      <c r="AC126" s="4"/>
      <c r="AD126" s="4"/>
      <c r="AE126" s="4"/>
      <c r="AF126" s="4"/>
    </row>
    <row r="127">
      <c r="A127" s="5" t="s">
        <v>22</v>
      </c>
      <c r="B127" s="155" t="s">
        <v>1757</v>
      </c>
      <c r="C127" s="9" t="s">
        <v>2330</v>
      </c>
      <c r="D127" s="125">
        <v>7.406289488E9</v>
      </c>
      <c r="E127" s="8" t="s">
        <v>69</v>
      </c>
      <c r="F127" s="93"/>
      <c r="G127" s="9" t="s">
        <v>1084</v>
      </c>
      <c r="H127" s="9" t="s">
        <v>716</v>
      </c>
      <c r="I127" s="57" t="b">
        <v>1</v>
      </c>
      <c r="J127" s="57" t="b">
        <v>1</v>
      </c>
      <c r="K127" s="57" t="b">
        <v>1</v>
      </c>
      <c r="L127" s="57" t="b">
        <v>1</v>
      </c>
      <c r="M127" s="57" t="b">
        <v>1</v>
      </c>
      <c r="N127" s="57" t="b">
        <v>1</v>
      </c>
      <c r="O127" s="57" t="b">
        <v>1</v>
      </c>
      <c r="P127" s="54" t="b">
        <v>1</v>
      </c>
      <c r="Q127" s="10" t="b">
        <v>0</v>
      </c>
      <c r="R127" s="10" t="b">
        <v>0</v>
      </c>
      <c r="S127" s="91">
        <v>46130.0</v>
      </c>
      <c r="T127" s="6" t="s">
        <v>357</v>
      </c>
      <c r="U127" s="6" t="s">
        <v>358</v>
      </c>
      <c r="V127" s="54" t="b">
        <v>1</v>
      </c>
      <c r="W127" s="9" t="s">
        <v>2331</v>
      </c>
      <c r="X127" s="6" t="s">
        <v>382</v>
      </c>
      <c r="Y127" s="6" t="s">
        <v>358</v>
      </c>
      <c r="Z127" s="9" t="s">
        <v>2332</v>
      </c>
      <c r="AA127" s="4"/>
      <c r="AB127" s="4"/>
      <c r="AC127" s="4"/>
      <c r="AD127" s="4"/>
      <c r="AE127" s="4"/>
      <c r="AF127" s="4"/>
    </row>
    <row r="128">
      <c r="A128" s="5" t="s">
        <v>22</v>
      </c>
      <c r="B128" s="155" t="s">
        <v>1757</v>
      </c>
      <c r="C128" s="9" t="s">
        <v>2333</v>
      </c>
      <c r="D128" s="13">
        <v>9.361193683E9</v>
      </c>
      <c r="E128" s="8" t="s">
        <v>69</v>
      </c>
      <c r="F128" s="93"/>
      <c r="G128" s="9" t="s">
        <v>1084</v>
      </c>
      <c r="H128" s="9" t="s">
        <v>716</v>
      </c>
      <c r="I128" s="57" t="b">
        <v>1</v>
      </c>
      <c r="J128" s="57" t="b">
        <v>1</v>
      </c>
      <c r="K128" s="57" t="b">
        <v>1</v>
      </c>
      <c r="L128" s="67" t="b">
        <v>1</v>
      </c>
      <c r="M128" s="54" t="b">
        <v>1</v>
      </c>
      <c r="N128" s="10" t="b">
        <v>0</v>
      </c>
      <c r="O128" s="10" t="b">
        <v>0</v>
      </c>
      <c r="P128" s="10" t="b">
        <v>0</v>
      </c>
      <c r="Q128" s="10" t="b">
        <v>0</v>
      </c>
      <c r="R128" s="10" t="b">
        <v>0</v>
      </c>
      <c r="S128" s="91">
        <v>46113.0</v>
      </c>
      <c r="T128" s="6" t="s">
        <v>357</v>
      </c>
      <c r="U128" s="6" t="s">
        <v>358</v>
      </c>
      <c r="V128" s="54" t="b">
        <v>1</v>
      </c>
      <c r="W128" s="9" t="s">
        <v>2334</v>
      </c>
      <c r="X128" s="6" t="s">
        <v>684</v>
      </c>
      <c r="Y128" s="6" t="s">
        <v>358</v>
      </c>
      <c r="Z128" s="9" t="s">
        <v>2335</v>
      </c>
      <c r="AA128" s="4"/>
      <c r="AB128" s="4"/>
      <c r="AC128" s="4"/>
      <c r="AD128" s="4"/>
      <c r="AE128" s="4"/>
      <c r="AF128" s="4"/>
    </row>
    <row r="129">
      <c r="A129" s="5" t="s">
        <v>22</v>
      </c>
      <c r="B129" s="155" t="s">
        <v>1757</v>
      </c>
      <c r="C129" s="9" t="s">
        <v>2336</v>
      </c>
      <c r="D129" s="13">
        <v>9.842851205E9</v>
      </c>
      <c r="E129" s="8" t="s">
        <v>69</v>
      </c>
      <c r="F129" s="93"/>
      <c r="G129" s="9" t="s">
        <v>1084</v>
      </c>
      <c r="H129" s="9" t="s">
        <v>716</v>
      </c>
      <c r="I129" s="57" t="b">
        <v>1</v>
      </c>
      <c r="J129" s="57" t="b">
        <v>1</v>
      </c>
      <c r="K129" s="57" t="b">
        <v>1</v>
      </c>
      <c r="L129" s="57" t="b">
        <v>1</v>
      </c>
      <c r="M129" s="57" t="b">
        <v>1</v>
      </c>
      <c r="N129" s="57" t="b">
        <v>1</v>
      </c>
      <c r="O129" s="54" t="b">
        <v>1</v>
      </c>
      <c r="P129" s="10" t="b">
        <v>0</v>
      </c>
      <c r="Q129" s="10" t="b">
        <v>0</v>
      </c>
      <c r="R129" s="10" t="b">
        <v>0</v>
      </c>
      <c r="S129" s="91">
        <v>46127.0</v>
      </c>
      <c r="T129" s="6" t="s">
        <v>357</v>
      </c>
      <c r="U129" s="6" t="s">
        <v>358</v>
      </c>
      <c r="V129" s="54" t="b">
        <v>1</v>
      </c>
      <c r="W129" s="9" t="s">
        <v>2337</v>
      </c>
      <c r="X129" s="6" t="s">
        <v>382</v>
      </c>
      <c r="Y129" s="6" t="s">
        <v>358</v>
      </c>
      <c r="Z129" s="9" t="s">
        <v>2338</v>
      </c>
      <c r="AA129" s="4"/>
      <c r="AB129" s="4"/>
      <c r="AC129" s="4"/>
      <c r="AD129" s="4"/>
      <c r="AE129" s="4"/>
      <c r="AF129" s="4"/>
    </row>
    <row r="130">
      <c r="A130" s="5" t="s">
        <v>22</v>
      </c>
      <c r="B130" s="155" t="s">
        <v>1757</v>
      </c>
      <c r="C130" s="9" t="s">
        <v>2339</v>
      </c>
      <c r="D130" s="13">
        <v>7.305216213E9</v>
      </c>
      <c r="E130" s="8" t="s">
        <v>69</v>
      </c>
      <c r="F130" s="93"/>
      <c r="G130" s="9" t="s">
        <v>1084</v>
      </c>
      <c r="H130" s="9" t="s">
        <v>716</v>
      </c>
      <c r="I130" s="57" t="b">
        <v>1</v>
      </c>
      <c r="J130" s="57" t="b">
        <v>1</v>
      </c>
      <c r="K130" s="67" t="b">
        <v>1</v>
      </c>
      <c r="L130" s="67" t="b">
        <v>1</v>
      </c>
      <c r="M130" s="54" t="b">
        <v>1</v>
      </c>
      <c r="N130" s="10" t="b">
        <v>0</v>
      </c>
      <c r="O130" s="10" t="b">
        <v>0</v>
      </c>
      <c r="P130" s="10" t="b">
        <v>0</v>
      </c>
      <c r="Q130" s="10" t="b">
        <v>0</v>
      </c>
      <c r="R130" s="10" t="b">
        <v>0</v>
      </c>
      <c r="S130" s="91">
        <v>46119.0</v>
      </c>
      <c r="T130" s="6" t="s">
        <v>357</v>
      </c>
      <c r="U130" s="6" t="s">
        <v>358</v>
      </c>
      <c r="V130" s="54" t="b">
        <v>1</v>
      </c>
      <c r="W130" s="9" t="s">
        <v>2340</v>
      </c>
      <c r="X130" s="6" t="s">
        <v>661</v>
      </c>
      <c r="Y130" s="6" t="s">
        <v>358</v>
      </c>
      <c r="Z130" s="9" t="s">
        <v>2341</v>
      </c>
      <c r="AA130" s="4"/>
      <c r="AB130" s="4"/>
      <c r="AC130" s="4"/>
      <c r="AD130" s="4"/>
      <c r="AE130" s="4"/>
      <c r="AF130" s="4"/>
    </row>
    <row r="131">
      <c r="A131" s="5" t="s">
        <v>22</v>
      </c>
      <c r="B131" s="155" t="s">
        <v>1757</v>
      </c>
      <c r="C131" s="9" t="s">
        <v>2342</v>
      </c>
      <c r="D131" s="13">
        <v>7.540018191E9</v>
      </c>
      <c r="E131" s="8" t="s">
        <v>69</v>
      </c>
      <c r="F131" s="93"/>
      <c r="G131" s="13" t="s">
        <v>1556</v>
      </c>
      <c r="H131" s="9" t="s">
        <v>716</v>
      </c>
      <c r="I131" s="57" t="b">
        <v>1</v>
      </c>
      <c r="J131" s="57" t="b">
        <v>1</v>
      </c>
      <c r="K131" s="67" t="b">
        <v>1</v>
      </c>
      <c r="L131" s="54" t="b">
        <v>1</v>
      </c>
      <c r="M131" s="10" t="b">
        <v>0</v>
      </c>
      <c r="N131" s="10" t="b">
        <v>0</v>
      </c>
      <c r="O131" s="10" t="b">
        <v>0</v>
      </c>
      <c r="P131" s="10" t="b">
        <v>0</v>
      </c>
      <c r="Q131" s="10" t="b">
        <v>0</v>
      </c>
      <c r="R131" s="10" t="b">
        <v>0</v>
      </c>
      <c r="S131" s="91">
        <v>46113.0</v>
      </c>
      <c r="T131" s="6" t="s">
        <v>357</v>
      </c>
      <c r="U131" s="6" t="s">
        <v>358</v>
      </c>
      <c r="V131" s="54" t="b">
        <v>1</v>
      </c>
      <c r="W131" s="9" t="s">
        <v>2343</v>
      </c>
      <c r="X131" s="6" t="s">
        <v>357</v>
      </c>
      <c r="Y131" s="6" t="s">
        <v>358</v>
      </c>
      <c r="Z131" s="9" t="s">
        <v>2344</v>
      </c>
      <c r="AA131" s="4"/>
      <c r="AB131" s="4"/>
      <c r="AC131" s="4"/>
      <c r="AD131" s="4"/>
      <c r="AE131" s="4"/>
      <c r="AF131" s="4"/>
    </row>
    <row r="132">
      <c r="A132" s="5" t="s">
        <v>22</v>
      </c>
      <c r="B132" s="155" t="s">
        <v>1757</v>
      </c>
      <c r="C132" s="9" t="s">
        <v>2345</v>
      </c>
      <c r="D132" s="13">
        <v>6.383323819E9</v>
      </c>
      <c r="E132" s="8" t="s">
        <v>69</v>
      </c>
      <c r="F132" s="93"/>
      <c r="G132" s="9" t="s">
        <v>2346</v>
      </c>
      <c r="H132" s="9" t="s">
        <v>716</v>
      </c>
      <c r="I132" s="57" t="b">
        <v>1</v>
      </c>
      <c r="J132" s="57" t="b">
        <v>1</v>
      </c>
      <c r="K132" s="57" t="b">
        <v>1</v>
      </c>
      <c r="L132" s="57" t="b">
        <v>1</v>
      </c>
      <c r="M132" s="57" t="b">
        <v>1</v>
      </c>
      <c r="N132" s="67" t="b">
        <v>1</v>
      </c>
      <c r="O132" s="67" t="b">
        <v>1</v>
      </c>
      <c r="P132" s="67" t="b">
        <v>1</v>
      </c>
      <c r="Q132" s="10" t="b">
        <v>0</v>
      </c>
      <c r="R132" s="10" t="b">
        <v>0</v>
      </c>
      <c r="S132" s="91">
        <v>46136.0</v>
      </c>
      <c r="T132" s="6" t="s">
        <v>431</v>
      </c>
      <c r="U132" s="6" t="s">
        <v>429</v>
      </c>
      <c r="V132" s="57" t="b">
        <v>1</v>
      </c>
      <c r="W132" s="9" t="s">
        <v>2347</v>
      </c>
      <c r="X132" s="6" t="s">
        <v>431</v>
      </c>
      <c r="Y132" s="6" t="s">
        <v>429</v>
      </c>
      <c r="Z132" s="9" t="s">
        <v>2348</v>
      </c>
      <c r="AA132" s="4"/>
      <c r="AB132" s="4"/>
      <c r="AC132" s="4"/>
      <c r="AD132" s="4"/>
      <c r="AE132" s="4"/>
      <c r="AF132" s="4"/>
    </row>
    <row r="133">
      <c r="A133" s="5" t="s">
        <v>22</v>
      </c>
      <c r="B133" s="155" t="s">
        <v>1757</v>
      </c>
      <c r="C133" s="9" t="s">
        <v>2349</v>
      </c>
      <c r="D133" s="13">
        <v>6.384392534E9</v>
      </c>
      <c r="E133" s="8" t="s">
        <v>69</v>
      </c>
      <c r="F133" s="93"/>
      <c r="G133" s="4"/>
      <c r="H133" s="9" t="s">
        <v>716</v>
      </c>
      <c r="I133" s="57" t="b">
        <v>1</v>
      </c>
      <c r="J133" s="57" t="b">
        <v>1</v>
      </c>
      <c r="K133" s="57" t="b">
        <v>1</v>
      </c>
      <c r="L133" s="57" t="b">
        <v>1</v>
      </c>
      <c r="M133" s="57" t="b">
        <v>1</v>
      </c>
      <c r="N133" s="57" t="b">
        <v>1</v>
      </c>
      <c r="O133" s="57" t="b">
        <v>1</v>
      </c>
      <c r="P133" s="54" t="b">
        <v>1</v>
      </c>
      <c r="Q133" s="10" t="b">
        <v>0</v>
      </c>
      <c r="R133" s="10" t="b">
        <v>0</v>
      </c>
      <c r="S133" s="91">
        <v>46130.0</v>
      </c>
      <c r="T133" s="6" t="s">
        <v>357</v>
      </c>
      <c r="U133" s="6" t="s">
        <v>358</v>
      </c>
      <c r="V133" s="54" t="b">
        <v>1</v>
      </c>
      <c r="W133" s="9" t="s">
        <v>2350</v>
      </c>
      <c r="X133" s="6" t="s">
        <v>361</v>
      </c>
      <c r="Y133" s="6" t="s">
        <v>362</v>
      </c>
      <c r="Z133" s="9" t="s">
        <v>2351</v>
      </c>
      <c r="AA133" s="4"/>
      <c r="AB133" s="4"/>
      <c r="AC133" s="4"/>
      <c r="AD133" s="4"/>
      <c r="AE133" s="4"/>
      <c r="AF133" s="4"/>
    </row>
    <row r="134">
      <c r="A134" s="5" t="s">
        <v>22</v>
      </c>
      <c r="B134" s="155" t="s">
        <v>1757</v>
      </c>
      <c r="C134" s="9" t="s">
        <v>2352</v>
      </c>
      <c r="D134" s="13">
        <v>9.787548552E9</v>
      </c>
      <c r="E134" s="8" t="s">
        <v>69</v>
      </c>
      <c r="F134" s="4"/>
      <c r="G134" s="9" t="s">
        <v>2353</v>
      </c>
      <c r="H134" s="9" t="s">
        <v>716</v>
      </c>
      <c r="I134" s="57" t="b">
        <v>1</v>
      </c>
      <c r="J134" s="57" t="b">
        <v>1</v>
      </c>
      <c r="K134" s="57" t="b">
        <v>1</v>
      </c>
      <c r="L134" s="67" t="b">
        <v>1</v>
      </c>
      <c r="M134" s="67" t="b">
        <v>1</v>
      </c>
      <c r="N134" s="54" t="b">
        <v>1</v>
      </c>
      <c r="O134" s="10" t="b">
        <v>0</v>
      </c>
      <c r="P134" s="10" t="b">
        <v>0</v>
      </c>
      <c r="Q134" s="10" t="b">
        <v>0</v>
      </c>
      <c r="R134" s="10" t="b">
        <v>0</v>
      </c>
      <c r="S134" s="91">
        <v>46119.0</v>
      </c>
      <c r="T134" s="6" t="s">
        <v>357</v>
      </c>
      <c r="U134" s="6" t="s">
        <v>358</v>
      </c>
      <c r="V134" s="54" t="b">
        <v>1</v>
      </c>
      <c r="W134" s="9" t="s">
        <v>2354</v>
      </c>
      <c r="X134" s="6" t="s">
        <v>684</v>
      </c>
      <c r="Y134" s="6" t="s">
        <v>358</v>
      </c>
      <c r="Z134" s="9" t="s">
        <v>2355</v>
      </c>
      <c r="AA134" s="4"/>
      <c r="AB134" s="4"/>
      <c r="AC134" s="4"/>
      <c r="AD134" s="4"/>
      <c r="AE134" s="4"/>
      <c r="AF134" s="4"/>
    </row>
    <row r="135">
      <c r="A135" s="5" t="s">
        <v>22</v>
      </c>
      <c r="B135" s="155" t="s">
        <v>1757</v>
      </c>
      <c r="C135" s="9" t="s">
        <v>2356</v>
      </c>
      <c r="D135" s="13">
        <v>9.790962542E9</v>
      </c>
      <c r="E135" s="8" t="s">
        <v>69</v>
      </c>
      <c r="F135" s="4"/>
      <c r="G135" s="9" t="s">
        <v>842</v>
      </c>
      <c r="H135" s="9" t="s">
        <v>716</v>
      </c>
      <c r="I135" s="57" t="b">
        <v>1</v>
      </c>
      <c r="J135" s="57" t="b">
        <v>1</v>
      </c>
      <c r="K135" s="57" t="b">
        <v>1</v>
      </c>
      <c r="L135" s="57" t="b">
        <v>1</v>
      </c>
      <c r="M135" s="57" t="b">
        <v>1</v>
      </c>
      <c r="N135" s="57" t="b">
        <v>1</v>
      </c>
      <c r="O135" s="57" t="b">
        <v>1</v>
      </c>
      <c r="P135" s="54" t="b">
        <v>1</v>
      </c>
      <c r="Q135" s="10" t="b">
        <v>0</v>
      </c>
      <c r="R135" s="10" t="b">
        <v>0</v>
      </c>
      <c r="S135" s="91">
        <v>46127.0</v>
      </c>
      <c r="T135" s="6" t="s">
        <v>357</v>
      </c>
      <c r="U135" s="6" t="s">
        <v>358</v>
      </c>
      <c r="V135" s="54" t="b">
        <v>1</v>
      </c>
      <c r="W135" s="9" t="s">
        <v>2357</v>
      </c>
      <c r="X135" s="6" t="s">
        <v>382</v>
      </c>
      <c r="Y135" s="6" t="s">
        <v>358</v>
      </c>
      <c r="Z135" s="9" t="s">
        <v>2358</v>
      </c>
      <c r="AA135" s="4"/>
      <c r="AB135" s="4"/>
      <c r="AC135" s="4"/>
      <c r="AD135" s="4"/>
      <c r="AE135" s="4"/>
      <c r="AF135" s="4"/>
    </row>
    <row r="136">
      <c r="A136" s="5" t="s">
        <v>22</v>
      </c>
      <c r="B136" s="155" t="s">
        <v>1757</v>
      </c>
      <c r="C136" s="9" t="s">
        <v>2359</v>
      </c>
      <c r="D136" s="13">
        <v>9.361079959E9</v>
      </c>
      <c r="E136" s="8" t="s">
        <v>69</v>
      </c>
      <c r="F136" s="4"/>
      <c r="G136" s="9" t="s">
        <v>1556</v>
      </c>
      <c r="H136" s="9" t="s">
        <v>716</v>
      </c>
      <c r="I136" s="57" t="b">
        <v>1</v>
      </c>
      <c r="J136" s="170" t="b">
        <v>1</v>
      </c>
      <c r="K136" s="67" t="b">
        <v>1</v>
      </c>
      <c r="L136" s="54" t="b">
        <v>1</v>
      </c>
      <c r="M136" s="10" t="b">
        <v>0</v>
      </c>
      <c r="N136" s="10" t="b">
        <v>0</v>
      </c>
      <c r="O136" s="10" t="b">
        <v>0</v>
      </c>
      <c r="P136" s="10" t="b">
        <v>0</v>
      </c>
      <c r="Q136" s="10" t="b">
        <v>0</v>
      </c>
      <c r="R136" s="10" t="b">
        <v>0</v>
      </c>
      <c r="S136" s="91">
        <v>46113.0</v>
      </c>
      <c r="T136" s="6" t="s">
        <v>357</v>
      </c>
      <c r="U136" s="6" t="s">
        <v>358</v>
      </c>
      <c r="V136" s="54" t="b">
        <v>1</v>
      </c>
      <c r="W136" s="9" t="s">
        <v>2360</v>
      </c>
      <c r="X136" s="6" t="s">
        <v>357</v>
      </c>
      <c r="Y136" s="6" t="s">
        <v>358</v>
      </c>
      <c r="Z136" s="9" t="s">
        <v>2361</v>
      </c>
      <c r="AA136" s="4"/>
      <c r="AB136" s="4"/>
      <c r="AC136" s="4"/>
      <c r="AD136" s="4"/>
      <c r="AE136" s="4"/>
      <c r="AF136" s="4"/>
    </row>
    <row r="137">
      <c r="A137" s="5" t="s">
        <v>22</v>
      </c>
      <c r="B137" s="155" t="s">
        <v>1757</v>
      </c>
      <c r="C137" s="9" t="s">
        <v>2362</v>
      </c>
      <c r="D137" s="13">
        <v>6.369961265E9</v>
      </c>
      <c r="E137" s="8" t="s">
        <v>69</v>
      </c>
      <c r="F137" s="4"/>
      <c r="G137" s="9" t="s">
        <v>1910</v>
      </c>
      <c r="H137" s="9" t="s">
        <v>716</v>
      </c>
      <c r="I137" s="57" t="b">
        <v>1</v>
      </c>
      <c r="J137" s="57" t="b">
        <v>1</v>
      </c>
      <c r="K137" s="57" t="b">
        <v>1</v>
      </c>
      <c r="L137" s="57" t="b">
        <v>1</v>
      </c>
      <c r="M137" s="57" t="b">
        <v>1</v>
      </c>
      <c r="N137" s="57" t="b">
        <v>1</v>
      </c>
      <c r="O137" s="54" t="b">
        <v>1</v>
      </c>
      <c r="P137" s="10" t="b">
        <v>0</v>
      </c>
      <c r="Q137" s="10" t="b">
        <v>0</v>
      </c>
      <c r="R137" s="10" t="b">
        <v>0</v>
      </c>
      <c r="S137" s="91">
        <v>46127.0</v>
      </c>
      <c r="T137" s="6" t="s">
        <v>357</v>
      </c>
      <c r="U137" s="6" t="s">
        <v>358</v>
      </c>
      <c r="V137" s="54" t="b">
        <v>1</v>
      </c>
      <c r="W137" s="9" t="s">
        <v>2363</v>
      </c>
      <c r="X137" s="6" t="s">
        <v>382</v>
      </c>
      <c r="Y137" s="6" t="s">
        <v>358</v>
      </c>
      <c r="Z137" s="9" t="s">
        <v>2364</v>
      </c>
      <c r="AA137" s="4"/>
      <c r="AB137" s="4"/>
      <c r="AC137" s="4"/>
      <c r="AD137" s="4"/>
      <c r="AE137" s="4"/>
      <c r="AF137" s="4"/>
    </row>
    <row r="138">
      <c r="A138" s="5" t="s">
        <v>22</v>
      </c>
      <c r="B138" s="155" t="s">
        <v>1757</v>
      </c>
      <c r="C138" s="9" t="s">
        <v>2365</v>
      </c>
      <c r="D138" s="13">
        <v>9.361876872E9</v>
      </c>
      <c r="E138" s="8" t="s">
        <v>69</v>
      </c>
      <c r="F138" s="4"/>
      <c r="G138" s="9" t="s">
        <v>2010</v>
      </c>
      <c r="H138" s="9" t="s">
        <v>716</v>
      </c>
      <c r="I138" s="57" t="b">
        <v>1</v>
      </c>
      <c r="J138" s="57" t="b">
        <v>1</v>
      </c>
      <c r="K138" s="57" t="b">
        <v>1</v>
      </c>
      <c r="L138" s="57" t="b">
        <v>1</v>
      </c>
      <c r="M138" s="54" t="b">
        <v>1</v>
      </c>
      <c r="N138" s="10" t="b">
        <v>0</v>
      </c>
      <c r="O138" s="10" t="b">
        <v>0</v>
      </c>
      <c r="P138" s="10" t="b">
        <v>0</v>
      </c>
      <c r="Q138" s="10" t="b">
        <v>0</v>
      </c>
      <c r="R138" s="10" t="b">
        <v>0</v>
      </c>
      <c r="S138" s="91">
        <v>46119.0</v>
      </c>
      <c r="T138" s="6" t="s">
        <v>357</v>
      </c>
      <c r="U138" s="6" t="s">
        <v>358</v>
      </c>
      <c r="V138" s="54" t="b">
        <v>1</v>
      </c>
      <c r="W138" s="9" t="s">
        <v>2366</v>
      </c>
      <c r="X138" s="6" t="s">
        <v>661</v>
      </c>
      <c r="Y138" s="6" t="s">
        <v>358</v>
      </c>
      <c r="Z138" s="9" t="s">
        <v>2367</v>
      </c>
      <c r="AA138" s="4"/>
      <c r="AB138" s="4"/>
      <c r="AC138" s="4"/>
      <c r="AD138" s="4"/>
      <c r="AE138" s="4"/>
      <c r="AF138" s="4"/>
    </row>
    <row r="139">
      <c r="A139" s="5" t="s">
        <v>22</v>
      </c>
      <c r="B139" s="155" t="s">
        <v>1757</v>
      </c>
      <c r="C139" s="9" t="s">
        <v>2368</v>
      </c>
      <c r="D139" s="13">
        <v>7.418322256E9</v>
      </c>
      <c r="E139" s="8" t="s">
        <v>69</v>
      </c>
      <c r="F139" s="4"/>
      <c r="G139" s="9" t="s">
        <v>1556</v>
      </c>
      <c r="H139" s="9" t="s">
        <v>716</v>
      </c>
      <c r="I139" s="57" t="b">
        <v>1</v>
      </c>
      <c r="J139" s="67" t="b">
        <v>1</v>
      </c>
      <c r="K139" s="67" t="b">
        <v>1</v>
      </c>
      <c r="L139" s="54" t="b">
        <v>1</v>
      </c>
      <c r="M139" s="10" t="b">
        <v>0</v>
      </c>
      <c r="N139" s="10" t="b">
        <v>0</v>
      </c>
      <c r="O139" s="10" t="b">
        <v>0</v>
      </c>
      <c r="P139" s="10" t="b">
        <v>0</v>
      </c>
      <c r="Q139" s="10" t="b">
        <v>0</v>
      </c>
      <c r="R139" s="10" t="b">
        <v>0</v>
      </c>
      <c r="S139" s="91">
        <v>46127.0</v>
      </c>
      <c r="T139" s="6" t="s">
        <v>357</v>
      </c>
      <c r="U139" s="6" t="s">
        <v>358</v>
      </c>
      <c r="V139" s="54" t="b">
        <v>1</v>
      </c>
      <c r="W139" s="9" t="s">
        <v>2369</v>
      </c>
      <c r="X139" s="6" t="s">
        <v>357</v>
      </c>
      <c r="Y139" s="6" t="s">
        <v>358</v>
      </c>
      <c r="Z139" s="9" t="s">
        <v>2370</v>
      </c>
      <c r="AA139" s="4"/>
      <c r="AB139" s="4"/>
      <c r="AC139" s="4"/>
      <c r="AD139" s="4"/>
      <c r="AE139" s="4"/>
      <c r="AF139" s="4"/>
    </row>
    <row r="140">
      <c r="A140" s="5" t="s">
        <v>22</v>
      </c>
      <c r="B140" s="155" t="s">
        <v>1757</v>
      </c>
      <c r="C140" s="9" t="s">
        <v>2371</v>
      </c>
      <c r="D140" s="13">
        <v>7.305292495E9</v>
      </c>
      <c r="E140" s="8" t="s">
        <v>69</v>
      </c>
      <c r="F140" s="4"/>
      <c r="G140" s="9" t="s">
        <v>1084</v>
      </c>
      <c r="H140" s="9" t="s">
        <v>716</v>
      </c>
      <c r="I140" s="57" t="b">
        <v>1</v>
      </c>
      <c r="J140" s="54" t="b">
        <v>1</v>
      </c>
      <c r="K140" s="10" t="b">
        <v>0</v>
      </c>
      <c r="L140" s="10" t="b">
        <v>0</v>
      </c>
      <c r="M140" s="10" t="b">
        <v>0</v>
      </c>
      <c r="N140" s="10" t="b">
        <v>0</v>
      </c>
      <c r="O140" s="10" t="b">
        <v>0</v>
      </c>
      <c r="P140" s="10" t="b">
        <v>0</v>
      </c>
      <c r="Q140" s="10" t="b">
        <v>0</v>
      </c>
      <c r="R140" s="10" t="b">
        <v>0</v>
      </c>
      <c r="S140" s="91">
        <v>46112.0</v>
      </c>
      <c r="T140" s="6" t="s">
        <v>357</v>
      </c>
      <c r="U140" s="6" t="s">
        <v>358</v>
      </c>
      <c r="V140" s="54" t="b">
        <v>1</v>
      </c>
      <c r="W140" s="9" t="s">
        <v>2372</v>
      </c>
      <c r="X140" s="6" t="s">
        <v>357</v>
      </c>
      <c r="Y140" s="6" t="s">
        <v>358</v>
      </c>
      <c r="Z140" s="9" t="s">
        <v>2373</v>
      </c>
      <c r="AA140" s="4"/>
      <c r="AB140" s="4"/>
      <c r="AC140" s="4"/>
      <c r="AD140" s="4"/>
      <c r="AE140" s="4"/>
      <c r="AF140" s="4"/>
    </row>
    <row r="141">
      <c r="A141" s="5" t="s">
        <v>22</v>
      </c>
      <c r="B141" s="155" t="s">
        <v>1757</v>
      </c>
      <c r="C141" s="9" t="s">
        <v>2374</v>
      </c>
      <c r="D141" s="13">
        <v>9.884859165E9</v>
      </c>
      <c r="E141" s="8" t="s">
        <v>69</v>
      </c>
      <c r="F141" s="4"/>
      <c r="G141" s="9" t="s">
        <v>1084</v>
      </c>
      <c r="H141" s="9" t="s">
        <v>716</v>
      </c>
      <c r="I141" s="57" t="b">
        <v>1</v>
      </c>
      <c r="J141" s="67" t="b">
        <v>1</v>
      </c>
      <c r="K141" s="67" t="b">
        <v>1</v>
      </c>
      <c r="L141" s="71" t="b">
        <v>1</v>
      </c>
      <c r="M141" s="71" t="b">
        <v>1</v>
      </c>
      <c r="N141" s="71" t="b">
        <v>1</v>
      </c>
      <c r="O141" s="54" t="b">
        <v>1</v>
      </c>
      <c r="P141" s="10" t="b">
        <v>0</v>
      </c>
      <c r="Q141" s="10" t="b">
        <v>0</v>
      </c>
      <c r="R141" s="10" t="b">
        <v>0</v>
      </c>
      <c r="S141" s="91">
        <v>46125.0</v>
      </c>
      <c r="T141" s="6" t="s">
        <v>357</v>
      </c>
      <c r="U141" s="6" t="s">
        <v>358</v>
      </c>
      <c r="V141" s="54" t="b">
        <v>1</v>
      </c>
      <c r="W141" s="9" t="s">
        <v>2375</v>
      </c>
      <c r="X141" s="6" t="s">
        <v>684</v>
      </c>
      <c r="Y141" s="6" t="s">
        <v>358</v>
      </c>
      <c r="Z141" s="9" t="s">
        <v>2376</v>
      </c>
      <c r="AA141" s="4"/>
      <c r="AB141" s="4"/>
      <c r="AC141" s="4"/>
      <c r="AD141" s="4"/>
      <c r="AE141" s="4"/>
      <c r="AF141" s="4"/>
    </row>
    <row r="142">
      <c r="A142" s="5" t="s">
        <v>22</v>
      </c>
      <c r="B142" s="155" t="s">
        <v>1757</v>
      </c>
      <c r="C142" s="9" t="s">
        <v>2377</v>
      </c>
      <c r="D142" s="13">
        <v>9.390884026E9</v>
      </c>
      <c r="E142" s="8" t="s">
        <v>69</v>
      </c>
      <c r="F142" s="4"/>
      <c r="G142" s="9" t="s">
        <v>2378</v>
      </c>
      <c r="H142" s="9" t="s">
        <v>716</v>
      </c>
      <c r="I142" s="57" t="b">
        <v>1</v>
      </c>
      <c r="J142" s="57" t="b">
        <v>1</v>
      </c>
      <c r="K142" s="57" t="b">
        <v>1</v>
      </c>
      <c r="L142" s="54" t="b">
        <v>1</v>
      </c>
      <c r="M142" s="10" t="b">
        <v>0</v>
      </c>
      <c r="N142" s="10" t="b">
        <v>0</v>
      </c>
      <c r="O142" s="10" t="b">
        <v>0</v>
      </c>
      <c r="P142" s="10" t="b">
        <v>0</v>
      </c>
      <c r="Q142" s="10" t="b">
        <v>0</v>
      </c>
      <c r="R142" s="10" t="b">
        <v>0</v>
      </c>
      <c r="S142" s="91">
        <v>46113.0</v>
      </c>
      <c r="T142" s="6" t="s">
        <v>357</v>
      </c>
      <c r="U142" s="6" t="s">
        <v>358</v>
      </c>
      <c r="V142" s="54" t="b">
        <v>1</v>
      </c>
      <c r="W142" s="9" t="s">
        <v>2379</v>
      </c>
      <c r="X142" s="6" t="s">
        <v>684</v>
      </c>
      <c r="Y142" s="6" t="s">
        <v>358</v>
      </c>
      <c r="Z142" s="9" t="s">
        <v>2380</v>
      </c>
      <c r="AA142" s="4"/>
      <c r="AB142" s="4"/>
      <c r="AC142" s="4"/>
      <c r="AD142" s="4"/>
      <c r="AE142" s="4"/>
      <c r="AF142" s="4"/>
    </row>
    <row r="143">
      <c r="A143" s="5" t="s">
        <v>22</v>
      </c>
      <c r="B143" s="155" t="s">
        <v>1757</v>
      </c>
      <c r="C143" s="9" t="s">
        <v>2381</v>
      </c>
      <c r="D143" s="13">
        <v>9.150456319E9</v>
      </c>
      <c r="E143" s="8" t="s">
        <v>69</v>
      </c>
      <c r="F143" s="4"/>
      <c r="G143" s="9" t="s">
        <v>1084</v>
      </c>
      <c r="H143" s="9" t="s">
        <v>716</v>
      </c>
      <c r="I143" s="57" t="b">
        <v>1</v>
      </c>
      <c r="J143" s="57" t="b">
        <v>1</v>
      </c>
      <c r="K143" s="54" t="b">
        <v>1</v>
      </c>
      <c r="L143" s="10" t="b">
        <v>0</v>
      </c>
      <c r="M143" s="10" t="b">
        <v>0</v>
      </c>
      <c r="N143" s="10" t="b">
        <v>0</v>
      </c>
      <c r="O143" s="10" t="b">
        <v>0</v>
      </c>
      <c r="P143" s="10" t="b">
        <v>0</v>
      </c>
      <c r="Q143" s="10" t="b">
        <v>0</v>
      </c>
      <c r="R143" s="10" t="b">
        <v>0</v>
      </c>
      <c r="S143" s="91">
        <v>46113.0</v>
      </c>
      <c r="T143" s="6" t="s">
        <v>357</v>
      </c>
      <c r="U143" s="6" t="s">
        <v>358</v>
      </c>
      <c r="V143" s="54" t="b">
        <v>1</v>
      </c>
      <c r="W143" s="9" t="s">
        <v>2382</v>
      </c>
      <c r="X143" s="6" t="s">
        <v>661</v>
      </c>
      <c r="Y143" s="6" t="s">
        <v>358</v>
      </c>
      <c r="Z143" s="9" t="s">
        <v>2383</v>
      </c>
      <c r="AA143" s="4"/>
      <c r="AB143" s="4"/>
      <c r="AC143" s="4"/>
      <c r="AD143" s="4"/>
      <c r="AE143" s="4"/>
      <c r="AF143" s="4"/>
    </row>
    <row r="144">
      <c r="A144" s="5" t="s">
        <v>22</v>
      </c>
      <c r="B144" s="155" t="s">
        <v>1757</v>
      </c>
      <c r="C144" s="9" t="s">
        <v>2384</v>
      </c>
      <c r="D144" s="13">
        <v>8.531891129E9</v>
      </c>
      <c r="E144" s="8" t="s">
        <v>69</v>
      </c>
      <c r="F144" s="4"/>
      <c r="G144" s="9" t="s">
        <v>1084</v>
      </c>
      <c r="H144" s="9" t="s">
        <v>716</v>
      </c>
      <c r="I144" s="57" t="b">
        <v>1</v>
      </c>
      <c r="J144" s="67" t="b">
        <v>1</v>
      </c>
      <c r="K144" s="71" t="b">
        <v>1</v>
      </c>
      <c r="L144" s="71" t="b">
        <v>1</v>
      </c>
      <c r="M144" s="71" t="b">
        <v>1</v>
      </c>
      <c r="N144" s="54" t="b">
        <v>1</v>
      </c>
      <c r="O144" s="10" t="b">
        <v>0</v>
      </c>
      <c r="P144" s="10" t="b">
        <v>0</v>
      </c>
      <c r="Q144" s="10" t="b">
        <v>0</v>
      </c>
      <c r="R144" s="10" t="b">
        <v>0</v>
      </c>
      <c r="S144" s="91">
        <v>46132.0</v>
      </c>
      <c r="T144" s="6" t="s">
        <v>357</v>
      </c>
      <c r="U144" s="6" t="s">
        <v>358</v>
      </c>
      <c r="V144" s="54" t="b">
        <v>1</v>
      </c>
      <c r="W144" s="9" t="s">
        <v>2385</v>
      </c>
      <c r="X144" s="6" t="s">
        <v>684</v>
      </c>
      <c r="Y144" s="6" t="s">
        <v>358</v>
      </c>
      <c r="Z144" s="9" t="s">
        <v>2386</v>
      </c>
      <c r="AA144" s="4"/>
      <c r="AB144" s="4"/>
      <c r="AC144" s="4"/>
      <c r="AD144" s="4"/>
      <c r="AE144" s="4"/>
      <c r="AF144" s="4"/>
    </row>
    <row r="145">
      <c r="A145" s="5" t="s">
        <v>22</v>
      </c>
      <c r="B145" s="155" t="s">
        <v>1761</v>
      </c>
      <c r="C145" s="9" t="s">
        <v>2387</v>
      </c>
      <c r="D145" s="13">
        <v>8.270242265E9</v>
      </c>
      <c r="E145" s="8" t="s">
        <v>38</v>
      </c>
      <c r="F145" s="4"/>
      <c r="G145" s="9" t="s">
        <v>2388</v>
      </c>
      <c r="H145" s="9" t="s">
        <v>716</v>
      </c>
      <c r="I145" s="57" t="b">
        <v>1</v>
      </c>
      <c r="J145" s="67" t="b">
        <v>1</v>
      </c>
      <c r="K145" s="67" t="b">
        <v>1</v>
      </c>
      <c r="L145" s="54" t="b">
        <v>1</v>
      </c>
      <c r="M145" s="10" t="b">
        <v>0</v>
      </c>
      <c r="N145" s="10" t="b">
        <v>0</v>
      </c>
      <c r="O145" s="10" t="b">
        <v>0</v>
      </c>
      <c r="P145" s="10" t="b">
        <v>0</v>
      </c>
      <c r="Q145" s="10" t="b">
        <v>0</v>
      </c>
      <c r="R145" s="10" t="b">
        <v>0</v>
      </c>
      <c r="S145" s="91">
        <v>46128.0</v>
      </c>
      <c r="T145" s="6" t="s">
        <v>357</v>
      </c>
      <c r="U145" s="6" t="s">
        <v>358</v>
      </c>
      <c r="V145" s="54" t="b">
        <v>1</v>
      </c>
      <c r="W145" s="9" t="s">
        <v>2389</v>
      </c>
      <c r="X145" s="6" t="s">
        <v>357</v>
      </c>
      <c r="Y145" s="6" t="s">
        <v>358</v>
      </c>
      <c r="Z145" s="9" t="s">
        <v>2390</v>
      </c>
      <c r="AA145" s="4"/>
      <c r="AB145" s="4"/>
      <c r="AC145" s="4"/>
      <c r="AD145" s="4"/>
      <c r="AE145" s="4"/>
      <c r="AF145" s="4"/>
    </row>
    <row r="146">
      <c r="A146" s="5" t="s">
        <v>22</v>
      </c>
      <c r="B146" s="155" t="s">
        <v>1775</v>
      </c>
      <c r="C146" s="9" t="s">
        <v>203</v>
      </c>
      <c r="D146" s="13">
        <v>7.708509982E9</v>
      </c>
      <c r="E146" s="8" t="s">
        <v>38</v>
      </c>
      <c r="F146" s="4"/>
      <c r="G146" s="4"/>
      <c r="H146" s="9" t="s">
        <v>716</v>
      </c>
      <c r="I146" s="57" t="b">
        <v>1</v>
      </c>
      <c r="J146" s="67" t="b">
        <v>1</v>
      </c>
      <c r="K146" s="71" t="b">
        <v>1</v>
      </c>
      <c r="L146" s="10" t="b">
        <v>0</v>
      </c>
      <c r="M146" s="10" t="b">
        <v>0</v>
      </c>
      <c r="N146" s="10" t="b">
        <v>0</v>
      </c>
      <c r="O146" s="10" t="b">
        <v>0</v>
      </c>
      <c r="P146" s="10" t="b">
        <v>0</v>
      </c>
      <c r="Q146" s="10" t="b">
        <v>0</v>
      </c>
      <c r="R146" s="10" t="b">
        <v>0</v>
      </c>
      <c r="S146" s="91">
        <v>46116.0</v>
      </c>
      <c r="T146" s="6" t="s">
        <v>890</v>
      </c>
      <c r="U146" s="6" t="s">
        <v>891</v>
      </c>
      <c r="V146" s="57" t="b">
        <v>1</v>
      </c>
      <c r="W146" s="9" t="s">
        <v>2391</v>
      </c>
      <c r="X146" s="6" t="s">
        <v>890</v>
      </c>
      <c r="Y146" s="6" t="s">
        <v>891</v>
      </c>
      <c r="Z146" s="9" t="s">
        <v>2392</v>
      </c>
      <c r="AA146" s="4"/>
      <c r="AB146" s="4"/>
      <c r="AC146" s="4"/>
      <c r="AD146" s="4"/>
      <c r="AE146" s="4"/>
      <c r="AF146" s="4"/>
    </row>
    <row r="147">
      <c r="A147" s="5" t="s">
        <v>22</v>
      </c>
      <c r="B147" s="155" t="s">
        <v>1775</v>
      </c>
      <c r="C147" s="9" t="s">
        <v>2393</v>
      </c>
      <c r="D147" s="13">
        <v>9.251940924E9</v>
      </c>
      <c r="E147" s="8" t="s">
        <v>38</v>
      </c>
      <c r="F147" s="4"/>
      <c r="G147" s="4"/>
      <c r="H147" s="9" t="s">
        <v>716</v>
      </c>
      <c r="I147" s="57" t="b">
        <v>1</v>
      </c>
      <c r="J147" s="54" t="b">
        <v>1</v>
      </c>
      <c r="K147" s="10" t="b">
        <v>0</v>
      </c>
      <c r="L147" s="10" t="b">
        <v>0</v>
      </c>
      <c r="M147" s="10" t="b">
        <v>0</v>
      </c>
      <c r="N147" s="10" t="b">
        <v>0</v>
      </c>
      <c r="O147" s="10" t="b">
        <v>0</v>
      </c>
      <c r="P147" s="10" t="b">
        <v>0</v>
      </c>
      <c r="Q147" s="10" t="b">
        <v>0</v>
      </c>
      <c r="R147" s="10" t="b">
        <v>0</v>
      </c>
      <c r="S147" s="91">
        <v>46116.0</v>
      </c>
      <c r="T147" s="6" t="s">
        <v>357</v>
      </c>
      <c r="U147" s="6" t="s">
        <v>358</v>
      </c>
      <c r="V147" s="54" t="b">
        <v>1</v>
      </c>
      <c r="W147" s="9" t="s">
        <v>2394</v>
      </c>
      <c r="X147" s="6" t="s">
        <v>684</v>
      </c>
      <c r="Y147" s="6" t="s">
        <v>358</v>
      </c>
      <c r="Z147" s="9" t="s">
        <v>2395</v>
      </c>
      <c r="AA147" s="4"/>
      <c r="AB147" s="4"/>
      <c r="AC147" s="4"/>
      <c r="AD147" s="4"/>
      <c r="AE147" s="4"/>
      <c r="AF147" s="4"/>
    </row>
    <row r="148">
      <c r="A148" s="5" t="s">
        <v>22</v>
      </c>
      <c r="B148" s="155" t="s">
        <v>1775</v>
      </c>
      <c r="C148" s="9" t="s">
        <v>2396</v>
      </c>
      <c r="D148" s="13">
        <v>9.566644509E9</v>
      </c>
      <c r="E148" s="8" t="s">
        <v>180</v>
      </c>
      <c r="F148" s="4"/>
      <c r="G148" s="4"/>
      <c r="H148" s="9" t="s">
        <v>716</v>
      </c>
      <c r="I148" s="57" t="b">
        <v>1</v>
      </c>
      <c r="J148" s="54" t="b">
        <v>1</v>
      </c>
      <c r="K148" s="10" t="b">
        <v>0</v>
      </c>
      <c r="L148" s="10" t="b">
        <v>0</v>
      </c>
      <c r="M148" s="10" t="b">
        <v>0</v>
      </c>
      <c r="N148" s="10" t="b">
        <v>0</v>
      </c>
      <c r="O148" s="10" t="b">
        <v>0</v>
      </c>
      <c r="P148" s="10" t="b">
        <v>0</v>
      </c>
      <c r="Q148" s="10" t="b">
        <v>0</v>
      </c>
      <c r="R148" s="10" t="b">
        <v>0</v>
      </c>
      <c r="S148" s="91">
        <v>46118.0</v>
      </c>
      <c r="T148" s="6" t="s">
        <v>543</v>
      </c>
      <c r="U148" s="6" t="s">
        <v>358</v>
      </c>
      <c r="V148" s="54" t="b">
        <v>1</v>
      </c>
      <c r="W148" s="9" t="s">
        <v>2397</v>
      </c>
      <c r="X148" s="53"/>
      <c r="Y148" s="53"/>
      <c r="Z148" s="4"/>
      <c r="AA148" s="4"/>
      <c r="AB148" s="4"/>
      <c r="AC148" s="4"/>
      <c r="AD148" s="4"/>
      <c r="AE148" s="4"/>
      <c r="AF148" s="4"/>
    </row>
    <row r="149">
      <c r="A149" s="5" t="s">
        <v>22</v>
      </c>
      <c r="B149" s="155" t="s">
        <v>1761</v>
      </c>
      <c r="C149" s="9" t="s">
        <v>2398</v>
      </c>
      <c r="D149" s="13" t="s">
        <v>2399</v>
      </c>
      <c r="E149" s="8" t="s">
        <v>38</v>
      </c>
      <c r="F149" s="4"/>
      <c r="G149" s="9" t="s">
        <v>2400</v>
      </c>
      <c r="H149" s="9" t="s">
        <v>716</v>
      </c>
      <c r="I149" s="57" t="b">
        <v>1</v>
      </c>
      <c r="J149" s="67" t="b">
        <v>1</v>
      </c>
      <c r="K149" s="71" t="b">
        <v>1</v>
      </c>
      <c r="L149" s="54" t="b">
        <v>1</v>
      </c>
      <c r="M149" s="10" t="b">
        <v>0</v>
      </c>
      <c r="N149" s="10" t="b">
        <v>0</v>
      </c>
      <c r="O149" s="10" t="b">
        <v>0</v>
      </c>
      <c r="P149" s="10" t="b">
        <v>0</v>
      </c>
      <c r="Q149" s="10" t="b">
        <v>0</v>
      </c>
      <c r="R149" s="10" t="b">
        <v>0</v>
      </c>
      <c r="S149" s="91">
        <v>46130.0</v>
      </c>
      <c r="T149" s="6" t="s">
        <v>357</v>
      </c>
      <c r="U149" s="6" t="s">
        <v>358</v>
      </c>
      <c r="V149" s="54" t="b">
        <v>1</v>
      </c>
      <c r="W149" s="9" t="s">
        <v>2401</v>
      </c>
      <c r="X149" s="6" t="s">
        <v>684</v>
      </c>
      <c r="Y149" s="6" t="s">
        <v>358</v>
      </c>
      <c r="Z149" s="9" t="s">
        <v>2402</v>
      </c>
      <c r="AA149" s="4"/>
      <c r="AB149" s="4"/>
      <c r="AC149" s="4"/>
      <c r="AD149" s="4"/>
      <c r="AE149" s="4"/>
      <c r="AF149" s="4"/>
    </row>
    <row r="150">
      <c r="A150" s="5" t="s">
        <v>22</v>
      </c>
      <c r="B150" s="155" t="s">
        <v>1775</v>
      </c>
      <c r="C150" s="9" t="s">
        <v>2403</v>
      </c>
      <c r="D150" s="13">
        <v>9.633145106E9</v>
      </c>
      <c r="E150" s="8" t="s">
        <v>38</v>
      </c>
      <c r="F150" s="4"/>
      <c r="G150" s="4"/>
      <c r="H150" s="9" t="s">
        <v>716</v>
      </c>
      <c r="I150" s="54" t="b">
        <v>1</v>
      </c>
      <c r="J150" s="10" t="b">
        <v>0</v>
      </c>
      <c r="K150" s="10" t="b">
        <v>0</v>
      </c>
      <c r="L150" s="10" t="b">
        <v>0</v>
      </c>
      <c r="M150" s="10" t="b">
        <v>0</v>
      </c>
      <c r="N150" s="10" t="b">
        <v>0</v>
      </c>
      <c r="O150" s="10" t="b">
        <v>0</v>
      </c>
      <c r="P150" s="10" t="b">
        <v>0</v>
      </c>
      <c r="Q150" s="10" t="b">
        <v>0</v>
      </c>
      <c r="R150" s="10" t="b">
        <v>0</v>
      </c>
      <c r="S150" s="91">
        <v>46118.0</v>
      </c>
      <c r="T150" s="6" t="s">
        <v>543</v>
      </c>
      <c r="U150" s="6" t="s">
        <v>358</v>
      </c>
      <c r="V150" s="54" t="b">
        <v>1</v>
      </c>
      <c r="W150" s="9" t="s">
        <v>2404</v>
      </c>
      <c r="X150" s="53"/>
      <c r="Y150" s="53"/>
      <c r="Z150" s="4"/>
      <c r="AA150" s="4"/>
      <c r="AB150" s="4"/>
      <c r="AC150" s="4"/>
      <c r="AD150" s="4"/>
      <c r="AE150" s="4"/>
      <c r="AF150" s="4"/>
    </row>
    <row r="151">
      <c r="A151" s="5" t="s">
        <v>22</v>
      </c>
      <c r="B151" s="155" t="s">
        <v>1761</v>
      </c>
      <c r="C151" s="9" t="s">
        <v>2405</v>
      </c>
      <c r="D151" s="13">
        <v>9.494687867E9</v>
      </c>
      <c r="E151" s="8" t="s">
        <v>69</v>
      </c>
      <c r="F151" s="4"/>
      <c r="G151" s="9" t="s">
        <v>2406</v>
      </c>
      <c r="H151" s="9" t="s">
        <v>716</v>
      </c>
      <c r="I151" s="57" t="b">
        <v>1</v>
      </c>
      <c r="J151" s="57" t="b">
        <v>1</v>
      </c>
      <c r="K151" s="57" t="b">
        <v>1</v>
      </c>
      <c r="L151" s="57" t="b">
        <v>1</v>
      </c>
      <c r="M151" s="54" t="b">
        <v>1</v>
      </c>
      <c r="N151" s="10" t="b">
        <v>0</v>
      </c>
      <c r="O151" s="10" t="b">
        <v>0</v>
      </c>
      <c r="P151" s="10" t="b">
        <v>0</v>
      </c>
      <c r="Q151" s="10" t="b">
        <v>0</v>
      </c>
      <c r="R151" s="10" t="b">
        <v>0</v>
      </c>
      <c r="S151" s="91">
        <v>46132.0</v>
      </c>
      <c r="T151" s="6" t="s">
        <v>357</v>
      </c>
      <c r="U151" s="6" t="s">
        <v>358</v>
      </c>
      <c r="V151" s="54" t="b">
        <v>1</v>
      </c>
      <c r="W151" s="9" t="s">
        <v>2407</v>
      </c>
      <c r="X151" s="6" t="s">
        <v>684</v>
      </c>
      <c r="Y151" s="6" t="s">
        <v>358</v>
      </c>
      <c r="Z151" s="9" t="s">
        <v>2408</v>
      </c>
      <c r="AA151" s="4"/>
      <c r="AB151" s="4"/>
      <c r="AC151" s="4"/>
      <c r="AD151" s="4"/>
      <c r="AE151" s="4"/>
      <c r="AF151" s="4"/>
    </row>
    <row r="152">
      <c r="A152" s="5" t="s">
        <v>22</v>
      </c>
      <c r="B152" s="155" t="s">
        <v>1761</v>
      </c>
      <c r="C152" s="9" t="s">
        <v>2409</v>
      </c>
      <c r="D152" s="13">
        <v>8.015002758E9</v>
      </c>
      <c r="E152" s="8" t="s">
        <v>38</v>
      </c>
      <c r="F152" s="4"/>
      <c r="G152" s="4"/>
      <c r="H152" s="9" t="s">
        <v>716</v>
      </c>
      <c r="I152" s="57" t="b">
        <v>1</v>
      </c>
      <c r="J152" s="67" t="b">
        <v>1</v>
      </c>
      <c r="K152" s="71" t="b">
        <v>1</v>
      </c>
      <c r="L152" s="71" t="b">
        <v>1</v>
      </c>
      <c r="M152" s="54" t="b">
        <v>1</v>
      </c>
      <c r="N152" s="10" t="b">
        <v>0</v>
      </c>
      <c r="O152" s="10" t="b">
        <v>0</v>
      </c>
      <c r="P152" s="10" t="b">
        <v>0</v>
      </c>
      <c r="Q152" s="10" t="b">
        <v>0</v>
      </c>
      <c r="R152" s="10" t="b">
        <v>0</v>
      </c>
      <c r="S152" s="91">
        <v>46128.0</v>
      </c>
      <c r="T152" s="6" t="s">
        <v>357</v>
      </c>
      <c r="U152" s="6" t="s">
        <v>358</v>
      </c>
      <c r="V152" s="54" t="b">
        <v>1</v>
      </c>
      <c r="W152" s="9" t="s">
        <v>2410</v>
      </c>
      <c r="X152" s="6" t="s">
        <v>357</v>
      </c>
      <c r="Y152" s="6" t="s">
        <v>358</v>
      </c>
      <c r="Z152" s="9" t="s">
        <v>2411</v>
      </c>
      <c r="AA152" s="4"/>
      <c r="AB152" s="4"/>
      <c r="AC152" s="4"/>
      <c r="AD152" s="4"/>
      <c r="AE152" s="4"/>
      <c r="AF152" s="4"/>
    </row>
    <row r="153">
      <c r="A153" s="5" t="s">
        <v>22</v>
      </c>
      <c r="B153" s="155" t="s">
        <v>1775</v>
      </c>
      <c r="C153" s="9" t="s">
        <v>2412</v>
      </c>
      <c r="D153" s="13">
        <v>8.943158015E9</v>
      </c>
      <c r="E153" s="8" t="s">
        <v>38</v>
      </c>
      <c r="F153" s="4"/>
      <c r="G153" s="4"/>
      <c r="H153" s="9" t="s">
        <v>716</v>
      </c>
      <c r="I153" s="54" t="b">
        <v>1</v>
      </c>
      <c r="J153" s="10" t="b">
        <v>0</v>
      </c>
      <c r="K153" s="10" t="b">
        <v>0</v>
      </c>
      <c r="L153" s="10" t="b">
        <v>0</v>
      </c>
      <c r="M153" s="10" t="b">
        <v>0</v>
      </c>
      <c r="N153" s="10" t="b">
        <v>0</v>
      </c>
      <c r="O153" s="10" t="b">
        <v>0</v>
      </c>
      <c r="P153" s="10" t="b">
        <v>0</v>
      </c>
      <c r="Q153" s="10" t="b">
        <v>0</v>
      </c>
      <c r="R153" s="10" t="b">
        <v>0</v>
      </c>
      <c r="S153" s="91">
        <v>46119.0</v>
      </c>
      <c r="T153" s="6" t="s">
        <v>543</v>
      </c>
      <c r="U153" s="6" t="s">
        <v>358</v>
      </c>
      <c r="V153" s="57" t="b">
        <v>1</v>
      </c>
      <c r="W153" s="9" t="s">
        <v>2413</v>
      </c>
      <c r="X153" s="53"/>
      <c r="Y153" s="53"/>
      <c r="Z153" s="4"/>
      <c r="AA153" s="4"/>
      <c r="AB153" s="4"/>
      <c r="AC153" s="4"/>
      <c r="AD153" s="4"/>
      <c r="AE153" s="4"/>
      <c r="AF153" s="4"/>
    </row>
    <row r="154">
      <c r="A154" s="5" t="s">
        <v>22</v>
      </c>
      <c r="B154" s="155" t="s">
        <v>1761</v>
      </c>
      <c r="C154" s="9" t="s">
        <v>2414</v>
      </c>
      <c r="D154" s="13">
        <v>9.597452069E9</v>
      </c>
      <c r="E154" s="8" t="s">
        <v>69</v>
      </c>
      <c r="F154" s="4"/>
      <c r="G154" s="4"/>
      <c r="H154" s="9" t="s">
        <v>716</v>
      </c>
      <c r="I154" s="57" t="b">
        <v>1</v>
      </c>
      <c r="J154" s="67" t="b">
        <v>1</v>
      </c>
      <c r="K154" s="67" t="b">
        <v>1</v>
      </c>
      <c r="L154" s="67" t="b">
        <v>1</v>
      </c>
      <c r="M154" s="10" t="b">
        <v>0</v>
      </c>
      <c r="N154" s="10" t="b">
        <v>0</v>
      </c>
      <c r="O154" s="10" t="b">
        <v>0</v>
      </c>
      <c r="P154" s="10" t="b">
        <v>0</v>
      </c>
      <c r="Q154" s="10" t="b">
        <v>0</v>
      </c>
      <c r="R154" s="10" t="b">
        <v>0</v>
      </c>
      <c r="S154" s="91">
        <v>46136.0</v>
      </c>
      <c r="T154" s="6" t="s">
        <v>431</v>
      </c>
      <c r="U154" s="6" t="s">
        <v>429</v>
      </c>
      <c r="V154" s="57" t="b">
        <v>1</v>
      </c>
      <c r="W154" s="9" t="s">
        <v>2415</v>
      </c>
      <c r="X154" s="6" t="s">
        <v>431</v>
      </c>
      <c r="Y154" s="6" t="s">
        <v>432</v>
      </c>
      <c r="Z154" s="9" t="s">
        <v>2416</v>
      </c>
      <c r="AA154" s="4"/>
      <c r="AB154" s="4"/>
      <c r="AC154" s="4"/>
      <c r="AD154" s="4"/>
      <c r="AE154" s="4"/>
      <c r="AF154" s="4"/>
    </row>
    <row r="155">
      <c r="A155" s="5" t="s">
        <v>22</v>
      </c>
      <c r="B155" s="155" t="s">
        <v>1761</v>
      </c>
      <c r="C155" s="9" t="s">
        <v>2417</v>
      </c>
      <c r="D155" s="13">
        <v>9.944911576E9</v>
      </c>
      <c r="E155" s="8" t="s">
        <v>180</v>
      </c>
      <c r="F155" s="4"/>
      <c r="G155" s="4"/>
      <c r="H155" s="9" t="s">
        <v>716</v>
      </c>
      <c r="I155" s="57" t="b">
        <v>1</v>
      </c>
      <c r="J155" s="67" t="b">
        <v>1</v>
      </c>
      <c r="K155" s="54" t="b">
        <v>1</v>
      </c>
      <c r="L155" s="10" t="b">
        <v>0</v>
      </c>
      <c r="M155" s="10" t="b">
        <v>0</v>
      </c>
      <c r="N155" s="10" t="b">
        <v>0</v>
      </c>
      <c r="O155" s="10" t="b">
        <v>0</v>
      </c>
      <c r="P155" s="10" t="b">
        <v>0</v>
      </c>
      <c r="Q155" s="10" t="b">
        <v>0</v>
      </c>
      <c r="R155" s="10" t="b">
        <v>0</v>
      </c>
      <c r="S155" s="91">
        <v>46130.0</v>
      </c>
      <c r="T155" s="6" t="s">
        <v>357</v>
      </c>
      <c r="U155" s="6" t="s">
        <v>358</v>
      </c>
      <c r="V155" s="54" t="b">
        <v>1</v>
      </c>
      <c r="W155" s="9" t="s">
        <v>2418</v>
      </c>
      <c r="X155" s="6" t="s">
        <v>661</v>
      </c>
      <c r="Y155" s="6" t="s">
        <v>358</v>
      </c>
      <c r="Z155" s="9" t="s">
        <v>2419</v>
      </c>
      <c r="AA155" s="4"/>
      <c r="AB155" s="4"/>
      <c r="AC155" s="4"/>
      <c r="AD155" s="4"/>
      <c r="AE155" s="4"/>
      <c r="AF155" s="4"/>
    </row>
    <row r="156">
      <c r="A156" s="5" t="s">
        <v>22</v>
      </c>
      <c r="B156" s="155" t="s">
        <v>1775</v>
      </c>
      <c r="C156" s="9" t="s">
        <v>2420</v>
      </c>
      <c r="D156" s="13">
        <v>9.952377279E9</v>
      </c>
      <c r="E156" s="8" t="s">
        <v>38</v>
      </c>
      <c r="F156" s="4"/>
      <c r="G156" s="4"/>
      <c r="H156" s="9" t="s">
        <v>716</v>
      </c>
      <c r="I156" s="57" t="b">
        <v>1</v>
      </c>
      <c r="J156" s="57" t="b">
        <v>1</v>
      </c>
      <c r="K156" s="57" t="b">
        <v>1</v>
      </c>
      <c r="L156" s="54" t="b">
        <v>1</v>
      </c>
      <c r="M156" s="10" t="b">
        <v>0</v>
      </c>
      <c r="N156" s="10" t="b">
        <v>0</v>
      </c>
      <c r="O156" s="10" t="b">
        <v>0</v>
      </c>
      <c r="P156" s="10" t="b">
        <v>0</v>
      </c>
      <c r="Q156" s="10" t="b">
        <v>0</v>
      </c>
      <c r="R156" s="10" t="b">
        <v>0</v>
      </c>
      <c r="S156" s="91">
        <v>46136.0</v>
      </c>
      <c r="T156" s="6" t="s">
        <v>357</v>
      </c>
      <c r="U156" s="6" t="s">
        <v>358</v>
      </c>
      <c r="V156" s="54" t="b">
        <v>1</v>
      </c>
      <c r="W156" s="9" t="s">
        <v>2421</v>
      </c>
      <c r="X156" s="6" t="s">
        <v>382</v>
      </c>
      <c r="Y156" s="6" t="s">
        <v>358</v>
      </c>
      <c r="Z156" s="9" t="s">
        <v>2422</v>
      </c>
      <c r="AA156" s="4"/>
      <c r="AB156" s="4"/>
      <c r="AC156" s="4"/>
      <c r="AD156" s="4"/>
      <c r="AE156" s="4"/>
      <c r="AF156" s="4"/>
    </row>
    <row r="157">
      <c r="A157" s="5" t="s">
        <v>22</v>
      </c>
      <c r="B157" s="155" t="s">
        <v>1775</v>
      </c>
      <c r="C157" s="9" t="s">
        <v>2423</v>
      </c>
      <c r="D157" s="13">
        <v>9.962282507E9</v>
      </c>
      <c r="E157" s="8" t="s">
        <v>38</v>
      </c>
      <c r="F157" s="4"/>
      <c r="G157" s="4"/>
      <c r="H157" s="9" t="s">
        <v>716</v>
      </c>
      <c r="I157" s="57" t="b">
        <v>1</v>
      </c>
      <c r="J157" s="54" t="b">
        <v>1</v>
      </c>
      <c r="K157" s="10" t="b">
        <v>0</v>
      </c>
      <c r="L157" s="10" t="b">
        <v>0</v>
      </c>
      <c r="M157" s="10" t="b">
        <v>0</v>
      </c>
      <c r="N157" s="10" t="b">
        <v>0</v>
      </c>
      <c r="O157" s="10" t="b">
        <v>0</v>
      </c>
      <c r="P157" s="10" t="b">
        <v>0</v>
      </c>
      <c r="Q157" s="10" t="b">
        <v>0</v>
      </c>
      <c r="R157" s="10" t="b">
        <v>0</v>
      </c>
      <c r="S157" s="91">
        <v>46128.0</v>
      </c>
      <c r="T157" s="6" t="s">
        <v>357</v>
      </c>
      <c r="U157" s="6" t="s">
        <v>358</v>
      </c>
      <c r="V157" s="54" t="b">
        <v>1</v>
      </c>
      <c r="W157" s="9" t="s">
        <v>2424</v>
      </c>
      <c r="X157" s="6" t="s">
        <v>357</v>
      </c>
      <c r="Y157" s="6" t="s">
        <v>358</v>
      </c>
      <c r="Z157" s="9" t="s">
        <v>2425</v>
      </c>
      <c r="AA157" s="4"/>
      <c r="AB157" s="4"/>
      <c r="AC157" s="4"/>
      <c r="AD157" s="4"/>
      <c r="AE157" s="4"/>
      <c r="AF157" s="4"/>
    </row>
    <row r="158">
      <c r="A158" s="5" t="s">
        <v>22</v>
      </c>
      <c r="B158" s="155" t="s">
        <v>1775</v>
      </c>
      <c r="C158" s="9" t="s">
        <v>2291</v>
      </c>
      <c r="D158" s="13">
        <v>9.944567938E9</v>
      </c>
      <c r="E158" s="8" t="s">
        <v>38</v>
      </c>
      <c r="F158" s="4"/>
      <c r="G158" s="4"/>
      <c r="H158" s="9" t="s">
        <v>716</v>
      </c>
      <c r="I158" s="57" t="b">
        <v>1</v>
      </c>
      <c r="J158" s="67" t="b">
        <v>1</v>
      </c>
      <c r="K158" s="54" t="b">
        <v>1</v>
      </c>
      <c r="L158" s="67" t="b">
        <v>1</v>
      </c>
      <c r="M158" s="10" t="b">
        <v>0</v>
      </c>
      <c r="N158" s="10" t="b">
        <v>0</v>
      </c>
      <c r="O158" s="10" t="b">
        <v>0</v>
      </c>
      <c r="P158" s="10" t="b">
        <v>0</v>
      </c>
      <c r="Q158" s="10" t="b">
        <v>0</v>
      </c>
      <c r="R158" s="10" t="b">
        <v>0</v>
      </c>
      <c r="S158" s="91">
        <v>46130.0</v>
      </c>
      <c r="T158" s="6" t="s">
        <v>431</v>
      </c>
      <c r="U158" s="6" t="s">
        <v>429</v>
      </c>
      <c r="V158" s="54" t="b">
        <v>1</v>
      </c>
      <c r="W158" s="9" t="s">
        <v>2426</v>
      </c>
      <c r="X158" s="6" t="s">
        <v>431</v>
      </c>
      <c r="Y158" s="6" t="s">
        <v>429</v>
      </c>
      <c r="Z158" s="9" t="s">
        <v>2427</v>
      </c>
      <c r="AA158" s="4"/>
      <c r="AB158" s="4"/>
      <c r="AC158" s="4"/>
      <c r="AD158" s="4"/>
      <c r="AE158" s="4"/>
      <c r="AF158" s="4"/>
    </row>
    <row r="159">
      <c r="A159" s="5" t="s">
        <v>22</v>
      </c>
      <c r="B159" s="155" t="s">
        <v>1761</v>
      </c>
      <c r="C159" s="9" t="s">
        <v>2258</v>
      </c>
      <c r="D159" s="13">
        <v>9.840232412E9</v>
      </c>
      <c r="E159" s="8" t="s">
        <v>38</v>
      </c>
      <c r="F159" s="4"/>
      <c r="G159" s="4"/>
      <c r="H159" s="9" t="s">
        <v>716</v>
      </c>
      <c r="I159" s="57" t="b">
        <v>1</v>
      </c>
      <c r="J159" s="67" t="b">
        <v>1</v>
      </c>
      <c r="K159" s="67" t="b">
        <v>1</v>
      </c>
      <c r="L159" s="10" t="b">
        <v>0</v>
      </c>
      <c r="M159" s="10" t="b">
        <v>0</v>
      </c>
      <c r="N159" s="10" t="b">
        <v>0</v>
      </c>
      <c r="O159" s="10" t="b">
        <v>0</v>
      </c>
      <c r="P159" s="10" t="b">
        <v>0</v>
      </c>
      <c r="Q159" s="10" t="b">
        <v>0</v>
      </c>
      <c r="R159" s="10" t="b">
        <v>0</v>
      </c>
      <c r="S159" s="91">
        <v>46136.0</v>
      </c>
      <c r="T159" s="6" t="s">
        <v>431</v>
      </c>
      <c r="U159" s="6" t="s">
        <v>429</v>
      </c>
      <c r="V159" s="57" t="b">
        <v>1</v>
      </c>
      <c r="W159" s="9" t="s">
        <v>2428</v>
      </c>
      <c r="X159" s="6" t="s">
        <v>431</v>
      </c>
      <c r="Y159" s="6" t="s">
        <v>429</v>
      </c>
      <c r="Z159" s="9" t="s">
        <v>2429</v>
      </c>
      <c r="AA159" s="4"/>
      <c r="AB159" s="4"/>
      <c r="AC159" s="4"/>
      <c r="AD159" s="4"/>
      <c r="AE159" s="4"/>
      <c r="AF159" s="4"/>
    </row>
    <row r="160">
      <c r="A160" s="5" t="s">
        <v>22</v>
      </c>
      <c r="B160" s="155" t="s">
        <v>1757</v>
      </c>
      <c r="C160" s="4"/>
      <c r="D160" s="93"/>
      <c r="E160" s="8"/>
      <c r="F160" s="4"/>
      <c r="G160" s="4"/>
      <c r="H160" s="9" t="s">
        <v>716</v>
      </c>
      <c r="I160" s="10" t="b">
        <v>0</v>
      </c>
      <c r="J160" s="10" t="b">
        <v>0</v>
      </c>
      <c r="K160" s="10" t="b">
        <v>0</v>
      </c>
      <c r="L160" s="10" t="b">
        <v>0</v>
      </c>
      <c r="M160" s="10" t="b">
        <v>0</v>
      </c>
      <c r="N160" s="10" t="b">
        <v>0</v>
      </c>
      <c r="O160" s="10" t="b">
        <v>0</v>
      </c>
      <c r="P160" s="10" t="b">
        <v>0</v>
      </c>
      <c r="Q160" s="10" t="b">
        <v>0</v>
      </c>
      <c r="R160" s="10" t="b">
        <v>0</v>
      </c>
      <c r="S160" s="91"/>
      <c r="T160" s="6"/>
      <c r="U160" s="6"/>
      <c r="V160" s="57" t="b">
        <v>0</v>
      </c>
      <c r="W160" s="4"/>
      <c r="X160" s="53"/>
      <c r="Y160" s="53"/>
      <c r="Z160" s="4"/>
      <c r="AA160" s="4"/>
      <c r="AB160" s="4"/>
      <c r="AC160" s="4"/>
      <c r="AD160" s="4"/>
      <c r="AE160" s="4"/>
      <c r="AF160" s="4"/>
    </row>
    <row r="161">
      <c r="A161" s="5" t="s">
        <v>22</v>
      </c>
      <c r="B161" s="155" t="s">
        <v>1757</v>
      </c>
      <c r="C161" s="4"/>
      <c r="D161" s="93"/>
      <c r="E161" s="8"/>
      <c r="F161" s="4"/>
      <c r="G161" s="4"/>
      <c r="H161" s="9" t="s">
        <v>716</v>
      </c>
      <c r="I161" s="10" t="b">
        <v>0</v>
      </c>
      <c r="J161" s="10" t="b">
        <v>0</v>
      </c>
      <c r="K161" s="10" t="b">
        <v>0</v>
      </c>
      <c r="L161" s="10" t="b">
        <v>0</v>
      </c>
      <c r="M161" s="10" t="b">
        <v>0</v>
      </c>
      <c r="N161" s="10" t="b">
        <v>0</v>
      </c>
      <c r="O161" s="10" t="b">
        <v>0</v>
      </c>
      <c r="P161" s="10" t="b">
        <v>0</v>
      </c>
      <c r="Q161" s="10" t="b">
        <v>0</v>
      </c>
      <c r="R161" s="10" t="b">
        <v>0</v>
      </c>
      <c r="S161" s="91"/>
      <c r="T161" s="6"/>
      <c r="U161" s="6"/>
      <c r="V161" s="57" t="b">
        <v>0</v>
      </c>
      <c r="W161" s="4"/>
      <c r="X161" s="53"/>
      <c r="Y161" s="53"/>
      <c r="Z161" s="4"/>
      <c r="AA161" s="4"/>
      <c r="AB161" s="4"/>
      <c r="AC161" s="4"/>
      <c r="AD161" s="4"/>
      <c r="AE161" s="4"/>
      <c r="AF161" s="4"/>
    </row>
    <row r="162">
      <c r="A162" s="5" t="s">
        <v>22</v>
      </c>
      <c r="B162" s="155" t="s">
        <v>1757</v>
      </c>
      <c r="C162" s="4"/>
      <c r="D162" s="93"/>
      <c r="E162" s="8"/>
      <c r="F162" s="4"/>
      <c r="G162" s="4"/>
      <c r="H162" s="9" t="s">
        <v>716</v>
      </c>
      <c r="I162" s="10" t="b">
        <v>0</v>
      </c>
      <c r="J162" s="10" t="b">
        <v>0</v>
      </c>
      <c r="K162" s="10" t="b">
        <v>0</v>
      </c>
      <c r="L162" s="10" t="b">
        <v>0</v>
      </c>
      <c r="M162" s="10" t="b">
        <v>0</v>
      </c>
      <c r="N162" s="10" t="b">
        <v>0</v>
      </c>
      <c r="O162" s="10" t="b">
        <v>0</v>
      </c>
      <c r="P162" s="10" t="b">
        <v>0</v>
      </c>
      <c r="Q162" s="10" t="b">
        <v>0</v>
      </c>
      <c r="R162" s="10" t="b">
        <v>0</v>
      </c>
      <c r="S162" s="91"/>
      <c r="T162" s="6"/>
      <c r="U162" s="6"/>
      <c r="V162" s="57" t="b">
        <v>0</v>
      </c>
      <c r="W162" s="4"/>
      <c r="X162" s="53"/>
      <c r="Y162" s="53"/>
      <c r="Z162" s="4"/>
      <c r="AA162" s="4"/>
      <c r="AB162" s="4"/>
      <c r="AC162" s="4"/>
      <c r="AD162" s="4"/>
      <c r="AE162" s="4"/>
      <c r="AF162" s="4"/>
    </row>
    <row r="163">
      <c r="A163" s="5" t="s">
        <v>22</v>
      </c>
      <c r="B163" s="155" t="s">
        <v>1757</v>
      </c>
      <c r="C163" s="4"/>
      <c r="D163" s="93"/>
      <c r="E163" s="8"/>
      <c r="F163" s="4"/>
      <c r="G163" s="4"/>
      <c r="H163" s="9" t="s">
        <v>716</v>
      </c>
      <c r="I163" s="10" t="b">
        <v>0</v>
      </c>
      <c r="J163" s="10" t="b">
        <v>0</v>
      </c>
      <c r="K163" s="10" t="b">
        <v>0</v>
      </c>
      <c r="L163" s="10" t="b">
        <v>0</v>
      </c>
      <c r="M163" s="10" t="b">
        <v>0</v>
      </c>
      <c r="N163" s="10" t="b">
        <v>0</v>
      </c>
      <c r="O163" s="10" t="b">
        <v>0</v>
      </c>
      <c r="P163" s="10" t="b">
        <v>0</v>
      </c>
      <c r="Q163" s="10" t="b">
        <v>0</v>
      </c>
      <c r="R163" s="10" t="b">
        <v>0</v>
      </c>
      <c r="S163" s="91"/>
      <c r="T163" s="6"/>
      <c r="U163" s="6"/>
      <c r="V163" s="57" t="b">
        <v>0</v>
      </c>
      <c r="W163" s="4"/>
      <c r="X163" s="53"/>
      <c r="Y163" s="53"/>
      <c r="Z163" s="4"/>
      <c r="AA163" s="4"/>
      <c r="AB163" s="4"/>
      <c r="AC163" s="4"/>
      <c r="AD163" s="4"/>
      <c r="AE163" s="4"/>
      <c r="AF163" s="4"/>
    </row>
    <row r="164">
      <c r="A164" s="5" t="s">
        <v>22</v>
      </c>
      <c r="B164" s="155" t="s">
        <v>1757</v>
      </c>
      <c r="C164" s="4"/>
      <c r="D164" s="93"/>
      <c r="E164" s="8"/>
      <c r="F164" s="4"/>
      <c r="G164" s="4"/>
      <c r="H164" s="9" t="s">
        <v>716</v>
      </c>
      <c r="I164" s="10" t="b">
        <v>0</v>
      </c>
      <c r="J164" s="10" t="b">
        <v>0</v>
      </c>
      <c r="K164" s="10" t="b">
        <v>0</v>
      </c>
      <c r="L164" s="10" t="b">
        <v>0</v>
      </c>
      <c r="M164" s="10" t="b">
        <v>0</v>
      </c>
      <c r="N164" s="10" t="b">
        <v>0</v>
      </c>
      <c r="O164" s="10" t="b">
        <v>0</v>
      </c>
      <c r="P164" s="10" t="b">
        <v>0</v>
      </c>
      <c r="Q164" s="10" t="b">
        <v>0</v>
      </c>
      <c r="R164" s="10" t="b">
        <v>0</v>
      </c>
      <c r="S164" s="91"/>
      <c r="T164" s="6"/>
      <c r="U164" s="6"/>
      <c r="V164" s="57" t="b">
        <v>0</v>
      </c>
      <c r="W164" s="4"/>
      <c r="X164" s="53"/>
      <c r="Y164" s="53"/>
      <c r="Z164" s="4"/>
      <c r="AA164" s="4"/>
      <c r="AB164" s="4"/>
      <c r="AC164" s="4"/>
      <c r="AD164" s="4"/>
      <c r="AE164" s="4"/>
      <c r="AF164" s="4"/>
    </row>
    <row r="165">
      <c r="A165" s="5" t="s">
        <v>22</v>
      </c>
      <c r="B165" s="155" t="s">
        <v>1757</v>
      </c>
      <c r="C165" s="4"/>
      <c r="D165" s="93"/>
      <c r="E165" s="8"/>
      <c r="F165" s="4"/>
      <c r="G165" s="4"/>
      <c r="H165" s="9" t="s">
        <v>716</v>
      </c>
      <c r="I165" s="10" t="b">
        <v>0</v>
      </c>
      <c r="J165" s="10" t="b">
        <v>0</v>
      </c>
      <c r="K165" s="10" t="b">
        <v>0</v>
      </c>
      <c r="L165" s="10" t="b">
        <v>0</v>
      </c>
      <c r="M165" s="10" t="b">
        <v>0</v>
      </c>
      <c r="N165" s="10" t="b">
        <v>0</v>
      </c>
      <c r="O165" s="10" t="b">
        <v>0</v>
      </c>
      <c r="P165" s="10" t="b">
        <v>0</v>
      </c>
      <c r="Q165" s="10" t="b">
        <v>0</v>
      </c>
      <c r="R165" s="10" t="b">
        <v>0</v>
      </c>
      <c r="S165" s="91"/>
      <c r="T165" s="6"/>
      <c r="U165" s="6"/>
      <c r="V165" s="57" t="b">
        <v>0</v>
      </c>
      <c r="W165" s="4"/>
      <c r="X165" s="53"/>
      <c r="Y165" s="53"/>
      <c r="Z165" s="4"/>
      <c r="AA165" s="4"/>
      <c r="AB165" s="4"/>
      <c r="AC165" s="4"/>
      <c r="AD165" s="4"/>
      <c r="AE165" s="4"/>
      <c r="AF165" s="4"/>
    </row>
    <row r="166">
      <c r="A166" s="5" t="s">
        <v>22</v>
      </c>
      <c r="B166" s="155" t="s">
        <v>1757</v>
      </c>
      <c r="C166" s="4"/>
      <c r="D166" s="93"/>
      <c r="E166" s="8"/>
      <c r="F166" s="4"/>
      <c r="G166" s="4"/>
      <c r="H166" s="9" t="s">
        <v>716</v>
      </c>
      <c r="I166" s="10" t="b">
        <v>0</v>
      </c>
      <c r="J166" s="10" t="b">
        <v>0</v>
      </c>
      <c r="K166" s="10" t="b">
        <v>0</v>
      </c>
      <c r="L166" s="10" t="b">
        <v>0</v>
      </c>
      <c r="M166" s="10" t="b">
        <v>0</v>
      </c>
      <c r="N166" s="10" t="b">
        <v>0</v>
      </c>
      <c r="O166" s="10" t="b">
        <v>0</v>
      </c>
      <c r="P166" s="10" t="b">
        <v>0</v>
      </c>
      <c r="Q166" s="10" t="b">
        <v>0</v>
      </c>
      <c r="R166" s="10" t="b">
        <v>0</v>
      </c>
      <c r="S166" s="91"/>
      <c r="T166" s="6"/>
      <c r="U166" s="6"/>
      <c r="V166" s="57" t="b">
        <v>0</v>
      </c>
      <c r="W166" s="4"/>
      <c r="X166" s="53"/>
      <c r="Y166" s="53"/>
      <c r="Z166" s="4"/>
      <c r="AA166" s="4"/>
      <c r="AB166" s="4"/>
      <c r="AC166" s="4"/>
      <c r="AD166" s="4"/>
      <c r="AE166" s="4"/>
      <c r="AF166" s="4"/>
    </row>
    <row r="167">
      <c r="A167" s="5" t="s">
        <v>22</v>
      </c>
      <c r="B167" s="155" t="s">
        <v>1757</v>
      </c>
      <c r="C167" s="4"/>
      <c r="D167" s="93"/>
      <c r="E167" s="8"/>
      <c r="F167" s="4"/>
      <c r="G167" s="4"/>
      <c r="H167" s="9" t="s">
        <v>716</v>
      </c>
      <c r="I167" s="10" t="b">
        <v>0</v>
      </c>
      <c r="J167" s="10" t="b">
        <v>0</v>
      </c>
      <c r="K167" s="10" t="b">
        <v>0</v>
      </c>
      <c r="L167" s="10" t="b">
        <v>0</v>
      </c>
      <c r="M167" s="10" t="b">
        <v>0</v>
      </c>
      <c r="N167" s="10" t="b">
        <v>0</v>
      </c>
      <c r="O167" s="10" t="b">
        <v>0</v>
      </c>
      <c r="P167" s="10" t="b">
        <v>0</v>
      </c>
      <c r="Q167" s="10" t="b">
        <v>0</v>
      </c>
      <c r="R167" s="10" t="b">
        <v>0</v>
      </c>
      <c r="S167" s="91"/>
      <c r="T167" s="6"/>
      <c r="U167" s="6"/>
      <c r="V167" s="57" t="b">
        <v>0</v>
      </c>
      <c r="W167" s="4"/>
      <c r="X167" s="53"/>
      <c r="Y167" s="53"/>
      <c r="Z167" s="4"/>
      <c r="AA167" s="4"/>
      <c r="AB167" s="4"/>
      <c r="AC167" s="4"/>
      <c r="AD167" s="4"/>
      <c r="AE167" s="4"/>
      <c r="AF167" s="4"/>
    </row>
    <row r="168">
      <c r="A168" s="5" t="s">
        <v>22</v>
      </c>
      <c r="B168" s="155" t="s">
        <v>1757</v>
      </c>
      <c r="C168" s="4"/>
      <c r="D168" s="93"/>
      <c r="E168" s="8"/>
      <c r="F168" s="4"/>
      <c r="G168" s="4"/>
      <c r="H168" s="9" t="s">
        <v>716</v>
      </c>
      <c r="I168" s="10" t="b">
        <v>0</v>
      </c>
      <c r="J168" s="10" t="b">
        <v>0</v>
      </c>
      <c r="K168" s="10" t="b">
        <v>0</v>
      </c>
      <c r="L168" s="10" t="b">
        <v>0</v>
      </c>
      <c r="M168" s="10" t="b">
        <v>0</v>
      </c>
      <c r="N168" s="10" t="b">
        <v>0</v>
      </c>
      <c r="O168" s="10" t="b">
        <v>0</v>
      </c>
      <c r="P168" s="10" t="b">
        <v>0</v>
      </c>
      <c r="Q168" s="10" t="b">
        <v>0</v>
      </c>
      <c r="R168" s="10" t="b">
        <v>0</v>
      </c>
      <c r="S168" s="91"/>
      <c r="T168" s="6"/>
      <c r="U168" s="6"/>
      <c r="V168" s="57" t="b">
        <v>0</v>
      </c>
      <c r="W168" s="4"/>
      <c r="X168" s="53"/>
      <c r="Y168" s="53"/>
      <c r="Z168" s="4"/>
      <c r="AA168" s="4"/>
      <c r="AB168" s="4"/>
      <c r="AC168" s="4"/>
      <c r="AD168" s="4"/>
      <c r="AE168" s="4"/>
      <c r="AF168" s="4"/>
    </row>
    <row r="169">
      <c r="A169" s="5" t="s">
        <v>22</v>
      </c>
      <c r="B169" s="155" t="s">
        <v>1757</v>
      </c>
      <c r="C169" s="4"/>
      <c r="D169" s="93"/>
      <c r="E169" s="8"/>
      <c r="F169" s="4"/>
      <c r="G169" s="4"/>
      <c r="H169" s="9" t="s">
        <v>716</v>
      </c>
      <c r="I169" s="10" t="b">
        <v>0</v>
      </c>
      <c r="J169" s="10" t="b">
        <v>0</v>
      </c>
      <c r="K169" s="10" t="b">
        <v>0</v>
      </c>
      <c r="L169" s="10" t="b">
        <v>0</v>
      </c>
      <c r="M169" s="10" t="b">
        <v>0</v>
      </c>
      <c r="N169" s="10" t="b">
        <v>0</v>
      </c>
      <c r="O169" s="10" t="b">
        <v>0</v>
      </c>
      <c r="P169" s="10" t="b">
        <v>0</v>
      </c>
      <c r="Q169" s="10" t="b">
        <v>0</v>
      </c>
      <c r="R169" s="10" t="b">
        <v>0</v>
      </c>
      <c r="S169" s="91"/>
      <c r="T169" s="6"/>
      <c r="U169" s="6"/>
      <c r="V169" s="57" t="b">
        <v>0</v>
      </c>
      <c r="W169" s="4"/>
      <c r="X169" s="53"/>
      <c r="Y169" s="53"/>
      <c r="Z169" s="4"/>
      <c r="AA169" s="4"/>
      <c r="AB169" s="4"/>
      <c r="AC169" s="4"/>
      <c r="AD169" s="4"/>
      <c r="AE169" s="4"/>
      <c r="AF169" s="4"/>
    </row>
    <row r="170">
      <c r="A170" s="5" t="s">
        <v>22</v>
      </c>
      <c r="B170" s="155" t="s">
        <v>1757</v>
      </c>
      <c r="C170" s="4"/>
      <c r="D170" s="93"/>
      <c r="E170" s="8"/>
      <c r="F170" s="4"/>
      <c r="G170" s="4"/>
      <c r="H170" s="9" t="s">
        <v>716</v>
      </c>
      <c r="I170" s="10" t="b">
        <v>0</v>
      </c>
      <c r="J170" s="10" t="b">
        <v>0</v>
      </c>
      <c r="K170" s="10" t="b">
        <v>0</v>
      </c>
      <c r="L170" s="10" t="b">
        <v>0</v>
      </c>
      <c r="M170" s="10" t="b">
        <v>0</v>
      </c>
      <c r="N170" s="10" t="b">
        <v>0</v>
      </c>
      <c r="O170" s="10" t="b">
        <v>0</v>
      </c>
      <c r="P170" s="10" t="b">
        <v>0</v>
      </c>
      <c r="Q170" s="10" t="b">
        <v>0</v>
      </c>
      <c r="R170" s="10" t="b">
        <v>0</v>
      </c>
      <c r="S170" s="91"/>
      <c r="T170" s="6"/>
      <c r="U170" s="6"/>
      <c r="V170" s="57" t="b">
        <v>0</v>
      </c>
      <c r="W170" s="4"/>
      <c r="X170" s="53"/>
      <c r="Y170" s="53"/>
      <c r="Z170" s="4"/>
      <c r="AA170" s="4"/>
      <c r="AB170" s="4"/>
      <c r="AC170" s="4"/>
      <c r="AD170" s="4"/>
      <c r="AE170" s="4"/>
      <c r="AF170" s="4"/>
    </row>
    <row r="171">
      <c r="A171" s="5" t="s">
        <v>22</v>
      </c>
      <c r="B171" s="155" t="s">
        <v>1757</v>
      </c>
      <c r="C171" s="4"/>
      <c r="D171" s="93"/>
      <c r="E171" s="8"/>
      <c r="F171" s="4"/>
      <c r="G171" s="4"/>
      <c r="H171" s="9" t="s">
        <v>716</v>
      </c>
      <c r="I171" s="10" t="b">
        <v>0</v>
      </c>
      <c r="J171" s="10" t="b">
        <v>0</v>
      </c>
      <c r="K171" s="10" t="b">
        <v>0</v>
      </c>
      <c r="L171" s="10" t="b">
        <v>0</v>
      </c>
      <c r="M171" s="10" t="b">
        <v>0</v>
      </c>
      <c r="N171" s="10" t="b">
        <v>0</v>
      </c>
      <c r="O171" s="10" t="b">
        <v>0</v>
      </c>
      <c r="P171" s="10" t="b">
        <v>0</v>
      </c>
      <c r="Q171" s="10" t="b">
        <v>0</v>
      </c>
      <c r="R171" s="10" t="b">
        <v>0</v>
      </c>
      <c r="S171" s="91"/>
      <c r="T171" s="6"/>
      <c r="U171" s="6"/>
      <c r="V171" s="57" t="b">
        <v>0</v>
      </c>
      <c r="W171" s="4"/>
      <c r="X171" s="53"/>
      <c r="Y171" s="53"/>
      <c r="Z171" s="4"/>
      <c r="AA171" s="4"/>
      <c r="AB171" s="4"/>
      <c r="AC171" s="4"/>
      <c r="AD171" s="4"/>
      <c r="AE171" s="4"/>
      <c r="AF171" s="4"/>
    </row>
    <row r="172">
      <c r="A172" s="5" t="s">
        <v>22</v>
      </c>
      <c r="B172" s="155" t="s">
        <v>1757</v>
      </c>
      <c r="C172" s="4"/>
      <c r="D172" s="93"/>
      <c r="E172" s="8"/>
      <c r="F172" s="4"/>
      <c r="G172" s="4"/>
      <c r="H172" s="9" t="s">
        <v>716</v>
      </c>
      <c r="I172" s="10" t="b">
        <v>0</v>
      </c>
      <c r="J172" s="10" t="b">
        <v>0</v>
      </c>
      <c r="K172" s="10" t="b">
        <v>0</v>
      </c>
      <c r="L172" s="10" t="b">
        <v>0</v>
      </c>
      <c r="M172" s="10" t="b">
        <v>0</v>
      </c>
      <c r="N172" s="10" t="b">
        <v>0</v>
      </c>
      <c r="O172" s="10" t="b">
        <v>0</v>
      </c>
      <c r="P172" s="10" t="b">
        <v>0</v>
      </c>
      <c r="Q172" s="10" t="b">
        <v>0</v>
      </c>
      <c r="R172" s="10" t="b">
        <v>0</v>
      </c>
      <c r="S172" s="91"/>
      <c r="T172" s="6"/>
      <c r="U172" s="6"/>
      <c r="V172" s="57" t="b">
        <v>0</v>
      </c>
      <c r="W172" s="4"/>
      <c r="X172" s="53"/>
      <c r="Y172" s="53"/>
      <c r="Z172" s="4"/>
      <c r="AA172" s="4"/>
      <c r="AB172" s="4"/>
      <c r="AC172" s="4"/>
      <c r="AD172" s="4"/>
      <c r="AE172" s="4"/>
      <c r="AF172" s="4"/>
    </row>
    <row r="173">
      <c r="A173" s="5" t="s">
        <v>22</v>
      </c>
      <c r="B173" s="155" t="s">
        <v>1757</v>
      </c>
      <c r="C173" s="4"/>
      <c r="D173" s="93"/>
      <c r="E173" s="8"/>
      <c r="F173" s="4"/>
      <c r="G173" s="4"/>
      <c r="H173" s="9" t="s">
        <v>716</v>
      </c>
      <c r="I173" s="10" t="b">
        <v>0</v>
      </c>
      <c r="J173" s="10" t="b">
        <v>0</v>
      </c>
      <c r="K173" s="10" t="b">
        <v>0</v>
      </c>
      <c r="L173" s="10" t="b">
        <v>0</v>
      </c>
      <c r="M173" s="10" t="b">
        <v>0</v>
      </c>
      <c r="N173" s="10" t="b">
        <v>0</v>
      </c>
      <c r="O173" s="10" t="b">
        <v>0</v>
      </c>
      <c r="P173" s="10" t="b">
        <v>0</v>
      </c>
      <c r="Q173" s="10" t="b">
        <v>0</v>
      </c>
      <c r="R173" s="10" t="b">
        <v>0</v>
      </c>
      <c r="S173" s="91"/>
      <c r="T173" s="6"/>
      <c r="U173" s="6"/>
      <c r="V173" s="57" t="b">
        <v>0</v>
      </c>
      <c r="W173" s="4"/>
      <c r="X173" s="53"/>
      <c r="Y173" s="53"/>
      <c r="Z173" s="4"/>
      <c r="AA173" s="4"/>
      <c r="AB173" s="4"/>
      <c r="AC173" s="4"/>
      <c r="AD173" s="4"/>
      <c r="AE173" s="4"/>
      <c r="AF173" s="4"/>
    </row>
    <row r="174">
      <c r="A174" s="5" t="s">
        <v>22</v>
      </c>
      <c r="B174" s="155" t="s">
        <v>1757</v>
      </c>
      <c r="C174" s="4"/>
      <c r="D174" s="93"/>
      <c r="E174" s="8"/>
      <c r="F174" s="4"/>
      <c r="G174" s="4"/>
      <c r="H174" s="9" t="s">
        <v>716</v>
      </c>
      <c r="I174" s="10" t="b">
        <v>0</v>
      </c>
      <c r="J174" s="10" t="b">
        <v>0</v>
      </c>
      <c r="K174" s="10" t="b">
        <v>0</v>
      </c>
      <c r="L174" s="10" t="b">
        <v>0</v>
      </c>
      <c r="M174" s="10" t="b">
        <v>0</v>
      </c>
      <c r="N174" s="10" t="b">
        <v>0</v>
      </c>
      <c r="O174" s="10" t="b">
        <v>0</v>
      </c>
      <c r="P174" s="10" t="b">
        <v>0</v>
      </c>
      <c r="Q174" s="10" t="b">
        <v>0</v>
      </c>
      <c r="R174" s="10" t="b">
        <v>0</v>
      </c>
      <c r="S174" s="91"/>
      <c r="T174" s="6"/>
      <c r="U174" s="6"/>
      <c r="V174" s="57" t="b">
        <v>0</v>
      </c>
      <c r="W174" s="4"/>
      <c r="X174" s="53"/>
      <c r="Y174" s="53"/>
      <c r="Z174" s="4"/>
      <c r="AA174" s="4"/>
      <c r="AB174" s="4"/>
      <c r="AC174" s="4"/>
      <c r="AD174" s="4"/>
      <c r="AE174" s="4"/>
      <c r="AF174" s="4"/>
    </row>
    <row r="175">
      <c r="A175" s="5" t="s">
        <v>22</v>
      </c>
      <c r="B175" s="155" t="s">
        <v>1757</v>
      </c>
      <c r="C175" s="4"/>
      <c r="D175" s="93"/>
      <c r="E175" s="8"/>
      <c r="F175" s="4"/>
      <c r="G175" s="4"/>
      <c r="H175" s="9" t="s">
        <v>716</v>
      </c>
      <c r="I175" s="10" t="b">
        <v>0</v>
      </c>
      <c r="J175" s="10" t="b">
        <v>0</v>
      </c>
      <c r="K175" s="10" t="b">
        <v>0</v>
      </c>
      <c r="L175" s="10" t="b">
        <v>0</v>
      </c>
      <c r="M175" s="10" t="b">
        <v>0</v>
      </c>
      <c r="N175" s="10" t="b">
        <v>0</v>
      </c>
      <c r="O175" s="10" t="b">
        <v>0</v>
      </c>
      <c r="P175" s="10" t="b">
        <v>0</v>
      </c>
      <c r="Q175" s="10" t="b">
        <v>0</v>
      </c>
      <c r="R175" s="10" t="b">
        <v>0</v>
      </c>
      <c r="S175" s="91"/>
      <c r="T175" s="6"/>
      <c r="U175" s="6"/>
      <c r="V175" s="57" t="b">
        <v>0</v>
      </c>
      <c r="W175" s="4"/>
      <c r="X175" s="53"/>
      <c r="Y175" s="53"/>
      <c r="Z175" s="4"/>
      <c r="AA175" s="4"/>
      <c r="AB175" s="4"/>
      <c r="AC175" s="4"/>
      <c r="AD175" s="4"/>
      <c r="AE175" s="4"/>
      <c r="AF175" s="4"/>
    </row>
    <row r="176">
      <c r="A176" s="5" t="s">
        <v>22</v>
      </c>
      <c r="B176" s="155" t="s">
        <v>1757</v>
      </c>
      <c r="C176" s="4"/>
      <c r="D176" s="93"/>
      <c r="E176" s="8"/>
      <c r="F176" s="4"/>
      <c r="G176" s="4"/>
      <c r="H176" s="9" t="s">
        <v>716</v>
      </c>
      <c r="I176" s="10" t="b">
        <v>0</v>
      </c>
      <c r="J176" s="10" t="b">
        <v>0</v>
      </c>
      <c r="K176" s="10" t="b">
        <v>0</v>
      </c>
      <c r="L176" s="10" t="b">
        <v>0</v>
      </c>
      <c r="M176" s="10" t="b">
        <v>0</v>
      </c>
      <c r="N176" s="10" t="b">
        <v>0</v>
      </c>
      <c r="O176" s="10" t="b">
        <v>0</v>
      </c>
      <c r="P176" s="10" t="b">
        <v>0</v>
      </c>
      <c r="Q176" s="10" t="b">
        <v>0</v>
      </c>
      <c r="R176" s="10" t="b">
        <v>0</v>
      </c>
      <c r="S176" s="91"/>
      <c r="T176" s="6"/>
      <c r="U176" s="6"/>
      <c r="V176" s="57" t="b">
        <v>0</v>
      </c>
      <c r="W176" s="4"/>
      <c r="X176" s="53"/>
      <c r="Y176" s="53"/>
      <c r="Z176" s="4"/>
      <c r="AA176" s="4"/>
      <c r="AB176" s="4"/>
      <c r="AC176" s="4"/>
      <c r="AD176" s="4"/>
      <c r="AE176" s="4"/>
      <c r="AF176" s="4"/>
    </row>
    <row r="177">
      <c r="A177" s="5" t="s">
        <v>22</v>
      </c>
      <c r="B177" s="155" t="s">
        <v>1757</v>
      </c>
      <c r="C177" s="4"/>
      <c r="D177" s="93"/>
      <c r="E177" s="8"/>
      <c r="F177" s="4"/>
      <c r="G177" s="4"/>
      <c r="H177" s="9" t="s">
        <v>716</v>
      </c>
      <c r="I177" s="10" t="b">
        <v>0</v>
      </c>
      <c r="J177" s="10" t="b">
        <v>0</v>
      </c>
      <c r="K177" s="10" t="b">
        <v>0</v>
      </c>
      <c r="L177" s="10" t="b">
        <v>0</v>
      </c>
      <c r="M177" s="10" t="b">
        <v>0</v>
      </c>
      <c r="N177" s="10" t="b">
        <v>0</v>
      </c>
      <c r="O177" s="10" t="b">
        <v>0</v>
      </c>
      <c r="P177" s="10" t="b">
        <v>0</v>
      </c>
      <c r="Q177" s="10" t="b">
        <v>0</v>
      </c>
      <c r="R177" s="10" t="b">
        <v>0</v>
      </c>
      <c r="S177" s="91"/>
      <c r="T177" s="6"/>
      <c r="U177" s="6"/>
      <c r="V177" s="57" t="b">
        <v>0</v>
      </c>
      <c r="W177" s="4"/>
      <c r="X177" s="53"/>
      <c r="Y177" s="53"/>
      <c r="Z177" s="4"/>
      <c r="AA177" s="4"/>
      <c r="AB177" s="4"/>
      <c r="AC177" s="4"/>
      <c r="AD177" s="4"/>
      <c r="AE177" s="4"/>
      <c r="AF177" s="4"/>
    </row>
    <row r="178">
      <c r="A178" s="5" t="s">
        <v>22</v>
      </c>
      <c r="B178" s="155" t="s">
        <v>1757</v>
      </c>
      <c r="C178" s="4"/>
      <c r="D178" s="93"/>
      <c r="E178" s="8"/>
      <c r="F178" s="4"/>
      <c r="G178" s="4"/>
      <c r="H178" s="9" t="s">
        <v>716</v>
      </c>
      <c r="I178" s="10" t="b">
        <v>0</v>
      </c>
      <c r="J178" s="10" t="b">
        <v>0</v>
      </c>
      <c r="K178" s="10" t="b">
        <v>0</v>
      </c>
      <c r="L178" s="10" t="b">
        <v>0</v>
      </c>
      <c r="M178" s="10" t="b">
        <v>0</v>
      </c>
      <c r="N178" s="10" t="b">
        <v>0</v>
      </c>
      <c r="O178" s="10" t="b">
        <v>0</v>
      </c>
      <c r="P178" s="10" t="b">
        <v>0</v>
      </c>
      <c r="Q178" s="10" t="b">
        <v>0</v>
      </c>
      <c r="R178" s="10" t="b">
        <v>0</v>
      </c>
      <c r="S178" s="91"/>
      <c r="T178" s="6"/>
      <c r="U178" s="6"/>
      <c r="V178" s="57" t="b">
        <v>0</v>
      </c>
      <c r="W178" s="4"/>
      <c r="X178" s="53"/>
      <c r="Y178" s="53"/>
      <c r="Z178" s="4"/>
      <c r="AA178" s="4"/>
      <c r="AB178" s="4"/>
      <c r="AC178" s="4"/>
      <c r="AD178" s="4"/>
      <c r="AE178" s="4"/>
      <c r="AF178" s="4"/>
    </row>
    <row r="179">
      <c r="A179" s="5" t="s">
        <v>22</v>
      </c>
      <c r="B179" s="155" t="s">
        <v>1757</v>
      </c>
      <c r="C179" s="4"/>
      <c r="D179" s="93"/>
      <c r="E179" s="8"/>
      <c r="F179" s="4"/>
      <c r="G179" s="4"/>
      <c r="H179" s="9" t="s">
        <v>716</v>
      </c>
      <c r="I179" s="10" t="b">
        <v>0</v>
      </c>
      <c r="J179" s="10" t="b">
        <v>0</v>
      </c>
      <c r="K179" s="10" t="b">
        <v>0</v>
      </c>
      <c r="L179" s="10" t="b">
        <v>0</v>
      </c>
      <c r="M179" s="10" t="b">
        <v>0</v>
      </c>
      <c r="N179" s="10" t="b">
        <v>0</v>
      </c>
      <c r="O179" s="10" t="b">
        <v>0</v>
      </c>
      <c r="P179" s="10" t="b">
        <v>0</v>
      </c>
      <c r="Q179" s="10" t="b">
        <v>0</v>
      </c>
      <c r="R179" s="10" t="b">
        <v>0</v>
      </c>
      <c r="S179" s="91"/>
      <c r="T179" s="6"/>
      <c r="U179" s="6"/>
      <c r="V179" s="57" t="b">
        <v>0</v>
      </c>
      <c r="W179" s="4"/>
      <c r="X179" s="53"/>
      <c r="Y179" s="53"/>
      <c r="Z179" s="4"/>
      <c r="AA179" s="4"/>
      <c r="AB179" s="4"/>
      <c r="AC179" s="4"/>
      <c r="AD179" s="4"/>
      <c r="AE179" s="4"/>
      <c r="AF179" s="4"/>
    </row>
    <row r="180">
      <c r="A180" s="5" t="s">
        <v>22</v>
      </c>
      <c r="B180" s="155" t="s">
        <v>1757</v>
      </c>
      <c r="C180" s="4"/>
      <c r="D180" s="93"/>
      <c r="E180" s="8"/>
      <c r="F180" s="4"/>
      <c r="G180" s="4"/>
      <c r="H180" s="9" t="s">
        <v>716</v>
      </c>
      <c r="I180" s="10" t="b">
        <v>0</v>
      </c>
      <c r="J180" s="10" t="b">
        <v>0</v>
      </c>
      <c r="K180" s="10" t="b">
        <v>0</v>
      </c>
      <c r="L180" s="10" t="b">
        <v>0</v>
      </c>
      <c r="M180" s="10" t="b">
        <v>0</v>
      </c>
      <c r="N180" s="10" t="b">
        <v>0</v>
      </c>
      <c r="O180" s="10" t="b">
        <v>0</v>
      </c>
      <c r="P180" s="10" t="b">
        <v>0</v>
      </c>
      <c r="Q180" s="10" t="b">
        <v>0</v>
      </c>
      <c r="R180" s="10" t="b">
        <v>0</v>
      </c>
      <c r="S180" s="91"/>
      <c r="T180" s="6"/>
      <c r="U180" s="6"/>
      <c r="V180" s="57" t="b">
        <v>0</v>
      </c>
      <c r="W180" s="4"/>
      <c r="X180" s="53"/>
      <c r="Y180" s="53"/>
      <c r="Z180" s="4"/>
      <c r="AA180" s="4"/>
      <c r="AB180" s="4"/>
      <c r="AC180" s="4"/>
      <c r="AD180" s="4"/>
      <c r="AE180" s="4"/>
      <c r="AF180" s="4"/>
    </row>
    <row r="181">
      <c r="A181" s="5" t="s">
        <v>22</v>
      </c>
      <c r="B181" s="155" t="s">
        <v>1757</v>
      </c>
      <c r="C181" s="4"/>
      <c r="D181" s="93"/>
      <c r="E181" s="8"/>
      <c r="F181" s="4"/>
      <c r="G181" s="4"/>
      <c r="H181" s="9" t="s">
        <v>716</v>
      </c>
      <c r="I181" s="10" t="b">
        <v>0</v>
      </c>
      <c r="J181" s="10" t="b">
        <v>0</v>
      </c>
      <c r="K181" s="10" t="b">
        <v>0</v>
      </c>
      <c r="L181" s="10" t="b">
        <v>0</v>
      </c>
      <c r="M181" s="10" t="b">
        <v>0</v>
      </c>
      <c r="N181" s="10" t="b">
        <v>0</v>
      </c>
      <c r="O181" s="10" t="b">
        <v>0</v>
      </c>
      <c r="P181" s="10" t="b">
        <v>0</v>
      </c>
      <c r="Q181" s="10" t="b">
        <v>0</v>
      </c>
      <c r="R181" s="10" t="b">
        <v>0</v>
      </c>
      <c r="S181" s="91"/>
      <c r="T181" s="6"/>
      <c r="U181" s="6"/>
      <c r="V181" s="57" t="b">
        <v>0</v>
      </c>
      <c r="W181" s="4"/>
      <c r="X181" s="53"/>
      <c r="Y181" s="53"/>
      <c r="Z181" s="4"/>
      <c r="AA181" s="4"/>
      <c r="AB181" s="4"/>
      <c r="AC181" s="4"/>
      <c r="AD181" s="4"/>
      <c r="AE181" s="4"/>
      <c r="AF181" s="4"/>
    </row>
    <row r="182">
      <c r="A182" s="5" t="s">
        <v>22</v>
      </c>
      <c r="B182" s="155" t="s">
        <v>1757</v>
      </c>
      <c r="C182" s="4"/>
      <c r="D182" s="93"/>
      <c r="E182" s="8"/>
      <c r="F182" s="4"/>
      <c r="G182" s="4"/>
      <c r="H182" s="9" t="s">
        <v>716</v>
      </c>
      <c r="I182" s="10" t="b">
        <v>0</v>
      </c>
      <c r="J182" s="10" t="b">
        <v>0</v>
      </c>
      <c r="K182" s="10" t="b">
        <v>0</v>
      </c>
      <c r="L182" s="10" t="b">
        <v>0</v>
      </c>
      <c r="M182" s="10" t="b">
        <v>0</v>
      </c>
      <c r="N182" s="10" t="b">
        <v>0</v>
      </c>
      <c r="O182" s="10" t="b">
        <v>0</v>
      </c>
      <c r="P182" s="10" t="b">
        <v>0</v>
      </c>
      <c r="Q182" s="10" t="b">
        <v>0</v>
      </c>
      <c r="R182" s="10" t="b">
        <v>0</v>
      </c>
      <c r="S182" s="91"/>
      <c r="T182" s="6"/>
      <c r="U182" s="6"/>
      <c r="V182" s="57" t="b">
        <v>0</v>
      </c>
      <c r="W182" s="4"/>
      <c r="X182" s="53"/>
      <c r="Y182" s="53"/>
      <c r="Z182" s="4"/>
      <c r="AA182" s="4"/>
      <c r="AB182" s="4"/>
      <c r="AC182" s="4"/>
      <c r="AD182" s="4"/>
      <c r="AE182" s="4"/>
      <c r="AF182" s="4"/>
    </row>
    <row r="183">
      <c r="A183" s="5" t="s">
        <v>22</v>
      </c>
      <c r="B183" s="155" t="s">
        <v>1757</v>
      </c>
      <c r="C183" s="4"/>
      <c r="D183" s="93"/>
      <c r="E183" s="8"/>
      <c r="F183" s="4"/>
      <c r="G183" s="4"/>
      <c r="H183" s="9" t="s">
        <v>716</v>
      </c>
      <c r="I183" s="10" t="b">
        <v>0</v>
      </c>
      <c r="J183" s="10" t="b">
        <v>0</v>
      </c>
      <c r="K183" s="10" t="b">
        <v>0</v>
      </c>
      <c r="L183" s="10" t="b">
        <v>0</v>
      </c>
      <c r="M183" s="10" t="b">
        <v>0</v>
      </c>
      <c r="N183" s="10" t="b">
        <v>0</v>
      </c>
      <c r="O183" s="10" t="b">
        <v>0</v>
      </c>
      <c r="P183" s="10" t="b">
        <v>0</v>
      </c>
      <c r="Q183" s="10" t="b">
        <v>0</v>
      </c>
      <c r="R183" s="10" t="b">
        <v>0</v>
      </c>
      <c r="S183" s="91"/>
      <c r="T183" s="6"/>
      <c r="U183" s="6"/>
      <c r="V183" s="57" t="b">
        <v>0</v>
      </c>
      <c r="W183" s="4"/>
      <c r="X183" s="53"/>
      <c r="Y183" s="53"/>
      <c r="Z183" s="4"/>
      <c r="AA183" s="4"/>
      <c r="AB183" s="4"/>
      <c r="AC183" s="4"/>
      <c r="AD183" s="4"/>
      <c r="AE183" s="4"/>
      <c r="AF183" s="4"/>
    </row>
    <row r="184">
      <c r="A184" s="5" t="s">
        <v>22</v>
      </c>
      <c r="B184" s="155" t="s">
        <v>1757</v>
      </c>
      <c r="C184" s="4"/>
      <c r="D184" s="93"/>
      <c r="E184" s="8"/>
      <c r="F184" s="4"/>
      <c r="G184" s="4"/>
      <c r="H184" s="9" t="s">
        <v>716</v>
      </c>
      <c r="I184" s="10" t="b">
        <v>0</v>
      </c>
      <c r="J184" s="10" t="b">
        <v>0</v>
      </c>
      <c r="K184" s="10" t="b">
        <v>0</v>
      </c>
      <c r="L184" s="10" t="b">
        <v>0</v>
      </c>
      <c r="M184" s="10" t="b">
        <v>0</v>
      </c>
      <c r="N184" s="10" t="b">
        <v>0</v>
      </c>
      <c r="O184" s="10" t="b">
        <v>0</v>
      </c>
      <c r="P184" s="10" t="b">
        <v>0</v>
      </c>
      <c r="Q184" s="10" t="b">
        <v>0</v>
      </c>
      <c r="R184" s="10" t="b">
        <v>0</v>
      </c>
      <c r="S184" s="91"/>
      <c r="T184" s="6"/>
      <c r="U184" s="6"/>
      <c r="V184" s="57" t="b">
        <v>0</v>
      </c>
      <c r="W184" s="4"/>
      <c r="X184" s="53"/>
      <c r="Y184" s="53"/>
      <c r="Z184" s="4"/>
      <c r="AA184" s="4"/>
      <c r="AB184" s="4"/>
      <c r="AC184" s="4"/>
      <c r="AD184" s="4"/>
      <c r="AE184" s="4"/>
      <c r="AF184" s="4"/>
    </row>
    <row r="185">
      <c r="A185" s="5" t="s">
        <v>22</v>
      </c>
      <c r="B185" s="155" t="s">
        <v>1757</v>
      </c>
      <c r="C185" s="4"/>
      <c r="D185" s="93"/>
      <c r="E185" s="8"/>
      <c r="F185" s="4"/>
      <c r="G185" s="4"/>
      <c r="H185" s="9" t="s">
        <v>716</v>
      </c>
      <c r="I185" s="10" t="b">
        <v>0</v>
      </c>
      <c r="J185" s="10" t="b">
        <v>0</v>
      </c>
      <c r="K185" s="10" t="b">
        <v>0</v>
      </c>
      <c r="L185" s="10" t="b">
        <v>0</v>
      </c>
      <c r="M185" s="10" t="b">
        <v>0</v>
      </c>
      <c r="N185" s="10" t="b">
        <v>0</v>
      </c>
      <c r="O185" s="10" t="b">
        <v>0</v>
      </c>
      <c r="P185" s="10" t="b">
        <v>0</v>
      </c>
      <c r="Q185" s="10" t="b">
        <v>0</v>
      </c>
      <c r="R185" s="10" t="b">
        <v>0</v>
      </c>
      <c r="S185" s="91"/>
      <c r="T185" s="6"/>
      <c r="U185" s="6"/>
      <c r="V185" s="57" t="b">
        <v>0</v>
      </c>
      <c r="W185" s="4"/>
      <c r="X185" s="53"/>
      <c r="Y185" s="53"/>
      <c r="Z185" s="4"/>
      <c r="AA185" s="4"/>
      <c r="AB185" s="4"/>
      <c r="AC185" s="4"/>
      <c r="AD185" s="4"/>
      <c r="AE185" s="4"/>
      <c r="AF185" s="4"/>
    </row>
    <row r="186">
      <c r="A186" s="5" t="s">
        <v>22</v>
      </c>
      <c r="B186" s="155" t="s">
        <v>1757</v>
      </c>
      <c r="C186" s="4"/>
      <c r="D186" s="93"/>
      <c r="E186" s="8"/>
      <c r="F186" s="4"/>
      <c r="G186" s="4"/>
      <c r="H186" s="9" t="s">
        <v>716</v>
      </c>
      <c r="I186" s="10" t="b">
        <v>0</v>
      </c>
      <c r="J186" s="10" t="b">
        <v>0</v>
      </c>
      <c r="K186" s="10" t="b">
        <v>0</v>
      </c>
      <c r="L186" s="10" t="b">
        <v>0</v>
      </c>
      <c r="M186" s="10" t="b">
        <v>0</v>
      </c>
      <c r="N186" s="10" t="b">
        <v>0</v>
      </c>
      <c r="O186" s="10" t="b">
        <v>0</v>
      </c>
      <c r="P186" s="10" t="b">
        <v>0</v>
      </c>
      <c r="Q186" s="10" t="b">
        <v>0</v>
      </c>
      <c r="R186" s="10" t="b">
        <v>0</v>
      </c>
      <c r="S186" s="91"/>
      <c r="T186" s="6"/>
      <c r="U186" s="6"/>
      <c r="V186" s="57" t="b">
        <v>0</v>
      </c>
      <c r="W186" s="4"/>
      <c r="X186" s="53"/>
      <c r="Y186" s="53"/>
      <c r="Z186" s="4"/>
      <c r="AA186" s="4"/>
      <c r="AB186" s="4"/>
      <c r="AC186" s="4"/>
      <c r="AD186" s="4"/>
      <c r="AE186" s="4"/>
      <c r="AF186" s="4"/>
    </row>
    <row r="187">
      <c r="A187" s="5" t="s">
        <v>22</v>
      </c>
      <c r="B187" s="155" t="s">
        <v>1757</v>
      </c>
      <c r="C187" s="4"/>
      <c r="D187" s="93"/>
      <c r="E187" s="8"/>
      <c r="F187" s="4"/>
      <c r="G187" s="4"/>
      <c r="H187" s="9" t="s">
        <v>716</v>
      </c>
      <c r="I187" s="10" t="b">
        <v>0</v>
      </c>
      <c r="J187" s="10" t="b">
        <v>0</v>
      </c>
      <c r="K187" s="10" t="b">
        <v>0</v>
      </c>
      <c r="L187" s="10" t="b">
        <v>0</v>
      </c>
      <c r="M187" s="10" t="b">
        <v>0</v>
      </c>
      <c r="N187" s="10" t="b">
        <v>0</v>
      </c>
      <c r="O187" s="10" t="b">
        <v>0</v>
      </c>
      <c r="P187" s="10" t="b">
        <v>0</v>
      </c>
      <c r="Q187" s="10" t="b">
        <v>0</v>
      </c>
      <c r="R187" s="10" t="b">
        <v>0</v>
      </c>
      <c r="S187" s="91"/>
      <c r="T187" s="6"/>
      <c r="U187" s="6"/>
      <c r="V187" s="57" t="b">
        <v>0</v>
      </c>
      <c r="W187" s="4"/>
      <c r="X187" s="53"/>
      <c r="Y187" s="53"/>
      <c r="Z187" s="4"/>
      <c r="AA187" s="4"/>
      <c r="AB187" s="4"/>
      <c r="AC187" s="4"/>
      <c r="AD187" s="4"/>
      <c r="AE187" s="4"/>
      <c r="AF187" s="4"/>
    </row>
    <row r="188">
      <c r="A188" s="5" t="s">
        <v>22</v>
      </c>
      <c r="B188" s="155" t="s">
        <v>1757</v>
      </c>
      <c r="C188" s="4"/>
      <c r="D188" s="93"/>
      <c r="E188" s="8"/>
      <c r="F188" s="4"/>
      <c r="G188" s="4"/>
      <c r="H188" s="9" t="s">
        <v>716</v>
      </c>
      <c r="I188" s="10" t="b">
        <v>0</v>
      </c>
      <c r="J188" s="10" t="b">
        <v>0</v>
      </c>
      <c r="K188" s="10" t="b">
        <v>0</v>
      </c>
      <c r="L188" s="10" t="b">
        <v>0</v>
      </c>
      <c r="M188" s="10" t="b">
        <v>0</v>
      </c>
      <c r="N188" s="10" t="b">
        <v>0</v>
      </c>
      <c r="O188" s="10" t="b">
        <v>0</v>
      </c>
      <c r="P188" s="10" t="b">
        <v>0</v>
      </c>
      <c r="Q188" s="10" t="b">
        <v>0</v>
      </c>
      <c r="R188" s="10" t="b">
        <v>0</v>
      </c>
      <c r="S188" s="91"/>
      <c r="T188" s="6"/>
      <c r="U188" s="6"/>
      <c r="V188" s="57" t="b">
        <v>0</v>
      </c>
      <c r="W188" s="4"/>
      <c r="X188" s="53"/>
      <c r="Y188" s="53"/>
      <c r="Z188" s="4"/>
      <c r="AA188" s="4"/>
      <c r="AB188" s="4"/>
      <c r="AC188" s="4"/>
      <c r="AD188" s="4"/>
      <c r="AE188" s="4"/>
      <c r="AF188" s="4"/>
    </row>
    <row r="189">
      <c r="A189" s="5" t="s">
        <v>22</v>
      </c>
      <c r="B189" s="155" t="s">
        <v>1757</v>
      </c>
      <c r="C189" s="4"/>
      <c r="D189" s="93"/>
      <c r="E189" s="8"/>
      <c r="F189" s="4"/>
      <c r="G189" s="4"/>
      <c r="H189" s="9" t="s">
        <v>716</v>
      </c>
      <c r="I189" s="10" t="b">
        <v>0</v>
      </c>
      <c r="J189" s="10" t="b">
        <v>0</v>
      </c>
      <c r="K189" s="10" t="b">
        <v>0</v>
      </c>
      <c r="L189" s="10" t="b">
        <v>0</v>
      </c>
      <c r="M189" s="10" t="b">
        <v>0</v>
      </c>
      <c r="N189" s="10" t="b">
        <v>0</v>
      </c>
      <c r="O189" s="10" t="b">
        <v>0</v>
      </c>
      <c r="P189" s="10" t="b">
        <v>0</v>
      </c>
      <c r="Q189" s="10" t="b">
        <v>0</v>
      </c>
      <c r="R189" s="10" t="b">
        <v>0</v>
      </c>
      <c r="S189" s="91"/>
      <c r="T189" s="6"/>
      <c r="U189" s="6"/>
      <c r="V189" s="57" t="b">
        <v>0</v>
      </c>
      <c r="W189" s="4"/>
      <c r="X189" s="53"/>
      <c r="Y189" s="53"/>
      <c r="Z189" s="4"/>
      <c r="AA189" s="4"/>
      <c r="AB189" s="4"/>
      <c r="AC189" s="4"/>
      <c r="AD189" s="4"/>
      <c r="AE189" s="4"/>
      <c r="AF189" s="4"/>
    </row>
    <row r="190">
      <c r="A190" s="5" t="s">
        <v>22</v>
      </c>
      <c r="B190" s="155" t="s">
        <v>1757</v>
      </c>
      <c r="C190" s="4"/>
      <c r="D190" s="93"/>
      <c r="E190" s="8"/>
      <c r="F190" s="4"/>
      <c r="G190" s="4"/>
      <c r="H190" s="9" t="s">
        <v>716</v>
      </c>
      <c r="I190" s="10" t="b">
        <v>0</v>
      </c>
      <c r="J190" s="10" t="b">
        <v>0</v>
      </c>
      <c r="K190" s="10" t="b">
        <v>0</v>
      </c>
      <c r="L190" s="10" t="b">
        <v>0</v>
      </c>
      <c r="M190" s="10" t="b">
        <v>0</v>
      </c>
      <c r="N190" s="10" t="b">
        <v>0</v>
      </c>
      <c r="O190" s="10" t="b">
        <v>0</v>
      </c>
      <c r="P190" s="10" t="b">
        <v>0</v>
      </c>
      <c r="Q190" s="10" t="b">
        <v>0</v>
      </c>
      <c r="R190" s="10" t="b">
        <v>0</v>
      </c>
      <c r="S190" s="91"/>
      <c r="T190" s="6"/>
      <c r="U190" s="6"/>
      <c r="V190" s="57" t="b">
        <v>0</v>
      </c>
      <c r="W190" s="4"/>
      <c r="X190" s="53"/>
      <c r="Y190" s="53"/>
      <c r="Z190" s="4"/>
      <c r="AA190" s="4"/>
      <c r="AB190" s="4"/>
      <c r="AC190" s="4"/>
      <c r="AD190" s="4"/>
      <c r="AE190" s="4"/>
      <c r="AF190" s="4"/>
    </row>
    <row r="191">
      <c r="A191" s="5" t="s">
        <v>22</v>
      </c>
      <c r="B191" s="155" t="s">
        <v>1757</v>
      </c>
      <c r="C191" s="4"/>
      <c r="D191" s="93"/>
      <c r="E191" s="8"/>
      <c r="F191" s="4"/>
      <c r="G191" s="4"/>
      <c r="H191" s="9" t="s">
        <v>716</v>
      </c>
      <c r="I191" s="10" t="b">
        <v>0</v>
      </c>
      <c r="J191" s="10" t="b">
        <v>0</v>
      </c>
      <c r="K191" s="10" t="b">
        <v>0</v>
      </c>
      <c r="L191" s="10" t="b">
        <v>0</v>
      </c>
      <c r="M191" s="10" t="b">
        <v>0</v>
      </c>
      <c r="N191" s="10" t="b">
        <v>0</v>
      </c>
      <c r="O191" s="10" t="b">
        <v>0</v>
      </c>
      <c r="P191" s="10" t="b">
        <v>0</v>
      </c>
      <c r="Q191" s="10" t="b">
        <v>0</v>
      </c>
      <c r="R191" s="10" t="b">
        <v>0</v>
      </c>
      <c r="S191" s="91"/>
      <c r="T191" s="6"/>
      <c r="U191" s="6"/>
      <c r="V191" s="57" t="b">
        <v>0</v>
      </c>
      <c r="W191" s="4"/>
      <c r="X191" s="53"/>
      <c r="Y191" s="53"/>
      <c r="Z191" s="4"/>
      <c r="AA191" s="4"/>
      <c r="AB191" s="4"/>
      <c r="AC191" s="4"/>
      <c r="AD191" s="4"/>
      <c r="AE191" s="4"/>
      <c r="AF191" s="4"/>
    </row>
    <row r="192">
      <c r="A192" s="5" t="s">
        <v>22</v>
      </c>
      <c r="B192" s="155" t="s">
        <v>1757</v>
      </c>
      <c r="C192" s="4"/>
      <c r="D192" s="93"/>
      <c r="E192" s="8"/>
      <c r="F192" s="4"/>
      <c r="G192" s="4"/>
      <c r="H192" s="9" t="s">
        <v>716</v>
      </c>
      <c r="I192" s="10" t="b">
        <v>0</v>
      </c>
      <c r="J192" s="10" t="b">
        <v>0</v>
      </c>
      <c r="K192" s="10" t="b">
        <v>0</v>
      </c>
      <c r="L192" s="10" t="b">
        <v>0</v>
      </c>
      <c r="M192" s="10" t="b">
        <v>0</v>
      </c>
      <c r="N192" s="10" t="b">
        <v>0</v>
      </c>
      <c r="O192" s="10" t="b">
        <v>0</v>
      </c>
      <c r="P192" s="10" t="b">
        <v>0</v>
      </c>
      <c r="Q192" s="10" t="b">
        <v>0</v>
      </c>
      <c r="R192" s="10" t="b">
        <v>0</v>
      </c>
      <c r="S192" s="91"/>
      <c r="T192" s="6"/>
      <c r="U192" s="6"/>
      <c r="V192" s="57" t="b">
        <v>0</v>
      </c>
      <c r="W192" s="4"/>
      <c r="X192" s="53"/>
      <c r="Y192" s="53"/>
      <c r="Z192" s="4"/>
      <c r="AA192" s="4"/>
      <c r="AB192" s="4"/>
      <c r="AC192" s="4"/>
      <c r="AD192" s="4"/>
      <c r="AE192" s="4"/>
      <c r="AF192" s="4"/>
    </row>
    <row r="193">
      <c r="A193" s="5" t="s">
        <v>22</v>
      </c>
      <c r="B193" s="155" t="s">
        <v>1757</v>
      </c>
      <c r="C193" s="4"/>
      <c r="D193" s="93"/>
      <c r="E193" s="8"/>
      <c r="F193" s="4"/>
      <c r="G193" s="4"/>
      <c r="H193" s="9" t="s">
        <v>716</v>
      </c>
      <c r="I193" s="10" t="b">
        <v>0</v>
      </c>
      <c r="J193" s="10" t="b">
        <v>0</v>
      </c>
      <c r="K193" s="10" t="b">
        <v>0</v>
      </c>
      <c r="L193" s="10" t="b">
        <v>0</v>
      </c>
      <c r="M193" s="10" t="b">
        <v>0</v>
      </c>
      <c r="N193" s="10" t="b">
        <v>0</v>
      </c>
      <c r="O193" s="10" t="b">
        <v>0</v>
      </c>
      <c r="P193" s="10" t="b">
        <v>0</v>
      </c>
      <c r="Q193" s="10" t="b">
        <v>0</v>
      </c>
      <c r="R193" s="10" t="b">
        <v>0</v>
      </c>
      <c r="S193" s="91"/>
      <c r="T193" s="6"/>
      <c r="U193" s="6"/>
      <c r="V193" s="57" t="b">
        <v>0</v>
      </c>
      <c r="W193" s="4"/>
      <c r="X193" s="53"/>
      <c r="Y193" s="53"/>
      <c r="Z193" s="4"/>
      <c r="AA193" s="4"/>
      <c r="AB193" s="4"/>
      <c r="AC193" s="4"/>
      <c r="AD193" s="4"/>
      <c r="AE193" s="4"/>
      <c r="AF193" s="4"/>
    </row>
    <row r="194">
      <c r="A194" s="5" t="s">
        <v>22</v>
      </c>
      <c r="B194" s="155" t="s">
        <v>1757</v>
      </c>
      <c r="C194" s="4"/>
      <c r="D194" s="93"/>
      <c r="E194" s="8"/>
      <c r="F194" s="4"/>
      <c r="G194" s="4"/>
      <c r="H194" s="9" t="s">
        <v>716</v>
      </c>
      <c r="I194" s="10" t="b">
        <v>0</v>
      </c>
      <c r="J194" s="10" t="b">
        <v>0</v>
      </c>
      <c r="K194" s="10" t="b">
        <v>0</v>
      </c>
      <c r="L194" s="10" t="b">
        <v>0</v>
      </c>
      <c r="M194" s="10" t="b">
        <v>0</v>
      </c>
      <c r="N194" s="10" t="b">
        <v>0</v>
      </c>
      <c r="O194" s="10" t="b">
        <v>0</v>
      </c>
      <c r="P194" s="10" t="b">
        <v>0</v>
      </c>
      <c r="Q194" s="10" t="b">
        <v>0</v>
      </c>
      <c r="R194" s="10" t="b">
        <v>0</v>
      </c>
      <c r="S194" s="91"/>
      <c r="T194" s="6"/>
      <c r="U194" s="6"/>
      <c r="V194" s="57" t="b">
        <v>0</v>
      </c>
      <c r="W194" s="4"/>
      <c r="X194" s="53"/>
      <c r="Y194" s="53"/>
      <c r="Z194" s="4"/>
      <c r="AA194" s="4"/>
      <c r="AB194" s="4"/>
      <c r="AC194" s="4"/>
      <c r="AD194" s="4"/>
      <c r="AE194" s="4"/>
      <c r="AF194" s="4"/>
    </row>
    <row r="195">
      <c r="A195" s="5" t="s">
        <v>22</v>
      </c>
      <c r="B195" s="155" t="s">
        <v>1757</v>
      </c>
      <c r="C195" s="4"/>
      <c r="D195" s="93"/>
      <c r="E195" s="8"/>
      <c r="F195" s="4"/>
      <c r="G195" s="4"/>
      <c r="H195" s="9" t="s">
        <v>716</v>
      </c>
      <c r="I195" s="10" t="b">
        <v>0</v>
      </c>
      <c r="J195" s="10" t="b">
        <v>0</v>
      </c>
      <c r="K195" s="10" t="b">
        <v>0</v>
      </c>
      <c r="L195" s="10" t="b">
        <v>0</v>
      </c>
      <c r="M195" s="10" t="b">
        <v>0</v>
      </c>
      <c r="N195" s="10" t="b">
        <v>0</v>
      </c>
      <c r="O195" s="10" t="b">
        <v>0</v>
      </c>
      <c r="P195" s="10" t="b">
        <v>0</v>
      </c>
      <c r="Q195" s="10" t="b">
        <v>0</v>
      </c>
      <c r="R195" s="10" t="b">
        <v>0</v>
      </c>
      <c r="S195" s="91"/>
      <c r="T195" s="6"/>
      <c r="U195" s="6"/>
      <c r="V195" s="57" t="b">
        <v>0</v>
      </c>
      <c r="W195" s="4"/>
      <c r="X195" s="53"/>
      <c r="Y195" s="53"/>
      <c r="Z195" s="4"/>
      <c r="AA195" s="4"/>
      <c r="AB195" s="4"/>
      <c r="AC195" s="4"/>
      <c r="AD195" s="4"/>
      <c r="AE195" s="4"/>
      <c r="AF195" s="4"/>
    </row>
    <row r="196">
      <c r="A196" s="5" t="s">
        <v>22</v>
      </c>
      <c r="B196" s="155" t="s">
        <v>1757</v>
      </c>
      <c r="C196" s="4"/>
      <c r="D196" s="93"/>
      <c r="E196" s="8"/>
      <c r="F196" s="4"/>
      <c r="G196" s="4"/>
      <c r="H196" s="9" t="s">
        <v>716</v>
      </c>
      <c r="I196" s="10" t="b">
        <v>0</v>
      </c>
      <c r="J196" s="10" t="b">
        <v>0</v>
      </c>
      <c r="K196" s="10" t="b">
        <v>0</v>
      </c>
      <c r="L196" s="10" t="b">
        <v>0</v>
      </c>
      <c r="M196" s="10" t="b">
        <v>0</v>
      </c>
      <c r="N196" s="10" t="b">
        <v>0</v>
      </c>
      <c r="O196" s="10" t="b">
        <v>0</v>
      </c>
      <c r="P196" s="10" t="b">
        <v>0</v>
      </c>
      <c r="Q196" s="10" t="b">
        <v>0</v>
      </c>
      <c r="R196" s="10" t="b">
        <v>0</v>
      </c>
      <c r="S196" s="91"/>
      <c r="T196" s="6"/>
      <c r="U196" s="6"/>
      <c r="V196" s="57" t="b">
        <v>0</v>
      </c>
      <c r="W196" s="4"/>
      <c r="X196" s="53"/>
      <c r="Y196" s="53"/>
      <c r="Z196" s="4"/>
      <c r="AA196" s="4"/>
      <c r="AB196" s="4"/>
      <c r="AC196" s="4"/>
      <c r="AD196" s="4"/>
      <c r="AE196" s="4"/>
      <c r="AF196" s="4"/>
    </row>
    <row r="197">
      <c r="A197" s="5" t="s">
        <v>22</v>
      </c>
      <c r="B197" s="155" t="s">
        <v>1757</v>
      </c>
      <c r="C197" s="4"/>
      <c r="D197" s="93"/>
      <c r="E197" s="8"/>
      <c r="F197" s="4"/>
      <c r="G197" s="4"/>
      <c r="H197" s="9" t="s">
        <v>716</v>
      </c>
      <c r="I197" s="10" t="b">
        <v>0</v>
      </c>
      <c r="J197" s="10" t="b">
        <v>0</v>
      </c>
      <c r="K197" s="10" t="b">
        <v>0</v>
      </c>
      <c r="L197" s="10" t="b">
        <v>0</v>
      </c>
      <c r="M197" s="10" t="b">
        <v>0</v>
      </c>
      <c r="N197" s="10" t="b">
        <v>0</v>
      </c>
      <c r="O197" s="10" t="b">
        <v>0</v>
      </c>
      <c r="P197" s="10" t="b">
        <v>0</v>
      </c>
      <c r="Q197" s="10" t="b">
        <v>0</v>
      </c>
      <c r="R197" s="10" t="b">
        <v>0</v>
      </c>
      <c r="S197" s="91"/>
      <c r="T197" s="6"/>
      <c r="U197" s="6"/>
      <c r="V197" s="57" t="b">
        <v>0</v>
      </c>
      <c r="W197" s="4"/>
      <c r="X197" s="53"/>
      <c r="Y197" s="53"/>
      <c r="Z197" s="4"/>
      <c r="AA197" s="4"/>
      <c r="AB197" s="4"/>
      <c r="AC197" s="4"/>
      <c r="AD197" s="4"/>
      <c r="AE197" s="4"/>
      <c r="AF197" s="4"/>
    </row>
    <row r="198">
      <c r="A198" s="5" t="s">
        <v>22</v>
      </c>
      <c r="B198" s="155" t="s">
        <v>1757</v>
      </c>
      <c r="C198" s="4"/>
      <c r="D198" s="93"/>
      <c r="E198" s="8"/>
      <c r="F198" s="4"/>
      <c r="G198" s="4"/>
      <c r="H198" s="9" t="s">
        <v>716</v>
      </c>
      <c r="I198" s="10" t="b">
        <v>0</v>
      </c>
      <c r="J198" s="10" t="b">
        <v>0</v>
      </c>
      <c r="K198" s="10" t="b">
        <v>0</v>
      </c>
      <c r="L198" s="10" t="b">
        <v>0</v>
      </c>
      <c r="M198" s="10" t="b">
        <v>0</v>
      </c>
      <c r="N198" s="10" t="b">
        <v>0</v>
      </c>
      <c r="O198" s="10" t="b">
        <v>0</v>
      </c>
      <c r="P198" s="10" t="b">
        <v>0</v>
      </c>
      <c r="Q198" s="10" t="b">
        <v>0</v>
      </c>
      <c r="R198" s="10" t="b">
        <v>0</v>
      </c>
      <c r="S198" s="91"/>
      <c r="T198" s="6"/>
      <c r="U198" s="6"/>
      <c r="V198" s="57" t="b">
        <v>0</v>
      </c>
      <c r="W198" s="4"/>
      <c r="X198" s="53"/>
      <c r="Y198" s="53"/>
      <c r="Z198" s="4"/>
      <c r="AA198" s="4"/>
      <c r="AB198" s="4"/>
      <c r="AC198" s="4"/>
      <c r="AD198" s="4"/>
      <c r="AE198" s="4"/>
      <c r="AF198" s="4"/>
    </row>
    <row r="199">
      <c r="A199" s="5" t="s">
        <v>22</v>
      </c>
      <c r="B199" s="155" t="s">
        <v>1757</v>
      </c>
      <c r="C199" s="4"/>
      <c r="D199" s="93"/>
      <c r="E199" s="8"/>
      <c r="F199" s="4"/>
      <c r="G199" s="4"/>
      <c r="H199" s="9" t="s">
        <v>716</v>
      </c>
      <c r="I199" s="10" t="b">
        <v>0</v>
      </c>
      <c r="J199" s="10" t="b">
        <v>0</v>
      </c>
      <c r="K199" s="10" t="b">
        <v>0</v>
      </c>
      <c r="L199" s="10" t="b">
        <v>0</v>
      </c>
      <c r="M199" s="10" t="b">
        <v>0</v>
      </c>
      <c r="N199" s="10" t="b">
        <v>0</v>
      </c>
      <c r="O199" s="10" t="b">
        <v>0</v>
      </c>
      <c r="P199" s="10" t="b">
        <v>0</v>
      </c>
      <c r="Q199" s="10" t="b">
        <v>0</v>
      </c>
      <c r="R199" s="10" t="b">
        <v>0</v>
      </c>
      <c r="S199" s="91"/>
      <c r="T199" s="6"/>
      <c r="U199" s="6"/>
      <c r="V199" s="57" t="b">
        <v>0</v>
      </c>
      <c r="W199" s="4"/>
      <c r="X199" s="53"/>
      <c r="Y199" s="53"/>
      <c r="Z199" s="4"/>
      <c r="AA199" s="4"/>
      <c r="AB199" s="4"/>
      <c r="AC199" s="4"/>
      <c r="AD199" s="4"/>
      <c r="AE199" s="4"/>
      <c r="AF199" s="4"/>
    </row>
    <row r="200">
      <c r="A200" s="5" t="s">
        <v>22</v>
      </c>
      <c r="B200" s="155" t="s">
        <v>1757</v>
      </c>
      <c r="C200" s="4"/>
      <c r="D200" s="93"/>
      <c r="E200" s="8"/>
      <c r="F200" s="4"/>
      <c r="G200" s="4"/>
      <c r="H200" s="9" t="s">
        <v>716</v>
      </c>
      <c r="I200" s="10" t="b">
        <v>0</v>
      </c>
      <c r="J200" s="10" t="b">
        <v>0</v>
      </c>
      <c r="K200" s="10" t="b">
        <v>0</v>
      </c>
      <c r="L200" s="10" t="b">
        <v>0</v>
      </c>
      <c r="M200" s="10" t="b">
        <v>0</v>
      </c>
      <c r="N200" s="10" t="b">
        <v>0</v>
      </c>
      <c r="O200" s="10" t="b">
        <v>0</v>
      </c>
      <c r="P200" s="10" t="b">
        <v>0</v>
      </c>
      <c r="Q200" s="10" t="b">
        <v>0</v>
      </c>
      <c r="R200" s="10" t="b">
        <v>0</v>
      </c>
      <c r="S200" s="91"/>
      <c r="T200" s="6"/>
      <c r="U200" s="6"/>
      <c r="V200" s="57" t="b">
        <v>0</v>
      </c>
      <c r="W200" s="4"/>
      <c r="X200" s="53"/>
      <c r="Y200" s="53"/>
      <c r="Z200" s="4"/>
      <c r="AA200" s="4"/>
      <c r="AB200" s="4"/>
      <c r="AC200" s="4"/>
      <c r="AD200" s="4"/>
      <c r="AE200" s="4"/>
      <c r="AF200" s="4"/>
    </row>
    <row r="201">
      <c r="A201" s="5" t="s">
        <v>22</v>
      </c>
      <c r="B201" s="155" t="s">
        <v>1757</v>
      </c>
      <c r="C201" s="4"/>
      <c r="D201" s="93"/>
      <c r="E201" s="8"/>
      <c r="F201" s="4"/>
      <c r="G201" s="4"/>
      <c r="H201" s="9" t="s">
        <v>716</v>
      </c>
      <c r="I201" s="10" t="b">
        <v>0</v>
      </c>
      <c r="J201" s="10" t="b">
        <v>0</v>
      </c>
      <c r="K201" s="10" t="b">
        <v>0</v>
      </c>
      <c r="L201" s="10" t="b">
        <v>0</v>
      </c>
      <c r="M201" s="10" t="b">
        <v>0</v>
      </c>
      <c r="N201" s="10" t="b">
        <v>0</v>
      </c>
      <c r="O201" s="10" t="b">
        <v>0</v>
      </c>
      <c r="P201" s="10" t="b">
        <v>0</v>
      </c>
      <c r="Q201" s="10" t="b">
        <v>0</v>
      </c>
      <c r="R201" s="10" t="b">
        <v>0</v>
      </c>
      <c r="S201" s="91"/>
      <c r="T201" s="6"/>
      <c r="U201" s="6"/>
      <c r="V201" s="57" t="b">
        <v>0</v>
      </c>
      <c r="W201" s="4"/>
      <c r="X201" s="53"/>
      <c r="Y201" s="53"/>
      <c r="Z201" s="4"/>
      <c r="AA201" s="4"/>
      <c r="AB201" s="4"/>
      <c r="AC201" s="4"/>
      <c r="AD201" s="4"/>
      <c r="AE201" s="4"/>
      <c r="AF201" s="4"/>
    </row>
    <row r="202">
      <c r="A202" s="5" t="s">
        <v>22</v>
      </c>
      <c r="B202" s="155" t="s">
        <v>1757</v>
      </c>
      <c r="C202" s="4"/>
      <c r="D202" s="93"/>
      <c r="E202" s="8"/>
      <c r="F202" s="4"/>
      <c r="G202" s="4"/>
      <c r="H202" s="9" t="s">
        <v>716</v>
      </c>
      <c r="I202" s="10" t="b">
        <v>0</v>
      </c>
      <c r="J202" s="10" t="b">
        <v>0</v>
      </c>
      <c r="K202" s="10" t="b">
        <v>0</v>
      </c>
      <c r="L202" s="10" t="b">
        <v>0</v>
      </c>
      <c r="M202" s="10" t="b">
        <v>0</v>
      </c>
      <c r="N202" s="10" t="b">
        <v>0</v>
      </c>
      <c r="O202" s="10" t="b">
        <v>0</v>
      </c>
      <c r="P202" s="10" t="b">
        <v>0</v>
      </c>
      <c r="Q202" s="10" t="b">
        <v>0</v>
      </c>
      <c r="R202" s="10" t="b">
        <v>0</v>
      </c>
      <c r="S202" s="91"/>
      <c r="T202" s="6"/>
      <c r="U202" s="6"/>
      <c r="V202" s="57" t="b">
        <v>0</v>
      </c>
      <c r="W202" s="4"/>
      <c r="X202" s="53"/>
      <c r="Y202" s="53"/>
      <c r="Z202" s="4"/>
      <c r="AA202" s="4"/>
      <c r="AB202" s="4"/>
      <c r="AC202" s="4"/>
      <c r="AD202" s="4"/>
      <c r="AE202" s="4"/>
      <c r="AF202" s="4"/>
    </row>
    <row r="203">
      <c r="A203" s="5" t="s">
        <v>22</v>
      </c>
      <c r="B203" s="155" t="s">
        <v>1757</v>
      </c>
      <c r="C203" s="4"/>
      <c r="D203" s="93"/>
      <c r="E203" s="8"/>
      <c r="F203" s="4"/>
      <c r="G203" s="4"/>
      <c r="H203" s="9" t="s">
        <v>716</v>
      </c>
      <c r="I203" s="10" t="b">
        <v>0</v>
      </c>
      <c r="J203" s="10" t="b">
        <v>0</v>
      </c>
      <c r="K203" s="10" t="b">
        <v>0</v>
      </c>
      <c r="L203" s="10" t="b">
        <v>0</v>
      </c>
      <c r="M203" s="10" t="b">
        <v>0</v>
      </c>
      <c r="N203" s="10" t="b">
        <v>0</v>
      </c>
      <c r="O203" s="10" t="b">
        <v>0</v>
      </c>
      <c r="P203" s="10" t="b">
        <v>0</v>
      </c>
      <c r="Q203" s="10" t="b">
        <v>0</v>
      </c>
      <c r="R203" s="10" t="b">
        <v>0</v>
      </c>
      <c r="S203" s="91"/>
      <c r="T203" s="6"/>
      <c r="U203" s="6"/>
      <c r="V203" s="57" t="b">
        <v>0</v>
      </c>
      <c r="W203" s="4"/>
      <c r="X203" s="53"/>
      <c r="Y203" s="53"/>
      <c r="Z203" s="4"/>
      <c r="AA203" s="4"/>
      <c r="AB203" s="4"/>
      <c r="AC203" s="4"/>
      <c r="AD203" s="4"/>
      <c r="AE203" s="4"/>
      <c r="AF203" s="4"/>
    </row>
    <row r="204">
      <c r="A204" s="5" t="s">
        <v>22</v>
      </c>
      <c r="B204" s="155" t="s">
        <v>1757</v>
      </c>
      <c r="C204" s="4"/>
      <c r="D204" s="93"/>
      <c r="E204" s="8"/>
      <c r="F204" s="4"/>
      <c r="G204" s="4"/>
      <c r="H204" s="9" t="s">
        <v>716</v>
      </c>
      <c r="I204" s="10" t="b">
        <v>0</v>
      </c>
      <c r="J204" s="10" t="b">
        <v>0</v>
      </c>
      <c r="K204" s="10" t="b">
        <v>0</v>
      </c>
      <c r="L204" s="10" t="b">
        <v>0</v>
      </c>
      <c r="M204" s="10" t="b">
        <v>0</v>
      </c>
      <c r="N204" s="10" t="b">
        <v>0</v>
      </c>
      <c r="O204" s="10" t="b">
        <v>0</v>
      </c>
      <c r="P204" s="10" t="b">
        <v>0</v>
      </c>
      <c r="Q204" s="10" t="b">
        <v>0</v>
      </c>
      <c r="R204" s="10" t="b">
        <v>0</v>
      </c>
      <c r="S204" s="91"/>
      <c r="T204" s="6"/>
      <c r="U204" s="6"/>
      <c r="V204" s="57" t="b">
        <v>0</v>
      </c>
      <c r="W204" s="4"/>
      <c r="X204" s="53"/>
      <c r="Y204" s="53"/>
      <c r="Z204" s="4"/>
      <c r="AA204" s="4"/>
      <c r="AB204" s="4"/>
      <c r="AC204" s="4"/>
      <c r="AD204" s="4"/>
      <c r="AE204" s="4"/>
      <c r="AF204" s="4"/>
    </row>
    <row r="205">
      <c r="A205" s="5" t="s">
        <v>22</v>
      </c>
      <c r="B205" s="155" t="s">
        <v>1757</v>
      </c>
      <c r="C205" s="4"/>
      <c r="D205" s="93"/>
      <c r="E205" s="8"/>
      <c r="F205" s="4"/>
      <c r="G205" s="4"/>
      <c r="H205" s="9" t="s">
        <v>716</v>
      </c>
      <c r="I205" s="10" t="b">
        <v>0</v>
      </c>
      <c r="J205" s="10" t="b">
        <v>0</v>
      </c>
      <c r="K205" s="10" t="b">
        <v>0</v>
      </c>
      <c r="L205" s="10" t="b">
        <v>0</v>
      </c>
      <c r="M205" s="10" t="b">
        <v>0</v>
      </c>
      <c r="N205" s="10" t="b">
        <v>0</v>
      </c>
      <c r="O205" s="10" t="b">
        <v>0</v>
      </c>
      <c r="P205" s="10" t="b">
        <v>0</v>
      </c>
      <c r="Q205" s="10" t="b">
        <v>0</v>
      </c>
      <c r="R205" s="10" t="b">
        <v>0</v>
      </c>
      <c r="S205" s="91"/>
      <c r="T205" s="6"/>
      <c r="U205" s="6"/>
      <c r="V205" s="57" t="b">
        <v>0</v>
      </c>
      <c r="W205" s="4"/>
      <c r="X205" s="53"/>
      <c r="Y205" s="53"/>
      <c r="Z205" s="4"/>
      <c r="AA205" s="4"/>
      <c r="AB205" s="4"/>
      <c r="AC205" s="4"/>
      <c r="AD205" s="4"/>
      <c r="AE205" s="4"/>
      <c r="AF205" s="4"/>
    </row>
    <row r="206">
      <c r="A206" s="4"/>
      <c r="B206" s="4"/>
      <c r="C206" s="4"/>
      <c r="D206" s="9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0" customHeight="1">
      <c r="A207" s="4"/>
      <c r="B207" s="4"/>
      <c r="C207" s="4"/>
      <c r="D207" s="9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4"/>
      <c r="B208" s="4"/>
      <c r="C208" s="4"/>
      <c r="D208" s="9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4"/>
      <c r="B209" s="4"/>
      <c r="C209" s="4"/>
      <c r="D209" s="9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4"/>
      <c r="B210" s="4"/>
      <c r="C210" s="4"/>
      <c r="D210" s="9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4"/>
      <c r="B211" s="4"/>
      <c r="C211" s="4"/>
      <c r="D211" s="9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4"/>
      <c r="B212" s="4"/>
      <c r="C212" s="4"/>
      <c r="D212" s="9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4"/>
      <c r="B213" s="4"/>
      <c r="C213" s="4"/>
      <c r="D213" s="9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4"/>
      <c r="B214" s="4"/>
      <c r="C214" s="4"/>
      <c r="D214" s="9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4"/>
      <c r="B215" s="4"/>
      <c r="C215" s="4"/>
      <c r="D215" s="9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4"/>
      <c r="B216" s="4"/>
      <c r="C216" s="4"/>
      <c r="D216" s="9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4"/>
      <c r="B217" s="4"/>
      <c r="C217" s="4"/>
      <c r="D217" s="9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4"/>
      <c r="B218" s="4"/>
      <c r="C218" s="4"/>
      <c r="D218" s="9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4"/>
      <c r="B219" s="4"/>
      <c r="C219" s="4"/>
      <c r="D219" s="9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4"/>
      <c r="B220" s="4"/>
      <c r="C220" s="4"/>
      <c r="D220" s="9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4"/>
      <c r="B221" s="4"/>
      <c r="C221" s="4"/>
      <c r="D221" s="9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4"/>
      <c r="B222" s="4"/>
      <c r="C222" s="4"/>
      <c r="D222" s="9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4"/>
      <c r="B223" s="4"/>
      <c r="C223" s="4"/>
      <c r="D223" s="9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4"/>
      <c r="B224" s="4"/>
      <c r="C224" s="4"/>
      <c r="D224" s="9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4"/>
      <c r="B225" s="4"/>
      <c r="C225" s="4"/>
      <c r="D225" s="9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4"/>
      <c r="B226" s="4"/>
      <c r="C226" s="4"/>
      <c r="D226" s="9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4"/>
      <c r="B227" s="4"/>
      <c r="C227" s="4"/>
      <c r="D227" s="9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4"/>
      <c r="B228" s="4"/>
      <c r="C228" s="4"/>
      <c r="D228" s="9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4"/>
      <c r="B229" s="4"/>
      <c r="C229" s="4"/>
      <c r="D229" s="9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4"/>
      <c r="B230" s="4"/>
      <c r="C230" s="4"/>
      <c r="D230" s="9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4"/>
      <c r="B231" s="4"/>
      <c r="C231" s="4"/>
      <c r="D231" s="9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4"/>
      <c r="B232" s="4"/>
      <c r="C232" s="4"/>
      <c r="D232" s="9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4"/>
      <c r="B233" s="4"/>
      <c r="C233" s="4"/>
      <c r="D233" s="9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4"/>
      <c r="B234" s="4"/>
      <c r="C234" s="4"/>
      <c r="D234" s="9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4"/>
      <c r="B235" s="4"/>
      <c r="C235" s="4"/>
      <c r="D235" s="9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4"/>
      <c r="B236" s="4"/>
      <c r="C236" s="4"/>
      <c r="D236" s="9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4"/>
      <c r="B237" s="4"/>
      <c r="C237" s="4"/>
      <c r="D237" s="9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4"/>
      <c r="B238" s="4"/>
      <c r="C238" s="4"/>
      <c r="D238" s="9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4"/>
      <c r="B239" s="4"/>
      <c r="C239" s="4"/>
      <c r="D239" s="9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4"/>
      <c r="B240" s="4"/>
      <c r="C240" s="4"/>
      <c r="D240" s="9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4"/>
      <c r="B241" s="4"/>
      <c r="C241" s="4"/>
      <c r="D241" s="9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4"/>
      <c r="B242" s="4"/>
      <c r="C242" s="4"/>
      <c r="D242" s="9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4"/>
      <c r="B243" s="4"/>
      <c r="C243" s="4"/>
      <c r="D243" s="9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4"/>
      <c r="B244" s="4"/>
      <c r="C244" s="4"/>
      <c r="D244" s="9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4"/>
      <c r="B245" s="4"/>
      <c r="C245" s="4"/>
      <c r="D245" s="9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4"/>
      <c r="B246" s="4"/>
      <c r="C246" s="4"/>
      <c r="D246" s="9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4"/>
      <c r="B247" s="4"/>
      <c r="C247" s="4"/>
      <c r="D247" s="9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4"/>
      <c r="B248" s="4"/>
      <c r="C248" s="4"/>
      <c r="D248" s="9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4"/>
      <c r="B249" s="4"/>
      <c r="C249" s="4"/>
      <c r="D249" s="9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4"/>
      <c r="B250" s="4"/>
      <c r="C250" s="4"/>
      <c r="D250" s="9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4"/>
      <c r="B251" s="4"/>
      <c r="C251" s="4"/>
      <c r="D251" s="9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4"/>
      <c r="B252" s="4"/>
      <c r="C252" s="4"/>
      <c r="D252" s="9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4"/>
      <c r="B253" s="4"/>
      <c r="C253" s="4"/>
      <c r="D253" s="9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4"/>
      <c r="B254" s="4"/>
      <c r="C254" s="4"/>
      <c r="D254" s="9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4"/>
      <c r="B255" s="4"/>
      <c r="C255" s="4"/>
      <c r="D255" s="9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4"/>
      <c r="B256" s="4"/>
      <c r="C256" s="4"/>
      <c r="D256" s="9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4"/>
      <c r="B257" s="4"/>
      <c r="C257" s="4"/>
      <c r="D257" s="9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4"/>
      <c r="B258" s="4"/>
      <c r="C258" s="4"/>
      <c r="D258" s="9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4"/>
      <c r="B259" s="4"/>
      <c r="C259" s="4"/>
      <c r="D259" s="9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4"/>
      <c r="B260" s="4"/>
      <c r="C260" s="4"/>
      <c r="D260" s="9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4"/>
      <c r="B261" s="4"/>
      <c r="C261" s="4"/>
      <c r="D261" s="9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4"/>
      <c r="B262" s="4"/>
      <c r="C262" s="4"/>
      <c r="D262" s="9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4"/>
      <c r="B263" s="4"/>
      <c r="C263" s="4"/>
      <c r="D263" s="9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4"/>
      <c r="B264" s="4"/>
      <c r="C264" s="4"/>
      <c r="D264" s="9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4"/>
      <c r="B265" s="4"/>
      <c r="C265" s="4"/>
      <c r="D265" s="9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4"/>
      <c r="B266" s="4"/>
      <c r="C266" s="4"/>
      <c r="D266" s="9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4"/>
      <c r="B267" s="4"/>
      <c r="C267" s="4"/>
      <c r="D267" s="9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4"/>
      <c r="B268" s="4"/>
      <c r="C268" s="4"/>
      <c r="D268" s="9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4"/>
      <c r="B269" s="4"/>
      <c r="C269" s="4"/>
      <c r="D269" s="9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4"/>
      <c r="B270" s="4"/>
      <c r="C270" s="4"/>
      <c r="D270" s="9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4"/>
      <c r="B271" s="4"/>
      <c r="C271" s="4"/>
      <c r="D271" s="9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4"/>
      <c r="B272" s="4"/>
      <c r="C272" s="4"/>
      <c r="D272" s="9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4"/>
      <c r="B273" s="4"/>
      <c r="C273" s="4"/>
      <c r="D273" s="9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4"/>
      <c r="B274" s="4"/>
      <c r="C274" s="4"/>
      <c r="D274" s="9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4"/>
      <c r="B275" s="4"/>
      <c r="C275" s="4"/>
      <c r="D275" s="9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4"/>
      <c r="B276" s="4"/>
      <c r="C276" s="4"/>
      <c r="D276" s="9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4"/>
      <c r="B277" s="4"/>
      <c r="C277" s="4"/>
      <c r="D277" s="9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4"/>
      <c r="B278" s="4"/>
      <c r="C278" s="4"/>
      <c r="D278" s="9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4"/>
      <c r="B279" s="4"/>
      <c r="C279" s="4"/>
      <c r="D279" s="9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4"/>
      <c r="B280" s="4"/>
      <c r="C280" s="4"/>
      <c r="D280" s="9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4"/>
      <c r="B281" s="4"/>
      <c r="C281" s="4"/>
      <c r="D281" s="9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4"/>
      <c r="B282" s="4"/>
      <c r="C282" s="4"/>
      <c r="D282" s="9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4"/>
      <c r="B283" s="4"/>
      <c r="C283" s="4"/>
      <c r="D283" s="9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4"/>
      <c r="B284" s="4"/>
      <c r="C284" s="4"/>
      <c r="D284" s="9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4"/>
      <c r="B285" s="4"/>
      <c r="C285" s="4"/>
      <c r="D285" s="9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4"/>
      <c r="B286" s="4"/>
      <c r="C286" s="4"/>
      <c r="D286" s="9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4"/>
      <c r="B287" s="4"/>
      <c r="C287" s="4"/>
      <c r="D287" s="9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4"/>
      <c r="B288" s="4"/>
      <c r="C288" s="4"/>
      <c r="D288" s="9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4"/>
      <c r="B289" s="4"/>
      <c r="C289" s="4"/>
      <c r="D289" s="9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4"/>
      <c r="B290" s="4"/>
      <c r="C290" s="4"/>
      <c r="D290" s="9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4"/>
      <c r="B291" s="4"/>
      <c r="C291" s="4"/>
      <c r="D291" s="9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4"/>
      <c r="B292" s="4"/>
      <c r="C292" s="4"/>
      <c r="D292" s="9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4"/>
      <c r="B293" s="4"/>
      <c r="C293" s="4"/>
      <c r="D293" s="9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4"/>
      <c r="B294" s="4"/>
      <c r="C294" s="4"/>
      <c r="D294" s="9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4"/>
      <c r="B295" s="4"/>
      <c r="C295" s="4"/>
      <c r="D295" s="9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4"/>
      <c r="B296" s="4"/>
      <c r="C296" s="4"/>
      <c r="D296" s="9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4"/>
      <c r="B297" s="4"/>
      <c r="C297" s="4"/>
      <c r="D297" s="9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4"/>
      <c r="B298" s="4"/>
      <c r="C298" s="4"/>
      <c r="D298" s="9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4"/>
      <c r="B299" s="4"/>
      <c r="C299" s="4"/>
      <c r="D299" s="9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4"/>
      <c r="B300" s="4"/>
      <c r="C300" s="4"/>
      <c r="D300" s="9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4"/>
      <c r="B301" s="4"/>
      <c r="C301" s="4"/>
      <c r="D301" s="9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4"/>
      <c r="B302" s="4"/>
      <c r="C302" s="4"/>
      <c r="D302" s="9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4"/>
      <c r="B303" s="4"/>
      <c r="C303" s="4"/>
      <c r="D303" s="9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4"/>
      <c r="B304" s="4"/>
      <c r="C304" s="4"/>
      <c r="D304" s="9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4"/>
      <c r="B305" s="4"/>
      <c r="C305" s="4"/>
      <c r="D305" s="9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4"/>
      <c r="B306" s="4"/>
      <c r="C306" s="4"/>
      <c r="D306" s="9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4"/>
      <c r="B307" s="4"/>
      <c r="C307" s="4"/>
      <c r="D307" s="9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4"/>
      <c r="B308" s="4"/>
      <c r="C308" s="4"/>
      <c r="D308" s="9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4"/>
      <c r="B309" s="4"/>
      <c r="C309" s="4"/>
      <c r="D309" s="9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4"/>
      <c r="B310" s="4"/>
      <c r="C310" s="4"/>
      <c r="D310" s="9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4"/>
      <c r="B311" s="4"/>
      <c r="C311" s="4"/>
      <c r="D311" s="9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4"/>
      <c r="B312" s="4"/>
      <c r="C312" s="4"/>
      <c r="D312" s="9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4"/>
      <c r="B313" s="4"/>
      <c r="C313" s="4"/>
      <c r="D313" s="9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4"/>
      <c r="B314" s="4"/>
      <c r="C314" s="4"/>
      <c r="D314" s="9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4"/>
      <c r="B315" s="4"/>
      <c r="C315" s="4"/>
      <c r="D315" s="9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4"/>
      <c r="B316" s="4"/>
      <c r="C316" s="4"/>
      <c r="D316" s="9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4"/>
      <c r="B317" s="4"/>
      <c r="C317" s="4"/>
      <c r="D317" s="9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4"/>
      <c r="B318" s="4"/>
      <c r="C318" s="4"/>
      <c r="D318" s="9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4"/>
      <c r="B319" s="4"/>
      <c r="C319" s="4"/>
      <c r="D319" s="9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4"/>
      <c r="B320" s="4"/>
      <c r="C320" s="4"/>
      <c r="D320" s="9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4"/>
      <c r="B321" s="4"/>
      <c r="C321" s="4"/>
      <c r="D321" s="9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4"/>
      <c r="B322" s="4"/>
      <c r="C322" s="4"/>
      <c r="D322" s="9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4"/>
      <c r="B323" s="4"/>
      <c r="C323" s="4"/>
      <c r="D323" s="9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4"/>
      <c r="B324" s="4"/>
      <c r="C324" s="4"/>
      <c r="D324" s="9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4"/>
      <c r="B325" s="4"/>
      <c r="C325" s="4"/>
      <c r="D325" s="9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4"/>
      <c r="B326" s="4"/>
      <c r="C326" s="4"/>
      <c r="D326" s="9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4"/>
      <c r="B327" s="4"/>
      <c r="C327" s="4"/>
      <c r="D327" s="9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4"/>
      <c r="B328" s="4"/>
      <c r="C328" s="4"/>
      <c r="D328" s="9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4"/>
      <c r="B329" s="4"/>
      <c r="C329" s="4"/>
      <c r="D329" s="9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4"/>
      <c r="B330" s="4"/>
      <c r="C330" s="4"/>
      <c r="D330" s="9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4"/>
      <c r="B331" s="4"/>
      <c r="C331" s="4"/>
      <c r="D331" s="9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4"/>
      <c r="B332" s="4"/>
      <c r="C332" s="4"/>
      <c r="D332" s="9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4"/>
      <c r="B333" s="4"/>
      <c r="C333" s="4"/>
      <c r="D333" s="9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4"/>
      <c r="B334" s="4"/>
      <c r="C334" s="4"/>
      <c r="D334" s="9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4"/>
      <c r="B335" s="4"/>
      <c r="C335" s="4"/>
      <c r="D335" s="9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4"/>
      <c r="B336" s="4"/>
      <c r="C336" s="4"/>
      <c r="D336" s="9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4"/>
      <c r="B337" s="4"/>
      <c r="C337" s="4"/>
      <c r="D337" s="9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4"/>
      <c r="B338" s="4"/>
      <c r="C338" s="4"/>
      <c r="D338" s="9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4"/>
      <c r="B339" s="4"/>
      <c r="C339" s="4"/>
      <c r="D339" s="9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4"/>
      <c r="B340" s="4"/>
      <c r="C340" s="4"/>
      <c r="D340" s="9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4"/>
      <c r="B341" s="4"/>
      <c r="C341" s="4"/>
      <c r="D341" s="9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4"/>
      <c r="B342" s="4"/>
      <c r="C342" s="4"/>
      <c r="D342" s="9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4"/>
      <c r="B343" s="4"/>
      <c r="C343" s="4"/>
      <c r="D343" s="9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4"/>
      <c r="B344" s="4"/>
      <c r="C344" s="4"/>
      <c r="D344" s="9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4"/>
      <c r="B345" s="4"/>
      <c r="C345" s="4"/>
      <c r="D345" s="9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4"/>
      <c r="B346" s="4"/>
      <c r="C346" s="4"/>
      <c r="D346" s="9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4"/>
      <c r="B347" s="4"/>
      <c r="C347" s="4"/>
      <c r="D347" s="9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4"/>
      <c r="B348" s="4"/>
      <c r="C348" s="4"/>
      <c r="D348" s="9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4"/>
      <c r="B349" s="4"/>
      <c r="C349" s="4"/>
      <c r="D349" s="9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4"/>
      <c r="B350" s="4"/>
      <c r="C350" s="4"/>
      <c r="D350" s="9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4"/>
      <c r="B351" s="4"/>
      <c r="C351" s="4"/>
      <c r="D351" s="9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4"/>
      <c r="B352" s="4"/>
      <c r="C352" s="4"/>
      <c r="D352" s="9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4"/>
      <c r="B353" s="4"/>
      <c r="C353" s="4"/>
      <c r="D353" s="9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4"/>
      <c r="B354" s="4"/>
      <c r="C354" s="4"/>
      <c r="D354" s="9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4"/>
      <c r="B355" s="4"/>
      <c r="C355" s="4"/>
      <c r="D355" s="9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4"/>
      <c r="B356" s="4"/>
      <c r="C356" s="4"/>
      <c r="D356" s="9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4"/>
      <c r="B357" s="4"/>
      <c r="C357" s="4"/>
      <c r="D357" s="9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4"/>
      <c r="B358" s="4"/>
      <c r="C358" s="4"/>
      <c r="D358" s="9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4"/>
      <c r="B359" s="4"/>
      <c r="C359" s="4"/>
      <c r="D359" s="9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4"/>
      <c r="B360" s="4"/>
      <c r="C360" s="4"/>
      <c r="D360" s="9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4"/>
      <c r="B361" s="4"/>
      <c r="C361" s="4"/>
      <c r="D361" s="9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4"/>
      <c r="B362" s="4"/>
      <c r="C362" s="4"/>
      <c r="D362" s="9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4"/>
      <c r="B363" s="4"/>
      <c r="C363" s="4"/>
      <c r="D363" s="9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4"/>
      <c r="B364" s="4"/>
      <c r="C364" s="4"/>
      <c r="D364" s="9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4"/>
      <c r="B365" s="4"/>
      <c r="C365" s="4"/>
      <c r="D365" s="9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4"/>
      <c r="B366" s="4"/>
      <c r="C366" s="4"/>
      <c r="D366" s="9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4"/>
      <c r="B367" s="4"/>
      <c r="C367" s="4"/>
      <c r="D367" s="9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4"/>
      <c r="B368" s="4"/>
      <c r="C368" s="4"/>
      <c r="D368" s="9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4"/>
      <c r="B369" s="4"/>
      <c r="C369" s="4"/>
      <c r="D369" s="9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4"/>
      <c r="B370" s="4"/>
      <c r="C370" s="4"/>
      <c r="D370" s="9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4"/>
      <c r="B371" s="4"/>
      <c r="C371" s="4"/>
      <c r="D371" s="9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4"/>
      <c r="B372" s="4"/>
      <c r="C372" s="4"/>
      <c r="D372" s="9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4"/>
      <c r="B373" s="4"/>
      <c r="C373" s="4"/>
      <c r="D373" s="9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4"/>
      <c r="B374" s="4"/>
      <c r="C374" s="4"/>
      <c r="D374" s="9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4"/>
      <c r="B375" s="4"/>
      <c r="C375" s="4"/>
      <c r="D375" s="9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4"/>
      <c r="B376" s="4"/>
      <c r="C376" s="4"/>
      <c r="D376" s="9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4"/>
      <c r="B377" s="4"/>
      <c r="C377" s="4"/>
      <c r="D377" s="9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4"/>
      <c r="B378" s="4"/>
      <c r="C378" s="4"/>
      <c r="D378" s="9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4"/>
      <c r="B379" s="4"/>
      <c r="C379" s="4"/>
      <c r="D379" s="9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4"/>
      <c r="B380" s="4"/>
      <c r="C380" s="4"/>
      <c r="D380" s="9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4"/>
      <c r="B381" s="4"/>
      <c r="C381" s="4"/>
      <c r="D381" s="9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4"/>
      <c r="B382" s="4"/>
      <c r="C382" s="4"/>
      <c r="D382" s="9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4"/>
      <c r="B383" s="4"/>
      <c r="C383" s="4"/>
      <c r="D383" s="9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4"/>
      <c r="B384" s="4"/>
      <c r="C384" s="4"/>
      <c r="D384" s="9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4"/>
      <c r="B385" s="4"/>
      <c r="C385" s="4"/>
      <c r="D385" s="9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4"/>
      <c r="B386" s="4"/>
      <c r="C386" s="4"/>
      <c r="D386" s="9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4"/>
      <c r="B387" s="4"/>
      <c r="C387" s="4"/>
      <c r="D387" s="9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4"/>
      <c r="B388" s="4"/>
      <c r="C388" s="4"/>
      <c r="D388" s="9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4"/>
      <c r="B389" s="4"/>
      <c r="C389" s="4"/>
      <c r="D389" s="9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4"/>
      <c r="B390" s="4"/>
      <c r="C390" s="4"/>
      <c r="D390" s="9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4"/>
      <c r="B391" s="4"/>
      <c r="C391" s="4"/>
      <c r="D391" s="9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4"/>
      <c r="B392" s="4"/>
      <c r="C392" s="4"/>
      <c r="D392" s="9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4"/>
      <c r="B393" s="4"/>
      <c r="C393" s="4"/>
      <c r="D393" s="9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4"/>
      <c r="B394" s="4"/>
      <c r="C394" s="4"/>
      <c r="D394" s="9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4"/>
      <c r="B395" s="4"/>
      <c r="C395" s="4"/>
      <c r="D395" s="9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4"/>
      <c r="B396" s="4"/>
      <c r="C396" s="4"/>
      <c r="D396" s="9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4"/>
      <c r="B397" s="4"/>
      <c r="C397" s="4"/>
      <c r="D397" s="9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4"/>
      <c r="B398" s="4"/>
      <c r="C398" s="4"/>
      <c r="D398" s="9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4"/>
      <c r="B399" s="4"/>
      <c r="C399" s="4"/>
      <c r="D399" s="9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4"/>
      <c r="B400" s="4"/>
      <c r="C400" s="4"/>
      <c r="D400" s="9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4"/>
      <c r="B401" s="4"/>
      <c r="C401" s="4"/>
      <c r="D401" s="9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4"/>
      <c r="B402" s="4"/>
      <c r="C402" s="4"/>
      <c r="D402" s="9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4"/>
      <c r="B403" s="4"/>
      <c r="C403" s="4"/>
      <c r="D403" s="9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4"/>
      <c r="B404" s="4"/>
      <c r="C404" s="4"/>
      <c r="D404" s="9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4"/>
      <c r="B405" s="4"/>
      <c r="C405" s="4"/>
      <c r="D405" s="9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4"/>
      <c r="B406" s="4"/>
      <c r="C406" s="4"/>
      <c r="D406" s="9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4"/>
      <c r="B407" s="4"/>
      <c r="C407" s="4"/>
      <c r="D407" s="9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4"/>
      <c r="B408" s="4"/>
      <c r="C408" s="4"/>
      <c r="D408" s="9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4"/>
      <c r="B409" s="4"/>
      <c r="C409" s="4"/>
      <c r="D409" s="9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4"/>
      <c r="B410" s="4"/>
      <c r="C410" s="4"/>
      <c r="D410" s="9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4"/>
      <c r="B411" s="4"/>
      <c r="C411" s="4"/>
      <c r="D411" s="9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4"/>
      <c r="B412" s="4"/>
      <c r="C412" s="4"/>
      <c r="D412" s="9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4"/>
      <c r="B413" s="4"/>
      <c r="C413" s="4"/>
      <c r="D413" s="9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4"/>
      <c r="B414" s="4"/>
      <c r="C414" s="4"/>
      <c r="D414" s="9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4"/>
      <c r="B415" s="4"/>
      <c r="C415" s="4"/>
      <c r="D415" s="9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4"/>
      <c r="B416" s="4"/>
      <c r="C416" s="4"/>
      <c r="D416" s="9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4"/>
      <c r="B417" s="4"/>
      <c r="C417" s="4"/>
      <c r="D417" s="9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4"/>
      <c r="B418" s="4"/>
      <c r="C418" s="4"/>
      <c r="D418" s="9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4"/>
      <c r="B419" s="4"/>
      <c r="C419" s="4"/>
      <c r="D419" s="9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4"/>
      <c r="B420" s="4"/>
      <c r="C420" s="4"/>
      <c r="D420" s="9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4"/>
      <c r="B421" s="4"/>
      <c r="C421" s="4"/>
      <c r="D421" s="9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4"/>
      <c r="B422" s="4"/>
      <c r="C422" s="4"/>
      <c r="D422" s="9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4"/>
      <c r="B423" s="4"/>
      <c r="C423" s="4"/>
      <c r="D423" s="9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4"/>
      <c r="B424" s="4"/>
      <c r="C424" s="4"/>
      <c r="D424" s="9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4"/>
      <c r="B425" s="4"/>
      <c r="C425" s="4"/>
      <c r="D425" s="9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4"/>
      <c r="B426" s="4"/>
      <c r="C426" s="4"/>
      <c r="D426" s="9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4"/>
      <c r="B427" s="4"/>
      <c r="C427" s="4"/>
      <c r="D427" s="9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4"/>
      <c r="B428" s="4"/>
      <c r="C428" s="4"/>
      <c r="D428" s="9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4"/>
      <c r="B429" s="4"/>
      <c r="C429" s="4"/>
      <c r="D429" s="9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4"/>
      <c r="B430" s="4"/>
      <c r="C430" s="4"/>
      <c r="D430" s="9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4"/>
      <c r="B431" s="4"/>
      <c r="C431" s="4"/>
      <c r="D431" s="9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4"/>
      <c r="B432" s="4"/>
      <c r="C432" s="4"/>
      <c r="D432" s="9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4"/>
      <c r="B433" s="4"/>
      <c r="C433" s="4"/>
      <c r="D433" s="9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4"/>
      <c r="B434" s="4"/>
      <c r="C434" s="4"/>
      <c r="D434" s="9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4"/>
      <c r="B435" s="4"/>
      <c r="C435" s="4"/>
      <c r="D435" s="9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4"/>
      <c r="B436" s="4"/>
      <c r="C436" s="4"/>
      <c r="D436" s="9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4"/>
      <c r="B437" s="4"/>
      <c r="C437" s="4"/>
      <c r="D437" s="9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4"/>
      <c r="B438" s="4"/>
      <c r="C438" s="4"/>
      <c r="D438" s="9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4"/>
      <c r="B439" s="4"/>
      <c r="C439" s="4"/>
      <c r="D439" s="9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4"/>
      <c r="B440" s="4"/>
      <c r="C440" s="4"/>
      <c r="D440" s="9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4"/>
      <c r="B441" s="4"/>
      <c r="C441" s="4"/>
      <c r="D441" s="9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4"/>
      <c r="B442" s="4"/>
      <c r="C442" s="4"/>
      <c r="D442" s="9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4"/>
      <c r="B443" s="4"/>
      <c r="C443" s="4"/>
      <c r="D443" s="9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4"/>
      <c r="B444" s="4"/>
      <c r="C444" s="4"/>
      <c r="D444" s="9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4"/>
      <c r="B445" s="4"/>
      <c r="C445" s="4"/>
      <c r="D445" s="9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4"/>
      <c r="B446" s="4"/>
      <c r="C446" s="4"/>
      <c r="D446" s="9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4"/>
      <c r="B447" s="4"/>
      <c r="C447" s="4"/>
      <c r="D447" s="9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4"/>
      <c r="B448" s="4"/>
      <c r="C448" s="4"/>
      <c r="D448" s="9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4"/>
      <c r="B449" s="4"/>
      <c r="C449" s="4"/>
      <c r="D449" s="9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4"/>
      <c r="B450" s="4"/>
      <c r="C450" s="4"/>
      <c r="D450" s="9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4"/>
      <c r="B451" s="4"/>
      <c r="C451" s="4"/>
      <c r="D451" s="9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4"/>
      <c r="B452" s="4"/>
      <c r="C452" s="4"/>
      <c r="D452" s="9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4"/>
      <c r="B453" s="4"/>
      <c r="C453" s="4"/>
      <c r="D453" s="9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4"/>
      <c r="B454" s="4"/>
      <c r="C454" s="4"/>
      <c r="D454" s="9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4"/>
      <c r="B455" s="4"/>
      <c r="C455" s="4"/>
      <c r="D455" s="9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4"/>
      <c r="B456" s="4"/>
      <c r="C456" s="4"/>
      <c r="D456" s="9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4"/>
      <c r="B457" s="4"/>
      <c r="C457" s="4"/>
      <c r="D457" s="9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4"/>
      <c r="B458" s="4"/>
      <c r="C458" s="4"/>
      <c r="D458" s="9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4"/>
      <c r="B459" s="4"/>
      <c r="C459" s="4"/>
      <c r="D459" s="9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4"/>
      <c r="B460" s="4"/>
      <c r="C460" s="4"/>
      <c r="D460" s="9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4"/>
      <c r="B461" s="4"/>
      <c r="C461" s="4"/>
      <c r="D461" s="9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4"/>
      <c r="B462" s="4"/>
      <c r="C462" s="4"/>
      <c r="D462" s="9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4"/>
      <c r="B463" s="4"/>
      <c r="C463" s="4"/>
      <c r="D463" s="9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4"/>
      <c r="B464" s="4"/>
      <c r="C464" s="4"/>
      <c r="D464" s="9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4"/>
      <c r="B465" s="4"/>
      <c r="C465" s="4"/>
      <c r="D465" s="9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4"/>
      <c r="B466" s="4"/>
      <c r="C466" s="4"/>
      <c r="D466" s="9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4"/>
      <c r="B467" s="4"/>
      <c r="C467" s="4"/>
      <c r="D467" s="9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4"/>
      <c r="B468" s="4"/>
      <c r="C468" s="4"/>
      <c r="D468" s="9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4"/>
      <c r="B469" s="4"/>
      <c r="C469" s="4"/>
      <c r="D469" s="9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4"/>
      <c r="B470" s="4"/>
      <c r="C470" s="4"/>
      <c r="D470" s="9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4"/>
      <c r="B471" s="4"/>
      <c r="C471" s="4"/>
      <c r="D471" s="9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4"/>
      <c r="B472" s="4"/>
      <c r="C472" s="4"/>
      <c r="D472" s="9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4"/>
      <c r="B473" s="4"/>
      <c r="C473" s="4"/>
      <c r="D473" s="9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4"/>
      <c r="B474" s="4"/>
      <c r="C474" s="4"/>
      <c r="D474" s="9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4"/>
      <c r="B475" s="4"/>
      <c r="C475" s="4"/>
      <c r="D475" s="9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4"/>
      <c r="B476" s="4"/>
      <c r="C476" s="4"/>
      <c r="D476" s="9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4"/>
      <c r="B477" s="4"/>
      <c r="C477" s="4"/>
      <c r="D477" s="9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4"/>
      <c r="B478" s="4"/>
      <c r="C478" s="4"/>
      <c r="D478" s="9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4"/>
      <c r="B479" s="4"/>
      <c r="C479" s="4"/>
      <c r="D479" s="9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4"/>
      <c r="B480" s="4"/>
      <c r="C480" s="4"/>
      <c r="D480" s="9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4"/>
      <c r="B481" s="4"/>
      <c r="C481" s="4"/>
      <c r="D481" s="9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4"/>
      <c r="B482" s="4"/>
      <c r="C482" s="4"/>
      <c r="D482" s="9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4"/>
      <c r="B483" s="4"/>
      <c r="C483" s="4"/>
      <c r="D483" s="9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4"/>
      <c r="B484" s="4"/>
      <c r="C484" s="4"/>
      <c r="D484" s="9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4"/>
      <c r="B485" s="4"/>
      <c r="C485" s="4"/>
      <c r="D485" s="9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4"/>
      <c r="B486" s="4"/>
      <c r="C486" s="4"/>
      <c r="D486" s="9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4"/>
      <c r="B487" s="4"/>
      <c r="C487" s="4"/>
      <c r="D487" s="9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4"/>
      <c r="B488" s="4"/>
      <c r="C488" s="4"/>
      <c r="D488" s="9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4"/>
      <c r="B489" s="4"/>
      <c r="C489" s="4"/>
      <c r="D489" s="9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4"/>
      <c r="B490" s="4"/>
      <c r="C490" s="4"/>
      <c r="D490" s="9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4"/>
      <c r="B491" s="4"/>
      <c r="C491" s="4"/>
      <c r="D491" s="9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4"/>
      <c r="B492" s="4"/>
      <c r="C492" s="4"/>
      <c r="D492" s="9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4"/>
      <c r="B493" s="4"/>
      <c r="C493" s="4"/>
      <c r="D493" s="9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4"/>
      <c r="B494" s="4"/>
      <c r="C494" s="4"/>
      <c r="D494" s="9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4"/>
      <c r="B495" s="4"/>
      <c r="C495" s="4"/>
      <c r="D495" s="9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4"/>
      <c r="B496" s="4"/>
      <c r="C496" s="4"/>
      <c r="D496" s="9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4"/>
      <c r="B497" s="4"/>
      <c r="C497" s="4"/>
      <c r="D497" s="9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4"/>
      <c r="B498" s="4"/>
      <c r="C498" s="4"/>
      <c r="D498" s="9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4"/>
      <c r="B499" s="4"/>
      <c r="C499" s="4"/>
      <c r="D499" s="9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4"/>
      <c r="B500" s="4"/>
      <c r="C500" s="4"/>
      <c r="D500" s="9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4"/>
      <c r="B501" s="4"/>
      <c r="C501" s="4"/>
      <c r="D501" s="9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4"/>
      <c r="B502" s="4"/>
      <c r="C502" s="4"/>
      <c r="D502" s="9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4"/>
      <c r="B503" s="4"/>
      <c r="C503" s="4"/>
      <c r="D503" s="9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4"/>
      <c r="B504" s="4"/>
      <c r="C504" s="4"/>
      <c r="D504" s="9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4"/>
      <c r="B505" s="4"/>
      <c r="C505" s="4"/>
      <c r="D505" s="9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4"/>
      <c r="B506" s="4"/>
      <c r="C506" s="4"/>
      <c r="D506" s="9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4"/>
      <c r="B507" s="4"/>
      <c r="C507" s="4"/>
      <c r="D507" s="9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4"/>
      <c r="B508" s="4"/>
      <c r="C508" s="4"/>
      <c r="D508" s="9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4"/>
      <c r="B509" s="4"/>
      <c r="C509" s="4"/>
      <c r="D509" s="9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4"/>
      <c r="B510" s="4"/>
      <c r="C510" s="4"/>
      <c r="D510" s="9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4"/>
      <c r="B511" s="4"/>
      <c r="C511" s="4"/>
      <c r="D511" s="9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4"/>
      <c r="B512" s="4"/>
      <c r="C512" s="4"/>
      <c r="D512" s="9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4"/>
      <c r="B513" s="4"/>
      <c r="C513" s="4"/>
      <c r="D513" s="9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4"/>
      <c r="B514" s="4"/>
      <c r="C514" s="4"/>
      <c r="D514" s="9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4"/>
      <c r="B515" s="4"/>
      <c r="C515" s="4"/>
      <c r="D515" s="9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4"/>
      <c r="B516" s="4"/>
      <c r="C516" s="4"/>
      <c r="D516" s="9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4"/>
      <c r="B517" s="4"/>
      <c r="C517" s="4"/>
      <c r="D517" s="9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4"/>
      <c r="B518" s="4"/>
      <c r="C518" s="4"/>
      <c r="D518" s="9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4"/>
      <c r="B519" s="4"/>
      <c r="C519" s="4"/>
      <c r="D519" s="9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4"/>
      <c r="B520" s="4"/>
      <c r="C520" s="4"/>
      <c r="D520" s="9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4"/>
      <c r="B521" s="4"/>
      <c r="C521" s="4"/>
      <c r="D521" s="9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4"/>
      <c r="B522" s="4"/>
      <c r="C522" s="4"/>
      <c r="D522" s="9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4"/>
      <c r="B523" s="4"/>
      <c r="C523" s="4"/>
      <c r="D523" s="9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4"/>
      <c r="B524" s="4"/>
      <c r="C524" s="4"/>
      <c r="D524" s="9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4"/>
      <c r="B525" s="4"/>
      <c r="C525" s="4"/>
      <c r="D525" s="9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4"/>
      <c r="B526" s="4"/>
      <c r="C526" s="4"/>
      <c r="D526" s="9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4"/>
      <c r="B527" s="4"/>
      <c r="C527" s="4"/>
      <c r="D527" s="9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4"/>
      <c r="B528" s="4"/>
      <c r="C528" s="4"/>
      <c r="D528" s="9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4"/>
      <c r="B529" s="4"/>
      <c r="C529" s="4"/>
      <c r="D529" s="9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4"/>
      <c r="B530" s="4"/>
      <c r="C530" s="4"/>
      <c r="D530" s="9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4"/>
      <c r="B531" s="4"/>
      <c r="C531" s="4"/>
      <c r="D531" s="9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4"/>
      <c r="B532" s="4"/>
      <c r="C532" s="4"/>
      <c r="D532" s="9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4"/>
      <c r="B533" s="4"/>
      <c r="C533" s="4"/>
      <c r="D533" s="9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4"/>
      <c r="B534" s="4"/>
      <c r="C534" s="4"/>
      <c r="D534" s="9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4"/>
      <c r="B535" s="4"/>
      <c r="C535" s="4"/>
      <c r="D535" s="9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4"/>
      <c r="B536" s="4"/>
      <c r="C536" s="4"/>
      <c r="D536" s="9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4"/>
      <c r="B537" s="4"/>
      <c r="C537" s="4"/>
      <c r="D537" s="9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4"/>
      <c r="B538" s="4"/>
      <c r="C538" s="4"/>
      <c r="D538" s="9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4"/>
      <c r="B539" s="4"/>
      <c r="C539" s="4"/>
      <c r="D539" s="9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4"/>
      <c r="B540" s="4"/>
      <c r="C540" s="4"/>
      <c r="D540" s="9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4"/>
      <c r="B541" s="4"/>
      <c r="C541" s="4"/>
      <c r="D541" s="9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4"/>
      <c r="B542" s="4"/>
      <c r="C542" s="4"/>
      <c r="D542" s="9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4"/>
      <c r="B543" s="4"/>
      <c r="C543" s="4"/>
      <c r="D543" s="9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4"/>
      <c r="B544" s="4"/>
      <c r="C544" s="4"/>
      <c r="D544" s="9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4"/>
      <c r="B545" s="4"/>
      <c r="C545" s="4"/>
      <c r="D545" s="9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4"/>
      <c r="B546" s="4"/>
      <c r="C546" s="4"/>
      <c r="D546" s="9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4"/>
      <c r="B547" s="4"/>
      <c r="C547" s="4"/>
      <c r="D547" s="9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4"/>
      <c r="B548" s="4"/>
      <c r="C548" s="4"/>
      <c r="D548" s="9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4"/>
      <c r="B549" s="4"/>
      <c r="C549" s="4"/>
      <c r="D549" s="9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4"/>
      <c r="B550" s="4"/>
      <c r="C550" s="4"/>
      <c r="D550" s="9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4"/>
      <c r="B551" s="4"/>
      <c r="C551" s="4"/>
      <c r="D551" s="9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4"/>
      <c r="B552" s="4"/>
      <c r="C552" s="4"/>
      <c r="D552" s="9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4"/>
      <c r="B553" s="4"/>
      <c r="C553" s="4"/>
      <c r="D553" s="9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4"/>
      <c r="B554" s="4"/>
      <c r="C554" s="4"/>
      <c r="D554" s="9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4"/>
      <c r="B555" s="4"/>
      <c r="C555" s="4"/>
      <c r="D555" s="9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4"/>
      <c r="B556" s="4"/>
      <c r="C556" s="4"/>
      <c r="D556" s="9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4"/>
      <c r="B557" s="4"/>
      <c r="C557" s="4"/>
      <c r="D557" s="9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4"/>
      <c r="B558" s="4"/>
      <c r="C558" s="4"/>
      <c r="D558" s="9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4"/>
      <c r="B559" s="4"/>
      <c r="C559" s="4"/>
      <c r="D559" s="9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4"/>
      <c r="B560" s="4"/>
      <c r="C560" s="4"/>
      <c r="D560" s="9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4"/>
      <c r="B561" s="4"/>
      <c r="C561" s="4"/>
      <c r="D561" s="9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4"/>
      <c r="B562" s="4"/>
      <c r="C562" s="4"/>
      <c r="D562" s="9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4"/>
      <c r="B563" s="4"/>
      <c r="C563" s="4"/>
      <c r="D563" s="9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4"/>
      <c r="B564" s="4"/>
      <c r="C564" s="4"/>
      <c r="D564" s="9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4"/>
      <c r="B565" s="4"/>
      <c r="C565" s="4"/>
      <c r="D565" s="9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4"/>
      <c r="B566" s="4"/>
      <c r="C566" s="4"/>
      <c r="D566" s="9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4"/>
      <c r="B567" s="4"/>
      <c r="C567" s="4"/>
      <c r="D567" s="9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4"/>
      <c r="B568" s="4"/>
      <c r="C568" s="4"/>
      <c r="D568" s="9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4"/>
      <c r="B569" s="4"/>
      <c r="C569" s="4"/>
      <c r="D569" s="9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4"/>
      <c r="B570" s="4"/>
      <c r="C570" s="4"/>
      <c r="D570" s="9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4"/>
      <c r="B571" s="4"/>
      <c r="C571" s="4"/>
      <c r="D571" s="9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4"/>
      <c r="B572" s="4"/>
      <c r="C572" s="4"/>
      <c r="D572" s="9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4"/>
      <c r="B573" s="4"/>
      <c r="C573" s="4"/>
      <c r="D573" s="9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4"/>
      <c r="B574" s="4"/>
      <c r="C574" s="4"/>
      <c r="D574" s="9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4"/>
      <c r="B575" s="4"/>
      <c r="C575" s="4"/>
      <c r="D575" s="9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4"/>
      <c r="B576" s="4"/>
      <c r="C576" s="4"/>
      <c r="D576" s="9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4"/>
      <c r="B577" s="4"/>
      <c r="C577" s="4"/>
      <c r="D577" s="9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4"/>
      <c r="B578" s="4"/>
      <c r="C578" s="4"/>
      <c r="D578" s="9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4"/>
      <c r="B579" s="4"/>
      <c r="C579" s="4"/>
      <c r="D579" s="9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4"/>
      <c r="B580" s="4"/>
      <c r="C580" s="4"/>
      <c r="D580" s="9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4"/>
      <c r="B581" s="4"/>
      <c r="C581" s="4"/>
      <c r="D581" s="9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4"/>
      <c r="B582" s="4"/>
      <c r="C582" s="4"/>
      <c r="D582" s="9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4"/>
      <c r="B583" s="4"/>
      <c r="C583" s="4"/>
      <c r="D583" s="9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4"/>
      <c r="B584" s="4"/>
      <c r="C584" s="4"/>
      <c r="D584" s="9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4"/>
      <c r="B585" s="4"/>
      <c r="C585" s="4"/>
      <c r="D585" s="9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4"/>
      <c r="B586" s="4"/>
      <c r="C586" s="4"/>
      <c r="D586" s="9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4"/>
      <c r="B587" s="4"/>
      <c r="C587" s="4"/>
      <c r="D587" s="9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4"/>
      <c r="B588" s="4"/>
      <c r="C588" s="4"/>
      <c r="D588" s="9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4"/>
      <c r="B589" s="4"/>
      <c r="C589" s="4"/>
      <c r="D589" s="9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4"/>
      <c r="B590" s="4"/>
      <c r="C590" s="4"/>
      <c r="D590" s="9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4"/>
      <c r="B591" s="4"/>
      <c r="C591" s="4"/>
      <c r="D591" s="9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4"/>
      <c r="B592" s="4"/>
      <c r="C592" s="4"/>
      <c r="D592" s="9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4"/>
      <c r="B593" s="4"/>
      <c r="C593" s="4"/>
      <c r="D593" s="9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4"/>
      <c r="B594" s="4"/>
      <c r="C594" s="4"/>
      <c r="D594" s="9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4"/>
      <c r="B595" s="4"/>
      <c r="C595" s="4"/>
      <c r="D595" s="9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4"/>
      <c r="B596" s="4"/>
      <c r="C596" s="4"/>
      <c r="D596" s="9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4"/>
      <c r="B597" s="4"/>
      <c r="C597" s="4"/>
      <c r="D597" s="9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4"/>
      <c r="B598" s="4"/>
      <c r="C598" s="4"/>
      <c r="D598" s="9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4"/>
      <c r="B599" s="4"/>
      <c r="C599" s="4"/>
      <c r="D599" s="9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4"/>
      <c r="B600" s="4"/>
      <c r="C600" s="4"/>
      <c r="D600" s="9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4"/>
      <c r="B601" s="4"/>
      <c r="C601" s="4"/>
      <c r="D601" s="9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4"/>
      <c r="B602" s="4"/>
      <c r="C602" s="4"/>
      <c r="D602" s="9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4"/>
      <c r="B603" s="4"/>
      <c r="C603" s="4"/>
      <c r="D603" s="9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4"/>
      <c r="B604" s="4"/>
      <c r="C604" s="4"/>
      <c r="D604" s="9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4"/>
      <c r="B605" s="4"/>
      <c r="C605" s="4"/>
      <c r="D605" s="9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4"/>
      <c r="B606" s="4"/>
      <c r="C606" s="4"/>
      <c r="D606" s="9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4"/>
      <c r="B607" s="4"/>
      <c r="C607" s="4"/>
      <c r="D607" s="9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4"/>
      <c r="B608" s="4"/>
      <c r="C608" s="4"/>
      <c r="D608" s="9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4"/>
      <c r="B609" s="4"/>
      <c r="C609" s="4"/>
      <c r="D609" s="9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4"/>
      <c r="B610" s="4"/>
      <c r="C610" s="4"/>
      <c r="D610" s="9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4"/>
      <c r="B611" s="4"/>
      <c r="C611" s="4"/>
      <c r="D611" s="9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4"/>
      <c r="B612" s="4"/>
      <c r="C612" s="4"/>
      <c r="D612" s="9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4"/>
      <c r="B613" s="4"/>
      <c r="C613" s="4"/>
      <c r="D613" s="9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4"/>
      <c r="B614" s="4"/>
      <c r="C614" s="4"/>
      <c r="D614" s="9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4"/>
      <c r="B615" s="4"/>
      <c r="C615" s="4"/>
      <c r="D615" s="9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4"/>
      <c r="B616" s="4"/>
      <c r="C616" s="4"/>
      <c r="D616" s="9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4"/>
      <c r="B617" s="4"/>
      <c r="C617" s="4"/>
      <c r="D617" s="9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4"/>
      <c r="B618" s="4"/>
      <c r="C618" s="4"/>
      <c r="D618" s="9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4"/>
      <c r="B619" s="4"/>
      <c r="C619" s="4"/>
      <c r="D619" s="9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4"/>
      <c r="B620" s="4"/>
      <c r="C620" s="4"/>
      <c r="D620" s="9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4"/>
      <c r="B621" s="4"/>
      <c r="C621" s="4"/>
      <c r="D621" s="9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4"/>
      <c r="B622" s="4"/>
      <c r="C622" s="4"/>
      <c r="D622" s="9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4"/>
      <c r="B623" s="4"/>
      <c r="C623" s="4"/>
      <c r="D623" s="9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4"/>
      <c r="B624" s="4"/>
      <c r="C624" s="4"/>
      <c r="D624" s="9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4"/>
      <c r="B625" s="4"/>
      <c r="C625" s="4"/>
      <c r="D625" s="9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4"/>
      <c r="B626" s="4"/>
      <c r="C626" s="4"/>
      <c r="D626" s="9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4"/>
      <c r="B627" s="4"/>
      <c r="C627" s="4"/>
      <c r="D627" s="9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4"/>
      <c r="B628" s="4"/>
      <c r="C628" s="4"/>
      <c r="D628" s="9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4"/>
      <c r="B629" s="4"/>
      <c r="C629" s="4"/>
      <c r="D629" s="9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4"/>
      <c r="B630" s="4"/>
      <c r="C630" s="4"/>
      <c r="D630" s="9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4"/>
      <c r="B631" s="4"/>
      <c r="C631" s="4"/>
      <c r="D631" s="9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4"/>
      <c r="B632" s="4"/>
      <c r="C632" s="4"/>
      <c r="D632" s="9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4"/>
      <c r="B633" s="4"/>
      <c r="C633" s="4"/>
      <c r="D633" s="9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4"/>
      <c r="B634" s="4"/>
      <c r="C634" s="4"/>
      <c r="D634" s="9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4"/>
      <c r="B635" s="4"/>
      <c r="C635" s="4"/>
      <c r="D635" s="9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4"/>
      <c r="B636" s="4"/>
      <c r="C636" s="4"/>
      <c r="D636" s="9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4"/>
      <c r="B637" s="4"/>
      <c r="C637" s="4"/>
      <c r="D637" s="9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4"/>
      <c r="B638" s="4"/>
      <c r="C638" s="4"/>
      <c r="D638" s="9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4"/>
      <c r="B639" s="4"/>
      <c r="C639" s="4"/>
      <c r="D639" s="9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4"/>
      <c r="B640" s="4"/>
      <c r="C640" s="4"/>
      <c r="D640" s="9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4"/>
      <c r="B641" s="4"/>
      <c r="C641" s="4"/>
      <c r="D641" s="9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4"/>
      <c r="B642" s="4"/>
      <c r="C642" s="4"/>
      <c r="D642" s="9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4"/>
      <c r="B643" s="4"/>
      <c r="C643" s="4"/>
      <c r="D643" s="9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4"/>
      <c r="B644" s="4"/>
      <c r="C644" s="4"/>
      <c r="D644" s="9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4"/>
      <c r="B645" s="4"/>
      <c r="C645" s="4"/>
      <c r="D645" s="9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4"/>
      <c r="B646" s="4"/>
      <c r="C646" s="4"/>
      <c r="D646" s="9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4"/>
      <c r="B647" s="4"/>
      <c r="C647" s="4"/>
      <c r="D647" s="9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4"/>
      <c r="B648" s="4"/>
      <c r="C648" s="4"/>
      <c r="D648" s="9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4"/>
      <c r="B649" s="4"/>
      <c r="C649" s="4"/>
      <c r="D649" s="9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4"/>
      <c r="B650" s="4"/>
      <c r="C650" s="4"/>
      <c r="D650" s="9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4"/>
      <c r="B651" s="4"/>
      <c r="C651" s="4"/>
      <c r="D651" s="9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4"/>
      <c r="B652" s="4"/>
      <c r="C652" s="4"/>
      <c r="D652" s="9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4"/>
      <c r="B653" s="4"/>
      <c r="C653" s="4"/>
      <c r="D653" s="9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4"/>
      <c r="B654" s="4"/>
      <c r="C654" s="4"/>
      <c r="D654" s="9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4"/>
      <c r="B655" s="4"/>
      <c r="C655" s="4"/>
      <c r="D655" s="9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4"/>
      <c r="B656" s="4"/>
      <c r="C656" s="4"/>
      <c r="D656" s="9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4"/>
      <c r="B657" s="4"/>
      <c r="C657" s="4"/>
      <c r="D657" s="9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4"/>
      <c r="B658" s="4"/>
      <c r="C658" s="4"/>
      <c r="D658" s="9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4"/>
      <c r="B659" s="4"/>
      <c r="C659" s="4"/>
      <c r="D659" s="9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4"/>
      <c r="B660" s="4"/>
      <c r="C660" s="4"/>
      <c r="D660" s="9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4"/>
      <c r="B661" s="4"/>
      <c r="C661" s="4"/>
      <c r="D661" s="9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4"/>
      <c r="B662" s="4"/>
      <c r="C662" s="4"/>
      <c r="D662" s="9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4"/>
      <c r="B663" s="4"/>
      <c r="C663" s="4"/>
      <c r="D663" s="9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4"/>
      <c r="B664" s="4"/>
      <c r="C664" s="4"/>
      <c r="D664" s="9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4"/>
      <c r="B665" s="4"/>
      <c r="C665" s="4"/>
      <c r="D665" s="9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4"/>
      <c r="B666" s="4"/>
      <c r="C666" s="4"/>
      <c r="D666" s="9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4"/>
      <c r="B667" s="4"/>
      <c r="C667" s="4"/>
      <c r="D667" s="9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4"/>
      <c r="B668" s="4"/>
      <c r="C668" s="4"/>
      <c r="D668" s="9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4"/>
      <c r="B669" s="4"/>
      <c r="C669" s="4"/>
      <c r="D669" s="9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4"/>
      <c r="B670" s="4"/>
      <c r="C670" s="4"/>
      <c r="D670" s="9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4"/>
      <c r="B671" s="4"/>
      <c r="C671" s="4"/>
      <c r="D671" s="9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4"/>
      <c r="B672" s="4"/>
      <c r="C672" s="4"/>
      <c r="D672" s="9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4"/>
      <c r="B673" s="4"/>
      <c r="C673" s="4"/>
      <c r="D673" s="9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4"/>
      <c r="B674" s="4"/>
      <c r="C674" s="4"/>
      <c r="D674" s="9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4"/>
      <c r="B675" s="4"/>
      <c r="C675" s="4"/>
      <c r="D675" s="9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4"/>
      <c r="B676" s="4"/>
      <c r="C676" s="4"/>
      <c r="D676" s="9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4"/>
      <c r="B677" s="4"/>
      <c r="C677" s="4"/>
      <c r="D677" s="9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4"/>
      <c r="B678" s="4"/>
      <c r="C678" s="4"/>
      <c r="D678" s="9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4"/>
      <c r="B679" s="4"/>
      <c r="C679" s="4"/>
      <c r="D679" s="9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4"/>
      <c r="B680" s="4"/>
      <c r="C680" s="4"/>
      <c r="D680" s="9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4"/>
      <c r="B681" s="4"/>
      <c r="C681" s="4"/>
      <c r="D681" s="9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4"/>
      <c r="B682" s="4"/>
      <c r="C682" s="4"/>
      <c r="D682" s="9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4"/>
      <c r="B683" s="4"/>
      <c r="C683" s="4"/>
      <c r="D683" s="9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4"/>
      <c r="B684" s="4"/>
      <c r="C684" s="4"/>
      <c r="D684" s="9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4"/>
      <c r="B685" s="4"/>
      <c r="C685" s="4"/>
      <c r="D685" s="9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4"/>
      <c r="B686" s="4"/>
      <c r="C686" s="4"/>
      <c r="D686" s="9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4"/>
      <c r="B687" s="4"/>
      <c r="C687" s="4"/>
      <c r="D687" s="9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4"/>
      <c r="B688" s="4"/>
      <c r="C688" s="4"/>
      <c r="D688" s="9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4"/>
      <c r="B689" s="4"/>
      <c r="C689" s="4"/>
      <c r="D689" s="9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4"/>
      <c r="B690" s="4"/>
      <c r="C690" s="4"/>
      <c r="D690" s="9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4"/>
      <c r="B691" s="4"/>
      <c r="C691" s="4"/>
      <c r="D691" s="9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4"/>
      <c r="B692" s="4"/>
      <c r="C692" s="4"/>
      <c r="D692" s="9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4"/>
      <c r="B693" s="4"/>
      <c r="C693" s="4"/>
      <c r="D693" s="9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4"/>
      <c r="B694" s="4"/>
      <c r="C694" s="4"/>
      <c r="D694" s="9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4"/>
      <c r="B695" s="4"/>
      <c r="C695" s="4"/>
      <c r="D695" s="9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4"/>
      <c r="B696" s="4"/>
      <c r="C696" s="4"/>
      <c r="D696" s="9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4"/>
      <c r="B697" s="4"/>
      <c r="C697" s="4"/>
      <c r="D697" s="9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4"/>
      <c r="B698" s="4"/>
      <c r="C698" s="4"/>
      <c r="D698" s="9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4"/>
      <c r="B699" s="4"/>
      <c r="C699" s="4"/>
      <c r="D699" s="9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4"/>
      <c r="B700" s="4"/>
      <c r="C700" s="4"/>
      <c r="D700" s="9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4"/>
      <c r="B701" s="4"/>
      <c r="C701" s="4"/>
      <c r="D701" s="9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4"/>
      <c r="B702" s="4"/>
      <c r="C702" s="4"/>
      <c r="D702" s="9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4"/>
      <c r="B703" s="4"/>
      <c r="C703" s="4"/>
      <c r="D703" s="9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4"/>
      <c r="B704" s="4"/>
      <c r="C704" s="4"/>
      <c r="D704" s="9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4"/>
      <c r="B705" s="4"/>
      <c r="C705" s="4"/>
      <c r="D705" s="9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4"/>
      <c r="B706" s="4"/>
      <c r="C706" s="4"/>
      <c r="D706" s="9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4"/>
      <c r="B707" s="4"/>
      <c r="C707" s="4"/>
      <c r="D707" s="9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4"/>
      <c r="B708" s="4"/>
      <c r="C708" s="4"/>
      <c r="D708" s="9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4"/>
      <c r="B709" s="4"/>
      <c r="C709" s="4"/>
      <c r="D709" s="9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4"/>
      <c r="B710" s="4"/>
      <c r="C710" s="4"/>
      <c r="D710" s="9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4"/>
      <c r="B711" s="4"/>
      <c r="C711" s="4"/>
      <c r="D711" s="9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4"/>
      <c r="B712" s="4"/>
      <c r="C712" s="4"/>
      <c r="D712" s="9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4"/>
      <c r="B713" s="4"/>
      <c r="C713" s="4"/>
      <c r="D713" s="9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4"/>
      <c r="B714" s="4"/>
      <c r="C714" s="4"/>
      <c r="D714" s="9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4"/>
      <c r="B715" s="4"/>
      <c r="C715" s="4"/>
      <c r="D715" s="9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4"/>
      <c r="B716" s="4"/>
      <c r="C716" s="4"/>
      <c r="D716" s="9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4"/>
      <c r="B717" s="4"/>
      <c r="C717" s="4"/>
      <c r="D717" s="9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4"/>
      <c r="B718" s="4"/>
      <c r="C718" s="4"/>
      <c r="D718" s="9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4"/>
      <c r="B719" s="4"/>
      <c r="C719" s="4"/>
      <c r="D719" s="9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4"/>
      <c r="B720" s="4"/>
      <c r="C720" s="4"/>
      <c r="D720" s="9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4"/>
      <c r="B721" s="4"/>
      <c r="C721" s="4"/>
      <c r="D721" s="9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4"/>
      <c r="B722" s="4"/>
      <c r="C722" s="4"/>
      <c r="D722" s="9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4"/>
      <c r="B723" s="4"/>
      <c r="C723" s="4"/>
      <c r="D723" s="9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4"/>
      <c r="B724" s="4"/>
      <c r="C724" s="4"/>
      <c r="D724" s="9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4"/>
      <c r="B725" s="4"/>
      <c r="C725" s="4"/>
      <c r="D725" s="9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4"/>
      <c r="B726" s="4"/>
      <c r="C726" s="4"/>
      <c r="D726" s="9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4"/>
      <c r="B727" s="4"/>
      <c r="C727" s="4"/>
      <c r="D727" s="9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4"/>
      <c r="B728" s="4"/>
      <c r="C728" s="4"/>
      <c r="D728" s="9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4"/>
      <c r="B729" s="4"/>
      <c r="C729" s="4"/>
      <c r="D729" s="9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4"/>
      <c r="B730" s="4"/>
      <c r="C730" s="4"/>
      <c r="D730" s="9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4"/>
      <c r="B731" s="4"/>
      <c r="C731" s="4"/>
      <c r="D731" s="9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4"/>
      <c r="B732" s="4"/>
      <c r="C732" s="4"/>
      <c r="D732" s="9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4"/>
      <c r="B733" s="4"/>
      <c r="C733" s="4"/>
      <c r="D733" s="9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4"/>
      <c r="B734" s="4"/>
      <c r="C734" s="4"/>
      <c r="D734" s="9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4"/>
      <c r="B735" s="4"/>
      <c r="C735" s="4"/>
      <c r="D735" s="9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4"/>
      <c r="B736" s="4"/>
      <c r="C736" s="4"/>
      <c r="D736" s="9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4"/>
      <c r="B737" s="4"/>
      <c r="C737" s="4"/>
      <c r="D737" s="9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4"/>
      <c r="B738" s="4"/>
      <c r="C738" s="4"/>
      <c r="D738" s="9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4"/>
      <c r="B739" s="4"/>
      <c r="C739" s="4"/>
      <c r="D739" s="9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4"/>
      <c r="B740" s="4"/>
      <c r="C740" s="4"/>
      <c r="D740" s="9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4"/>
      <c r="B741" s="4"/>
      <c r="C741" s="4"/>
      <c r="D741" s="9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4"/>
      <c r="B742" s="4"/>
      <c r="C742" s="4"/>
      <c r="D742" s="9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4"/>
      <c r="B743" s="4"/>
      <c r="C743" s="4"/>
      <c r="D743" s="9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4"/>
      <c r="B744" s="4"/>
      <c r="C744" s="4"/>
      <c r="D744" s="9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4"/>
      <c r="B745" s="4"/>
      <c r="C745" s="4"/>
      <c r="D745" s="9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4"/>
      <c r="B746" s="4"/>
      <c r="C746" s="4"/>
      <c r="D746" s="9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4"/>
      <c r="B747" s="4"/>
      <c r="C747" s="4"/>
      <c r="D747" s="9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4"/>
      <c r="B748" s="4"/>
      <c r="C748" s="4"/>
      <c r="D748" s="9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4"/>
      <c r="B749" s="4"/>
      <c r="C749" s="4"/>
      <c r="D749" s="9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4"/>
      <c r="B750" s="4"/>
      <c r="C750" s="4"/>
      <c r="D750" s="9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4"/>
      <c r="B751" s="4"/>
      <c r="C751" s="4"/>
      <c r="D751" s="9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4"/>
      <c r="B752" s="4"/>
      <c r="C752" s="4"/>
      <c r="D752" s="9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4"/>
      <c r="B753" s="4"/>
      <c r="C753" s="4"/>
      <c r="D753" s="9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4"/>
      <c r="B754" s="4"/>
      <c r="C754" s="4"/>
      <c r="D754" s="9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4"/>
      <c r="B755" s="4"/>
      <c r="C755" s="4"/>
      <c r="D755" s="9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4"/>
      <c r="B756" s="4"/>
      <c r="C756" s="4"/>
      <c r="D756" s="9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4"/>
      <c r="B757" s="4"/>
      <c r="C757" s="4"/>
      <c r="D757" s="9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4"/>
      <c r="B758" s="4"/>
      <c r="C758" s="4"/>
      <c r="D758" s="9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4"/>
      <c r="B759" s="4"/>
      <c r="C759" s="4"/>
      <c r="D759" s="9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4"/>
      <c r="B760" s="4"/>
      <c r="C760" s="4"/>
      <c r="D760" s="9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4"/>
      <c r="B761" s="4"/>
      <c r="C761" s="4"/>
      <c r="D761" s="9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4"/>
      <c r="B762" s="4"/>
      <c r="C762" s="4"/>
      <c r="D762" s="9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4"/>
      <c r="B763" s="4"/>
      <c r="C763" s="4"/>
      <c r="D763" s="9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4"/>
      <c r="B764" s="4"/>
      <c r="C764" s="4"/>
      <c r="D764" s="9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4"/>
      <c r="B765" s="4"/>
      <c r="C765" s="4"/>
      <c r="D765" s="9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4"/>
      <c r="B766" s="4"/>
      <c r="C766" s="4"/>
      <c r="D766" s="9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4"/>
      <c r="B767" s="4"/>
      <c r="C767" s="4"/>
      <c r="D767" s="9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4"/>
      <c r="B768" s="4"/>
      <c r="C768" s="4"/>
      <c r="D768" s="9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4"/>
      <c r="B769" s="4"/>
      <c r="C769" s="4"/>
      <c r="D769" s="9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4"/>
      <c r="B770" s="4"/>
      <c r="C770" s="4"/>
      <c r="D770" s="9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4"/>
      <c r="B771" s="4"/>
      <c r="C771" s="4"/>
      <c r="D771" s="9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4"/>
      <c r="B772" s="4"/>
      <c r="C772" s="4"/>
      <c r="D772" s="9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4"/>
      <c r="B773" s="4"/>
      <c r="C773" s="4"/>
      <c r="D773" s="9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4"/>
      <c r="B774" s="4"/>
      <c r="C774" s="4"/>
      <c r="D774" s="9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4"/>
      <c r="B775" s="4"/>
      <c r="C775" s="4"/>
      <c r="D775" s="9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4"/>
      <c r="B776" s="4"/>
      <c r="C776" s="4"/>
      <c r="D776" s="9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4"/>
      <c r="B777" s="4"/>
      <c r="C777" s="4"/>
      <c r="D777" s="9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4"/>
      <c r="B778" s="4"/>
      <c r="C778" s="4"/>
      <c r="D778" s="9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4"/>
      <c r="B779" s="4"/>
      <c r="C779" s="4"/>
      <c r="D779" s="9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4"/>
      <c r="B780" s="4"/>
      <c r="C780" s="4"/>
      <c r="D780" s="9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4"/>
      <c r="B781" s="4"/>
      <c r="C781" s="4"/>
      <c r="D781" s="9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4"/>
      <c r="B782" s="4"/>
      <c r="C782" s="4"/>
      <c r="D782" s="9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4"/>
      <c r="B783" s="4"/>
      <c r="C783" s="4"/>
      <c r="D783" s="9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4"/>
      <c r="B784" s="4"/>
      <c r="C784" s="4"/>
      <c r="D784" s="9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4"/>
      <c r="B785" s="4"/>
      <c r="C785" s="4"/>
      <c r="D785" s="9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4"/>
      <c r="B786" s="4"/>
      <c r="C786" s="4"/>
      <c r="D786" s="9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4"/>
      <c r="B787" s="4"/>
      <c r="C787" s="4"/>
      <c r="D787" s="9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4"/>
      <c r="B788" s="4"/>
      <c r="C788" s="4"/>
      <c r="D788" s="9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4"/>
      <c r="B789" s="4"/>
      <c r="C789" s="4"/>
      <c r="D789" s="9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4"/>
      <c r="B790" s="4"/>
      <c r="C790" s="4"/>
      <c r="D790" s="9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4"/>
      <c r="B791" s="4"/>
      <c r="C791" s="4"/>
      <c r="D791" s="9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4"/>
      <c r="B792" s="4"/>
      <c r="C792" s="4"/>
      <c r="D792" s="9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4"/>
      <c r="B793" s="4"/>
      <c r="C793" s="4"/>
      <c r="D793" s="9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4"/>
      <c r="B794" s="4"/>
      <c r="C794" s="4"/>
      <c r="D794" s="9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4"/>
      <c r="B795" s="4"/>
      <c r="C795" s="4"/>
      <c r="D795" s="9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4"/>
      <c r="B796" s="4"/>
      <c r="C796" s="4"/>
      <c r="D796" s="9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4"/>
      <c r="B797" s="4"/>
      <c r="C797" s="4"/>
      <c r="D797" s="9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4"/>
      <c r="B798" s="4"/>
      <c r="C798" s="4"/>
      <c r="D798" s="9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4"/>
      <c r="B799" s="4"/>
      <c r="C799" s="4"/>
      <c r="D799" s="9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4"/>
      <c r="B800" s="4"/>
      <c r="C800" s="4"/>
      <c r="D800" s="9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4"/>
      <c r="B801" s="4"/>
      <c r="C801" s="4"/>
      <c r="D801" s="9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4"/>
      <c r="B802" s="4"/>
      <c r="C802" s="4"/>
      <c r="D802" s="9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4"/>
      <c r="B803" s="4"/>
      <c r="C803" s="4"/>
      <c r="D803" s="9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4"/>
      <c r="B804" s="4"/>
      <c r="C804" s="4"/>
      <c r="D804" s="9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4"/>
      <c r="B805" s="4"/>
      <c r="C805" s="4"/>
      <c r="D805" s="9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4"/>
      <c r="B806" s="4"/>
      <c r="C806" s="4"/>
      <c r="D806" s="9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4"/>
      <c r="B807" s="4"/>
      <c r="C807" s="4"/>
      <c r="D807" s="9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4"/>
      <c r="B808" s="4"/>
      <c r="C808" s="4"/>
      <c r="D808" s="9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4"/>
      <c r="B809" s="4"/>
      <c r="C809" s="4"/>
      <c r="D809" s="9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4"/>
      <c r="B810" s="4"/>
      <c r="C810" s="4"/>
      <c r="D810" s="9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4"/>
      <c r="B811" s="4"/>
      <c r="C811" s="4"/>
      <c r="D811" s="9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4"/>
      <c r="B812" s="4"/>
      <c r="C812" s="4"/>
      <c r="D812" s="9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4"/>
      <c r="B813" s="4"/>
      <c r="C813" s="4"/>
      <c r="D813" s="9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4"/>
      <c r="B814" s="4"/>
      <c r="C814" s="4"/>
      <c r="D814" s="9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4"/>
      <c r="B815" s="4"/>
      <c r="C815" s="4"/>
      <c r="D815" s="9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4"/>
      <c r="B816" s="4"/>
      <c r="C816" s="4"/>
      <c r="D816" s="9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4"/>
      <c r="B817" s="4"/>
      <c r="C817" s="4"/>
      <c r="D817" s="9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4"/>
      <c r="B818" s="4"/>
      <c r="C818" s="4"/>
      <c r="D818" s="9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4"/>
      <c r="B819" s="4"/>
      <c r="C819" s="4"/>
      <c r="D819" s="9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4"/>
      <c r="B820" s="4"/>
      <c r="C820" s="4"/>
      <c r="D820" s="9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4"/>
      <c r="B821" s="4"/>
      <c r="C821" s="4"/>
      <c r="D821" s="9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4"/>
      <c r="B822" s="4"/>
      <c r="C822" s="4"/>
      <c r="D822" s="9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4"/>
      <c r="B823" s="4"/>
      <c r="C823" s="4"/>
      <c r="D823" s="9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4"/>
      <c r="B824" s="4"/>
      <c r="C824" s="4"/>
      <c r="D824" s="9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4"/>
      <c r="B825" s="4"/>
      <c r="C825" s="4"/>
      <c r="D825" s="9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4"/>
      <c r="B826" s="4"/>
      <c r="C826" s="4"/>
      <c r="D826" s="9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4"/>
      <c r="B827" s="4"/>
      <c r="C827" s="4"/>
      <c r="D827" s="9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4"/>
      <c r="B828" s="4"/>
      <c r="C828" s="4"/>
      <c r="D828" s="9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4"/>
      <c r="B829" s="4"/>
      <c r="C829" s="4"/>
      <c r="D829" s="9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4"/>
      <c r="B830" s="4"/>
      <c r="C830" s="4"/>
      <c r="D830" s="9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4"/>
      <c r="B831" s="4"/>
      <c r="C831" s="4"/>
      <c r="D831" s="9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4"/>
      <c r="B832" s="4"/>
      <c r="C832" s="4"/>
      <c r="D832" s="9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4"/>
      <c r="B833" s="4"/>
      <c r="C833" s="4"/>
      <c r="D833" s="9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4"/>
      <c r="B834" s="4"/>
      <c r="C834" s="4"/>
      <c r="D834" s="9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4"/>
      <c r="B835" s="4"/>
      <c r="C835" s="4"/>
      <c r="D835" s="9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4"/>
      <c r="B836" s="4"/>
      <c r="C836" s="4"/>
      <c r="D836" s="9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4"/>
      <c r="B837" s="4"/>
      <c r="C837" s="4"/>
      <c r="D837" s="9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4"/>
      <c r="B838" s="4"/>
      <c r="C838" s="4"/>
      <c r="D838" s="9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4"/>
      <c r="B839" s="4"/>
      <c r="C839" s="4"/>
      <c r="D839" s="9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4"/>
      <c r="B840" s="4"/>
      <c r="C840" s="4"/>
      <c r="D840" s="9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4"/>
      <c r="B841" s="4"/>
      <c r="C841" s="4"/>
      <c r="D841" s="9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4"/>
      <c r="B842" s="4"/>
      <c r="C842" s="4"/>
      <c r="D842" s="9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4"/>
      <c r="B843" s="4"/>
      <c r="C843" s="4"/>
      <c r="D843" s="9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4"/>
      <c r="B844" s="4"/>
      <c r="C844" s="4"/>
      <c r="D844" s="9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4"/>
      <c r="B845" s="4"/>
      <c r="C845" s="4"/>
      <c r="D845" s="9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4"/>
      <c r="B846" s="4"/>
      <c r="C846" s="4"/>
      <c r="D846" s="9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4"/>
      <c r="B847" s="4"/>
      <c r="C847" s="4"/>
      <c r="D847" s="9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4"/>
      <c r="B848" s="4"/>
      <c r="C848" s="4"/>
      <c r="D848" s="9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4"/>
      <c r="B849" s="4"/>
      <c r="C849" s="4"/>
      <c r="D849" s="9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4"/>
      <c r="B850" s="4"/>
      <c r="C850" s="4"/>
      <c r="D850" s="9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4"/>
      <c r="B851" s="4"/>
      <c r="C851" s="4"/>
      <c r="D851" s="9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4"/>
      <c r="B852" s="4"/>
      <c r="C852" s="4"/>
      <c r="D852" s="9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4"/>
      <c r="B853" s="4"/>
      <c r="C853" s="4"/>
      <c r="D853" s="9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4"/>
      <c r="B854" s="4"/>
      <c r="C854" s="4"/>
      <c r="D854" s="9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4"/>
      <c r="B855" s="4"/>
      <c r="C855" s="4"/>
      <c r="D855" s="9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4"/>
      <c r="B856" s="4"/>
      <c r="C856" s="4"/>
      <c r="D856" s="9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4"/>
      <c r="B857" s="4"/>
      <c r="C857" s="4"/>
      <c r="D857" s="9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4"/>
      <c r="B858" s="4"/>
      <c r="C858" s="4"/>
      <c r="D858" s="9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4"/>
      <c r="B859" s="4"/>
      <c r="C859" s="4"/>
      <c r="D859" s="9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4"/>
      <c r="B860" s="4"/>
      <c r="C860" s="4"/>
      <c r="D860" s="9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4"/>
      <c r="B861" s="4"/>
      <c r="C861" s="4"/>
      <c r="D861" s="9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4"/>
      <c r="B862" s="4"/>
      <c r="C862" s="4"/>
      <c r="D862" s="9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4"/>
      <c r="B863" s="4"/>
      <c r="C863" s="4"/>
      <c r="D863" s="9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4"/>
      <c r="B864" s="4"/>
      <c r="C864" s="4"/>
      <c r="D864" s="9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4"/>
      <c r="B865" s="4"/>
      <c r="C865" s="4"/>
      <c r="D865" s="9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4"/>
      <c r="B866" s="4"/>
      <c r="C866" s="4"/>
      <c r="D866" s="9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4"/>
      <c r="B867" s="4"/>
      <c r="C867" s="4"/>
      <c r="D867" s="9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4"/>
      <c r="B868" s="4"/>
      <c r="C868" s="4"/>
      <c r="D868" s="9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4"/>
      <c r="B869" s="4"/>
      <c r="C869" s="4"/>
      <c r="D869" s="9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4"/>
      <c r="B870" s="4"/>
      <c r="C870" s="4"/>
      <c r="D870" s="9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4"/>
      <c r="B871" s="4"/>
      <c r="C871" s="4"/>
      <c r="D871" s="9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4"/>
      <c r="B872" s="4"/>
      <c r="C872" s="4"/>
      <c r="D872" s="9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4"/>
      <c r="B873" s="4"/>
      <c r="C873" s="4"/>
      <c r="D873" s="9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4"/>
      <c r="B874" s="4"/>
      <c r="C874" s="4"/>
      <c r="D874" s="9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4"/>
      <c r="B875" s="4"/>
      <c r="C875" s="4"/>
      <c r="D875" s="9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4"/>
      <c r="B876" s="4"/>
      <c r="C876" s="4"/>
      <c r="D876" s="9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4"/>
      <c r="B877" s="4"/>
      <c r="C877" s="4"/>
      <c r="D877" s="9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4"/>
      <c r="B878" s="4"/>
      <c r="C878" s="4"/>
      <c r="D878" s="9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4"/>
      <c r="B879" s="4"/>
      <c r="C879" s="4"/>
      <c r="D879" s="9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4"/>
      <c r="B880" s="4"/>
      <c r="C880" s="4"/>
      <c r="D880" s="9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4"/>
      <c r="B881" s="4"/>
      <c r="C881" s="4"/>
      <c r="D881" s="9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4"/>
      <c r="B882" s="4"/>
      <c r="C882" s="4"/>
      <c r="D882" s="9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4"/>
      <c r="B883" s="4"/>
      <c r="C883" s="4"/>
      <c r="D883" s="9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4"/>
      <c r="B884" s="4"/>
      <c r="C884" s="4"/>
      <c r="D884" s="9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4"/>
      <c r="B885" s="4"/>
      <c r="C885" s="4"/>
      <c r="D885" s="9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4"/>
      <c r="B886" s="4"/>
      <c r="C886" s="4"/>
      <c r="D886" s="9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4"/>
      <c r="B887" s="4"/>
      <c r="C887" s="4"/>
      <c r="D887" s="9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4"/>
      <c r="B888" s="4"/>
      <c r="C888" s="4"/>
      <c r="D888" s="9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4"/>
      <c r="B889" s="4"/>
      <c r="C889" s="4"/>
      <c r="D889" s="9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4"/>
      <c r="B890" s="4"/>
      <c r="C890" s="4"/>
      <c r="D890" s="9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4"/>
      <c r="B891" s="4"/>
      <c r="C891" s="4"/>
      <c r="D891" s="9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4"/>
      <c r="B892" s="4"/>
      <c r="C892" s="4"/>
      <c r="D892" s="9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4"/>
      <c r="B893" s="4"/>
      <c r="C893" s="4"/>
      <c r="D893" s="9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4"/>
      <c r="B894" s="4"/>
      <c r="C894" s="4"/>
      <c r="D894" s="9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4"/>
      <c r="B895" s="4"/>
      <c r="C895" s="4"/>
      <c r="D895" s="9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4"/>
      <c r="B896" s="4"/>
      <c r="C896" s="4"/>
      <c r="D896" s="9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4"/>
      <c r="B897" s="4"/>
      <c r="C897" s="4"/>
      <c r="D897" s="9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4"/>
      <c r="B898" s="4"/>
      <c r="C898" s="4"/>
      <c r="D898" s="9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4"/>
      <c r="B899" s="4"/>
      <c r="C899" s="4"/>
      <c r="D899" s="9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4"/>
      <c r="B900" s="4"/>
      <c r="C900" s="4"/>
      <c r="D900" s="9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4"/>
      <c r="B901" s="4"/>
      <c r="C901" s="4"/>
      <c r="D901" s="9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4"/>
      <c r="B902" s="4"/>
      <c r="C902" s="4"/>
      <c r="D902" s="9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4"/>
      <c r="B903" s="4"/>
      <c r="C903" s="4"/>
      <c r="D903" s="9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4"/>
      <c r="B904" s="4"/>
      <c r="C904" s="4"/>
      <c r="D904" s="9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4"/>
      <c r="B905" s="4"/>
      <c r="C905" s="4"/>
      <c r="D905" s="9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4"/>
      <c r="B906" s="4"/>
      <c r="C906" s="4"/>
      <c r="D906" s="9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4"/>
      <c r="B907" s="4"/>
      <c r="C907" s="4"/>
      <c r="D907" s="9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4"/>
      <c r="B908" s="4"/>
      <c r="C908" s="4"/>
      <c r="D908" s="9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4"/>
      <c r="B909" s="4"/>
      <c r="C909" s="4"/>
      <c r="D909" s="9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4"/>
      <c r="B910" s="4"/>
      <c r="C910" s="4"/>
      <c r="D910" s="9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4"/>
      <c r="B911" s="4"/>
      <c r="C911" s="4"/>
      <c r="D911" s="9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4"/>
      <c r="B912" s="4"/>
      <c r="C912" s="4"/>
      <c r="D912" s="9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4"/>
      <c r="B913" s="4"/>
      <c r="C913" s="4"/>
      <c r="D913" s="9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4"/>
      <c r="B914" s="4"/>
      <c r="C914" s="4"/>
      <c r="D914" s="9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4"/>
      <c r="B915" s="4"/>
      <c r="C915" s="4"/>
      <c r="D915" s="9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4"/>
      <c r="B916" s="4"/>
      <c r="C916" s="4"/>
      <c r="D916" s="9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4"/>
      <c r="B917" s="4"/>
      <c r="C917" s="4"/>
      <c r="D917" s="9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4"/>
      <c r="B918" s="4"/>
      <c r="C918" s="4"/>
      <c r="D918" s="9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4"/>
      <c r="B919" s="4"/>
      <c r="C919" s="4"/>
      <c r="D919" s="9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4"/>
      <c r="B920" s="4"/>
      <c r="C920" s="4"/>
      <c r="D920" s="9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4"/>
      <c r="B921" s="4"/>
      <c r="C921" s="4"/>
      <c r="D921" s="9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4"/>
      <c r="B922" s="4"/>
      <c r="C922" s="4"/>
      <c r="D922" s="9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4"/>
      <c r="B923" s="4"/>
      <c r="C923" s="4"/>
      <c r="D923" s="9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4"/>
      <c r="B924" s="4"/>
      <c r="C924" s="4"/>
      <c r="D924" s="9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4"/>
      <c r="B925" s="4"/>
      <c r="C925" s="4"/>
      <c r="D925" s="9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4"/>
      <c r="B926" s="4"/>
      <c r="C926" s="4"/>
      <c r="D926" s="9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4"/>
      <c r="B927" s="4"/>
      <c r="C927" s="4"/>
      <c r="D927" s="9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4"/>
      <c r="B928" s="4"/>
      <c r="C928" s="4"/>
      <c r="D928" s="9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4"/>
      <c r="B929" s="4"/>
      <c r="C929" s="4"/>
      <c r="D929" s="9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4"/>
      <c r="B930" s="4"/>
      <c r="C930" s="4"/>
      <c r="D930" s="9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4"/>
      <c r="B931" s="4"/>
      <c r="C931" s="4"/>
      <c r="D931" s="9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4"/>
      <c r="B932" s="4"/>
      <c r="C932" s="4"/>
      <c r="D932" s="9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4"/>
      <c r="B933" s="4"/>
      <c r="C933" s="4"/>
      <c r="D933" s="9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4"/>
      <c r="B934" s="4"/>
      <c r="C934" s="4"/>
      <c r="D934" s="9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4"/>
      <c r="B935" s="4"/>
      <c r="C935" s="4"/>
      <c r="D935" s="9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4"/>
      <c r="B936" s="4"/>
      <c r="C936" s="4"/>
      <c r="D936" s="9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4"/>
      <c r="B937" s="4"/>
      <c r="C937" s="4"/>
      <c r="D937" s="9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4"/>
      <c r="B938" s="4"/>
      <c r="C938" s="4"/>
      <c r="D938" s="9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4"/>
      <c r="B939" s="4"/>
      <c r="C939" s="4"/>
      <c r="D939" s="9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4"/>
      <c r="B940" s="4"/>
      <c r="C940" s="4"/>
      <c r="D940" s="9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4"/>
      <c r="B941" s="4"/>
      <c r="C941" s="4"/>
      <c r="D941" s="9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4"/>
      <c r="B942" s="4"/>
      <c r="C942" s="4"/>
      <c r="D942" s="9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4"/>
      <c r="B943" s="4"/>
      <c r="C943" s="4"/>
      <c r="D943" s="9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4"/>
      <c r="B944" s="4"/>
      <c r="C944" s="4"/>
      <c r="D944" s="9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4"/>
      <c r="B945" s="4"/>
      <c r="C945" s="4"/>
      <c r="D945" s="9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4"/>
      <c r="B946" s="4"/>
      <c r="C946" s="4"/>
      <c r="D946" s="9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4"/>
      <c r="B947" s="4"/>
      <c r="C947" s="4"/>
      <c r="D947" s="9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4"/>
      <c r="B948" s="4"/>
      <c r="C948" s="4"/>
      <c r="D948" s="9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4"/>
      <c r="B949" s="4"/>
      <c r="C949" s="4"/>
      <c r="D949" s="9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4"/>
      <c r="B950" s="4"/>
      <c r="C950" s="4"/>
      <c r="D950" s="9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4"/>
      <c r="B951" s="4"/>
      <c r="C951" s="4"/>
      <c r="D951" s="9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4"/>
      <c r="B952" s="4"/>
      <c r="C952" s="4"/>
      <c r="D952" s="9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4"/>
      <c r="B953" s="4"/>
      <c r="C953" s="4"/>
      <c r="D953" s="9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4"/>
      <c r="B954" s="4"/>
      <c r="C954" s="4"/>
      <c r="D954" s="9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4"/>
      <c r="B955" s="4"/>
      <c r="C955" s="4"/>
      <c r="D955" s="9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4"/>
      <c r="B956" s="4"/>
      <c r="C956" s="4"/>
      <c r="D956" s="9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4"/>
      <c r="B957" s="4"/>
      <c r="C957" s="4"/>
      <c r="D957" s="9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4"/>
      <c r="B958" s="4"/>
      <c r="C958" s="4"/>
      <c r="D958" s="9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4"/>
      <c r="B959" s="4"/>
      <c r="C959" s="4"/>
      <c r="D959" s="9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4"/>
      <c r="B960" s="4"/>
      <c r="C960" s="4"/>
      <c r="D960" s="9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4"/>
      <c r="B961" s="4"/>
      <c r="C961" s="4"/>
      <c r="D961" s="9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4"/>
      <c r="B962" s="4"/>
      <c r="C962" s="4"/>
      <c r="D962" s="9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4"/>
      <c r="B963" s="4"/>
      <c r="C963" s="4"/>
      <c r="D963" s="9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4"/>
      <c r="B964" s="4"/>
      <c r="C964" s="4"/>
      <c r="D964" s="9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4"/>
      <c r="B965" s="4"/>
      <c r="C965" s="4"/>
      <c r="D965" s="9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4"/>
      <c r="B966" s="4"/>
      <c r="C966" s="4"/>
      <c r="D966" s="9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4"/>
      <c r="B967" s="4"/>
      <c r="C967" s="4"/>
      <c r="D967" s="9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4"/>
      <c r="B968" s="4"/>
      <c r="C968" s="4"/>
      <c r="D968" s="9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4"/>
      <c r="B969" s="4"/>
      <c r="C969" s="4"/>
      <c r="D969" s="9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4"/>
      <c r="B970" s="4"/>
      <c r="C970" s="4"/>
      <c r="D970" s="9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4"/>
      <c r="B971" s="4"/>
      <c r="C971" s="4"/>
      <c r="D971" s="9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4"/>
      <c r="B972" s="4"/>
      <c r="C972" s="4"/>
      <c r="D972" s="9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4"/>
      <c r="B973" s="4"/>
      <c r="C973" s="4"/>
      <c r="D973" s="9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4"/>
      <c r="B974" s="4"/>
      <c r="C974" s="4"/>
      <c r="D974" s="9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4"/>
      <c r="B975" s="4"/>
      <c r="C975" s="4"/>
      <c r="D975" s="9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4"/>
      <c r="B976" s="4"/>
      <c r="C976" s="4"/>
      <c r="D976" s="9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4"/>
      <c r="B977" s="4"/>
      <c r="C977" s="4"/>
      <c r="D977" s="9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4"/>
      <c r="B978" s="4"/>
      <c r="C978" s="4"/>
      <c r="D978" s="9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4"/>
      <c r="B979" s="4"/>
      <c r="C979" s="4"/>
      <c r="D979" s="9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4"/>
      <c r="B980" s="4"/>
      <c r="C980" s="4"/>
      <c r="D980" s="9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4"/>
      <c r="B981" s="4"/>
      <c r="C981" s="4"/>
      <c r="D981" s="9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4"/>
      <c r="B982" s="4"/>
      <c r="C982" s="4"/>
      <c r="D982" s="9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4"/>
      <c r="B983" s="4"/>
      <c r="C983" s="4"/>
      <c r="D983" s="9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4"/>
      <c r="B984" s="4"/>
      <c r="C984" s="4"/>
      <c r="D984" s="9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4"/>
      <c r="B985" s="4"/>
      <c r="C985" s="4"/>
      <c r="D985" s="9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4"/>
      <c r="B986" s="4"/>
      <c r="C986" s="4"/>
      <c r="D986" s="9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4"/>
      <c r="B987" s="4"/>
      <c r="C987" s="4"/>
      <c r="D987" s="9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4"/>
      <c r="B988" s="4"/>
      <c r="C988" s="4"/>
      <c r="D988" s="9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4"/>
      <c r="B989" s="4"/>
      <c r="C989" s="4"/>
      <c r="D989" s="9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4"/>
      <c r="B990" s="4"/>
      <c r="C990" s="4"/>
      <c r="D990" s="9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4"/>
      <c r="B991" s="4"/>
      <c r="C991" s="4"/>
      <c r="D991" s="9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4"/>
      <c r="B992" s="4"/>
      <c r="C992" s="4"/>
      <c r="D992" s="9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4"/>
      <c r="B993" s="4"/>
      <c r="C993" s="4"/>
      <c r="D993" s="9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</sheetData>
  <dataValidations>
    <dataValidation type="list" allowBlank="1" showErrorMessage="1" sqref="A2:A205">
      <formula1>"Sasi,Brindha,Dustin,Lakshmanan"</formula1>
    </dataValidation>
    <dataValidation type="list" allowBlank="1" showErrorMessage="1" sqref="B2:B205">
      <formula1>"ACCEL,LASAK,Referral,Job Portal,OLX"</formula1>
    </dataValidation>
    <dataValidation type="list" allowBlank="1" showErrorMessage="1" sqref="X2:X205">
      <formula1>"EMI doc shared,EMI Rejected,Interested,Enrolled,Not Interested, Not Interested_Fees High,Plan Dropped,Joined Elsewhere,EMI Approved,FPL,Not Answering,Gone Cold,Switchedoff,Not Reachable,Disconnecting the call,EMI Applied,Doc Pending,Call Busy,Call back re"&amp;"quested"</formula1>
    </dataValidation>
    <dataValidation type="list" allowBlank="1" showErrorMessage="1" sqref="E2:E205">
      <formula1>"Mech Combo,AutoCAD,CATIA,CREO,SOLIDWORKS,CIVIL ,DA,P-FSD,J-FSD,DM,DS,DADS,ST,CYBER-S,Others,Job,UIUX"</formula1>
    </dataValidation>
    <dataValidation type="list" allowBlank="1" showErrorMessage="1" sqref="U2:U205 Y2:Y205">
      <formula1>"Cold,Warm,Hot,Super Hot,Lost,Not Connected,Won,Connected,Approved,Rejected"</formula1>
    </dataValidation>
    <dataValidation type="list" allowBlank="1" showErrorMessage="1" sqref="T2:T205">
      <formula1>"Not Answering,Not Interested,Interested,Demo Scheduled,Demo Completed,Enrolled,EMI Rejected,Interested_DNP,Wrong Number,Not Reachable,Joined Elsewhere,Followup,Call Back Requested,Call Busy,Future Prospect Leads,Disconnecting the call,Switchedoff,Looking "&amp;"for job,No Incoming,EMI Process"</formula1>
    </dataValidation>
    <dataValidation type="custom" allowBlank="1" showDropDown="1" sqref="S2:S205">
      <formula1>OR(NOT(ISERROR(DATEVALUE(S2))), AND(ISNUMBER(S2), LEFT(CELL("format", S2))="D"))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5"/>
    <col customWidth="1" min="4" max="4" width="10.13"/>
    <col customWidth="1" min="5" max="5" width="13.63"/>
    <col customWidth="1" min="7" max="7" width="8.63"/>
    <col customWidth="1" min="9" max="9" width="11.5"/>
    <col customWidth="1" min="10" max="10" width="3.25"/>
    <col customWidth="1" min="11" max="11" width="33.0"/>
    <col customWidth="1" min="12" max="12" width="2.63"/>
    <col customWidth="1" min="13" max="13" width="17.63"/>
    <col customWidth="1" min="14" max="14" width="18.5"/>
    <col customWidth="1" min="15" max="15" width="35.0"/>
  </cols>
  <sheetData>
    <row r="1">
      <c r="A1" s="153" t="s">
        <v>0</v>
      </c>
      <c r="B1" s="99" t="s">
        <v>1504</v>
      </c>
      <c r="C1" s="99" t="s">
        <v>157</v>
      </c>
      <c r="D1" s="99" t="s">
        <v>1505</v>
      </c>
      <c r="E1" s="101" t="s">
        <v>335</v>
      </c>
      <c r="F1" s="99" t="s">
        <v>337</v>
      </c>
      <c r="G1" s="99" t="s">
        <v>341</v>
      </c>
      <c r="H1" s="99" t="s">
        <v>1017</v>
      </c>
      <c r="I1" s="102" t="s">
        <v>342</v>
      </c>
      <c r="J1" s="99" t="s">
        <v>343</v>
      </c>
      <c r="K1" s="102" t="s">
        <v>344</v>
      </c>
      <c r="L1" s="99" t="s">
        <v>1506</v>
      </c>
      <c r="M1" s="102" t="s">
        <v>345</v>
      </c>
      <c r="N1" s="99" t="s">
        <v>342</v>
      </c>
      <c r="O1" s="99" t="s">
        <v>346</v>
      </c>
      <c r="P1" s="53"/>
      <c r="Q1" s="53"/>
      <c r="R1" s="53"/>
      <c r="S1" s="53"/>
      <c r="T1" s="53"/>
      <c r="U1" s="53"/>
      <c r="V1" s="53"/>
    </row>
    <row r="2" hidden="1">
      <c r="A2" s="30" t="s">
        <v>22</v>
      </c>
      <c r="B2" s="171" t="s">
        <v>1507</v>
      </c>
      <c r="C2" s="6" t="s">
        <v>2430</v>
      </c>
      <c r="D2" s="6">
        <v>6.381423447E9</v>
      </c>
      <c r="E2" s="6" t="s">
        <v>38</v>
      </c>
      <c r="F2" s="6" t="s">
        <v>1149</v>
      </c>
      <c r="G2" s="172">
        <v>46132.0</v>
      </c>
      <c r="H2" s="6" t="s">
        <v>357</v>
      </c>
      <c r="I2" s="6" t="s">
        <v>358</v>
      </c>
      <c r="J2" s="54" t="b">
        <v>1</v>
      </c>
      <c r="K2" s="6" t="s">
        <v>2431</v>
      </c>
      <c r="L2" s="173" t="b">
        <v>0</v>
      </c>
      <c r="M2" s="6" t="s">
        <v>661</v>
      </c>
      <c r="N2" s="6" t="s">
        <v>358</v>
      </c>
      <c r="O2" s="6" t="s">
        <v>2432</v>
      </c>
      <c r="P2" s="53"/>
      <c r="Q2" s="53"/>
      <c r="R2" s="53"/>
      <c r="S2" s="53"/>
      <c r="T2" s="53"/>
      <c r="U2" s="53"/>
      <c r="V2" s="53"/>
    </row>
    <row r="3" hidden="1">
      <c r="A3" s="30" t="s">
        <v>146</v>
      </c>
      <c r="B3" s="171" t="s">
        <v>1507</v>
      </c>
      <c r="C3" s="6" t="s">
        <v>1950</v>
      </c>
      <c r="D3" s="6">
        <v>8.220784139E9</v>
      </c>
      <c r="E3" s="6" t="s">
        <v>38</v>
      </c>
      <c r="F3" s="6" t="s">
        <v>542</v>
      </c>
      <c r="G3" s="172">
        <v>46132.0</v>
      </c>
      <c r="H3" s="6" t="s">
        <v>357</v>
      </c>
      <c r="I3" s="6" t="s">
        <v>358</v>
      </c>
      <c r="J3" s="54" t="b">
        <v>1</v>
      </c>
      <c r="K3" s="6" t="s">
        <v>2433</v>
      </c>
      <c r="L3" s="173" t="b">
        <v>0</v>
      </c>
      <c r="M3" s="6" t="s">
        <v>382</v>
      </c>
      <c r="N3" s="6" t="s">
        <v>358</v>
      </c>
      <c r="O3" s="6" t="s">
        <v>2434</v>
      </c>
      <c r="P3" s="4"/>
      <c r="Q3" s="4"/>
      <c r="R3" s="4"/>
      <c r="S3" s="4"/>
      <c r="T3" s="4"/>
      <c r="U3" s="4"/>
      <c r="V3" s="4"/>
    </row>
    <row r="4" hidden="1">
      <c r="A4" s="30" t="s">
        <v>146</v>
      </c>
      <c r="B4" s="171" t="s">
        <v>1507</v>
      </c>
      <c r="C4" s="6" t="s">
        <v>951</v>
      </c>
      <c r="D4" s="6">
        <v>9.080902472E9</v>
      </c>
      <c r="E4" s="6" t="s">
        <v>38</v>
      </c>
      <c r="F4" s="6" t="s">
        <v>1456</v>
      </c>
      <c r="G4" s="172">
        <v>46129.0</v>
      </c>
      <c r="H4" s="6" t="s">
        <v>357</v>
      </c>
      <c r="I4" s="6" t="s">
        <v>358</v>
      </c>
      <c r="J4" s="54" t="b">
        <v>1</v>
      </c>
      <c r="K4" s="6" t="s">
        <v>2435</v>
      </c>
      <c r="L4" s="173" t="b">
        <v>0</v>
      </c>
      <c r="M4" s="6" t="s">
        <v>357</v>
      </c>
      <c r="N4" s="6" t="s">
        <v>358</v>
      </c>
      <c r="O4" s="6" t="s">
        <v>2436</v>
      </c>
      <c r="P4" s="4"/>
      <c r="Q4" s="4"/>
      <c r="R4" s="4"/>
      <c r="S4" s="4"/>
      <c r="T4" s="4"/>
      <c r="U4" s="4"/>
      <c r="V4" s="4"/>
    </row>
    <row r="5" hidden="1">
      <c r="A5" s="30" t="s">
        <v>22</v>
      </c>
      <c r="B5" s="171" t="s">
        <v>1879</v>
      </c>
      <c r="C5" s="6" t="s">
        <v>2437</v>
      </c>
      <c r="D5" s="6">
        <v>9.786207782E9</v>
      </c>
      <c r="E5" s="6" t="s">
        <v>69</v>
      </c>
      <c r="F5" s="6" t="s">
        <v>2438</v>
      </c>
      <c r="G5" s="172">
        <v>46136.0</v>
      </c>
      <c r="H5" s="6" t="s">
        <v>357</v>
      </c>
      <c r="I5" s="6" t="s">
        <v>358</v>
      </c>
      <c r="J5" s="54" t="b">
        <v>1</v>
      </c>
      <c r="K5" s="6" t="s">
        <v>2439</v>
      </c>
      <c r="L5" s="173" t="b">
        <v>0</v>
      </c>
      <c r="M5" s="6" t="s">
        <v>382</v>
      </c>
      <c r="N5" s="6" t="s">
        <v>358</v>
      </c>
      <c r="O5" s="6" t="s">
        <v>2440</v>
      </c>
      <c r="P5" s="4"/>
      <c r="Q5" s="4"/>
      <c r="R5" s="4"/>
      <c r="S5" s="4"/>
      <c r="T5" s="4"/>
      <c r="U5" s="4"/>
      <c r="V5" s="4"/>
    </row>
    <row r="6" hidden="1">
      <c r="A6" s="30" t="s">
        <v>22</v>
      </c>
      <c r="B6" s="171" t="s">
        <v>1507</v>
      </c>
      <c r="C6" s="6" t="s">
        <v>2441</v>
      </c>
      <c r="D6" s="6">
        <v>7.708567881E9</v>
      </c>
      <c r="E6" s="6" t="s">
        <v>38</v>
      </c>
      <c r="F6" s="6" t="s">
        <v>1437</v>
      </c>
      <c r="G6" s="172">
        <v>46127.0</v>
      </c>
      <c r="H6" s="6" t="s">
        <v>890</v>
      </c>
      <c r="I6" s="6" t="s">
        <v>891</v>
      </c>
      <c r="J6" s="57" t="b">
        <v>1</v>
      </c>
      <c r="K6" s="6" t="s">
        <v>2442</v>
      </c>
      <c r="L6" s="173" t="b">
        <v>0</v>
      </c>
      <c r="M6" s="6" t="s">
        <v>890</v>
      </c>
      <c r="N6" s="6" t="s">
        <v>891</v>
      </c>
      <c r="O6" s="6" t="s">
        <v>2443</v>
      </c>
      <c r="P6" s="4"/>
      <c r="Q6" s="4"/>
      <c r="R6" s="4"/>
      <c r="S6" s="4"/>
      <c r="T6" s="4"/>
      <c r="U6" s="4"/>
      <c r="V6" s="4"/>
    </row>
    <row r="7" hidden="1">
      <c r="A7" s="30" t="s">
        <v>146</v>
      </c>
      <c r="B7" s="171" t="s">
        <v>1507</v>
      </c>
      <c r="C7" s="6" t="s">
        <v>2444</v>
      </c>
      <c r="D7" s="6">
        <v>6.369356756E9</v>
      </c>
      <c r="E7" s="6" t="s">
        <v>38</v>
      </c>
      <c r="F7" s="6" t="s">
        <v>1437</v>
      </c>
      <c r="G7" s="172">
        <v>46128.0</v>
      </c>
      <c r="H7" s="6" t="s">
        <v>357</v>
      </c>
      <c r="I7" s="6" t="s">
        <v>358</v>
      </c>
      <c r="J7" s="104" t="b">
        <v>0</v>
      </c>
      <c r="K7" s="6" t="s">
        <v>2445</v>
      </c>
      <c r="L7" s="173" t="b">
        <v>0</v>
      </c>
      <c r="M7" s="6" t="s">
        <v>357</v>
      </c>
      <c r="N7" s="6" t="s">
        <v>358</v>
      </c>
      <c r="O7" s="6" t="s">
        <v>2446</v>
      </c>
      <c r="P7" s="4"/>
      <c r="Q7" s="4"/>
      <c r="R7" s="4"/>
      <c r="S7" s="4"/>
      <c r="T7" s="4"/>
      <c r="U7" s="4"/>
      <c r="V7" s="4"/>
    </row>
    <row r="8" hidden="1">
      <c r="A8" s="30" t="s">
        <v>146</v>
      </c>
      <c r="B8" s="171" t="s">
        <v>1507</v>
      </c>
      <c r="C8" s="6" t="s">
        <v>2447</v>
      </c>
      <c r="D8" s="6">
        <v>8.220771205E9</v>
      </c>
      <c r="E8" s="6" t="s">
        <v>38</v>
      </c>
      <c r="F8" s="6" t="s">
        <v>1437</v>
      </c>
      <c r="G8" s="172">
        <v>46132.0</v>
      </c>
      <c r="H8" s="6" t="s">
        <v>357</v>
      </c>
      <c r="I8" s="6" t="s">
        <v>358</v>
      </c>
      <c r="J8" s="104" t="b">
        <v>0</v>
      </c>
      <c r="K8" s="6" t="s">
        <v>2448</v>
      </c>
      <c r="L8" s="173" t="b">
        <v>0</v>
      </c>
      <c r="M8" s="6" t="s">
        <v>382</v>
      </c>
      <c r="N8" s="6" t="s">
        <v>358</v>
      </c>
      <c r="O8" s="6" t="s">
        <v>2449</v>
      </c>
      <c r="P8" s="4"/>
      <c r="Q8" s="4"/>
      <c r="R8" s="4"/>
      <c r="S8" s="4"/>
      <c r="T8" s="4"/>
      <c r="U8" s="4"/>
      <c r="V8" s="4"/>
    </row>
    <row r="9" hidden="1">
      <c r="A9" s="30" t="s">
        <v>22</v>
      </c>
      <c r="B9" s="171" t="s">
        <v>1507</v>
      </c>
      <c r="C9" s="6" t="s">
        <v>2111</v>
      </c>
      <c r="D9" s="6">
        <v>6.379674118E9</v>
      </c>
      <c r="E9" s="6" t="s">
        <v>38</v>
      </c>
      <c r="F9" s="6" t="s">
        <v>1149</v>
      </c>
      <c r="G9" s="172">
        <v>46136.0</v>
      </c>
      <c r="H9" s="6" t="s">
        <v>357</v>
      </c>
      <c r="I9" s="6" t="s">
        <v>358</v>
      </c>
      <c r="J9" s="54" t="b">
        <v>1</v>
      </c>
      <c r="K9" s="6" t="s">
        <v>2450</v>
      </c>
      <c r="L9" s="173" t="b">
        <v>0</v>
      </c>
      <c r="M9" s="6" t="s">
        <v>382</v>
      </c>
      <c r="N9" s="6" t="s">
        <v>358</v>
      </c>
      <c r="O9" s="6" t="s">
        <v>2451</v>
      </c>
      <c r="P9" s="4"/>
      <c r="Q9" s="4"/>
      <c r="R9" s="4"/>
      <c r="S9" s="4"/>
      <c r="T9" s="4"/>
      <c r="U9" s="4"/>
      <c r="V9" s="4"/>
    </row>
    <row r="10" hidden="1">
      <c r="A10" s="30" t="s">
        <v>22</v>
      </c>
      <c r="B10" s="171" t="s">
        <v>1507</v>
      </c>
      <c r="C10" s="6" t="s">
        <v>2452</v>
      </c>
      <c r="D10" s="6">
        <v>8.07217555E9</v>
      </c>
      <c r="E10" s="6" t="s">
        <v>38</v>
      </c>
      <c r="F10" s="6" t="s">
        <v>2453</v>
      </c>
      <c r="G10" s="172">
        <v>46128.0</v>
      </c>
      <c r="H10" s="6" t="s">
        <v>357</v>
      </c>
      <c r="I10" s="6" t="s">
        <v>358</v>
      </c>
      <c r="J10" s="54" t="b">
        <v>1</v>
      </c>
      <c r="K10" s="6" t="s">
        <v>2454</v>
      </c>
      <c r="L10" s="110" t="b">
        <v>0</v>
      </c>
      <c r="M10" s="6" t="s">
        <v>684</v>
      </c>
      <c r="N10" s="6" t="s">
        <v>358</v>
      </c>
      <c r="O10" s="6" t="s">
        <v>2455</v>
      </c>
      <c r="P10" s="4"/>
      <c r="Q10" s="4"/>
      <c r="R10" s="4"/>
      <c r="S10" s="4"/>
      <c r="T10" s="4"/>
      <c r="U10" s="4"/>
      <c r="V10" s="4"/>
    </row>
    <row r="11" hidden="1">
      <c r="A11" s="30" t="s">
        <v>146</v>
      </c>
      <c r="B11" s="171" t="s">
        <v>1507</v>
      </c>
      <c r="C11" s="6" t="s">
        <v>2456</v>
      </c>
      <c r="D11" s="6">
        <v>9.345270167E9</v>
      </c>
      <c r="E11" s="6" t="s">
        <v>38</v>
      </c>
      <c r="F11" s="6" t="s">
        <v>409</v>
      </c>
      <c r="G11" s="172">
        <v>46130.0</v>
      </c>
      <c r="H11" s="6" t="s">
        <v>357</v>
      </c>
      <c r="I11" s="6" t="s">
        <v>358</v>
      </c>
      <c r="J11" s="54" t="b">
        <v>1</v>
      </c>
      <c r="K11" s="6" t="s">
        <v>2457</v>
      </c>
      <c r="L11" s="173" t="b">
        <v>0</v>
      </c>
      <c r="M11" s="6" t="s">
        <v>661</v>
      </c>
      <c r="N11" s="6" t="s">
        <v>358</v>
      </c>
      <c r="O11" s="6" t="s">
        <v>2458</v>
      </c>
      <c r="P11" s="4"/>
      <c r="Q11" s="4"/>
      <c r="R11" s="4"/>
      <c r="S11" s="4"/>
      <c r="T11" s="4"/>
      <c r="U11" s="4"/>
      <c r="V11" s="4"/>
    </row>
    <row r="12" hidden="1">
      <c r="A12" s="30" t="s">
        <v>146</v>
      </c>
      <c r="B12" s="171" t="s">
        <v>1507</v>
      </c>
      <c r="C12" s="6" t="s">
        <v>2459</v>
      </c>
      <c r="D12" s="6">
        <v>7.094296182E9</v>
      </c>
      <c r="E12" s="6" t="s">
        <v>38</v>
      </c>
      <c r="F12" s="6" t="s">
        <v>409</v>
      </c>
      <c r="G12" s="172">
        <v>46130.0</v>
      </c>
      <c r="H12" s="6" t="s">
        <v>357</v>
      </c>
      <c r="I12" s="6" t="s">
        <v>358</v>
      </c>
      <c r="J12" s="54" t="b">
        <v>1</v>
      </c>
      <c r="K12" s="6" t="s">
        <v>2460</v>
      </c>
      <c r="L12" s="173" t="b">
        <v>0</v>
      </c>
      <c r="M12" s="6" t="s">
        <v>661</v>
      </c>
      <c r="N12" s="6" t="s">
        <v>358</v>
      </c>
      <c r="O12" s="6" t="s">
        <v>2461</v>
      </c>
      <c r="P12" s="4"/>
      <c r="Q12" s="4"/>
      <c r="R12" s="4"/>
      <c r="S12" s="4"/>
      <c r="T12" s="4"/>
      <c r="U12" s="4"/>
      <c r="V12" s="4"/>
    </row>
    <row r="13" hidden="1">
      <c r="A13" s="30" t="s">
        <v>146</v>
      </c>
      <c r="B13" s="171" t="s">
        <v>1507</v>
      </c>
      <c r="C13" s="6" t="s">
        <v>2462</v>
      </c>
      <c r="D13" s="6">
        <v>9.043405979E9</v>
      </c>
      <c r="E13" s="6" t="s">
        <v>38</v>
      </c>
      <c r="F13" s="6" t="s">
        <v>409</v>
      </c>
      <c r="G13" s="172">
        <v>46130.0</v>
      </c>
      <c r="H13" s="6" t="s">
        <v>357</v>
      </c>
      <c r="I13" s="6" t="s">
        <v>358</v>
      </c>
      <c r="J13" s="54" t="b">
        <v>1</v>
      </c>
      <c r="K13" s="6" t="s">
        <v>2460</v>
      </c>
      <c r="L13" s="173" t="b">
        <v>0</v>
      </c>
      <c r="M13" s="6" t="s">
        <v>661</v>
      </c>
      <c r="N13" s="6" t="s">
        <v>358</v>
      </c>
      <c r="O13" s="6" t="s">
        <v>2463</v>
      </c>
      <c r="P13" s="4"/>
      <c r="Q13" s="4"/>
      <c r="R13" s="4"/>
      <c r="S13" s="4"/>
      <c r="T13" s="4"/>
      <c r="U13" s="4"/>
      <c r="V13" s="4"/>
    </row>
    <row r="14" hidden="1">
      <c r="A14" s="30" t="s">
        <v>146</v>
      </c>
      <c r="B14" s="171" t="s">
        <v>1507</v>
      </c>
      <c r="C14" s="6" t="s">
        <v>2464</v>
      </c>
      <c r="D14" s="6">
        <v>9.791536425E9</v>
      </c>
      <c r="E14" s="6" t="s">
        <v>1378</v>
      </c>
      <c r="F14" s="6" t="s">
        <v>2465</v>
      </c>
      <c r="G14" s="172">
        <v>46132.0</v>
      </c>
      <c r="H14" s="6" t="s">
        <v>357</v>
      </c>
      <c r="I14" s="6" t="s">
        <v>358</v>
      </c>
      <c r="J14" s="57" t="b">
        <v>0</v>
      </c>
      <c r="K14" s="6" t="s">
        <v>2466</v>
      </c>
      <c r="L14" s="173" t="b">
        <v>0</v>
      </c>
      <c r="M14" s="6" t="s">
        <v>382</v>
      </c>
      <c r="N14" s="6" t="s">
        <v>358</v>
      </c>
      <c r="O14" s="6" t="s">
        <v>2467</v>
      </c>
      <c r="P14" s="4"/>
      <c r="Q14" s="4"/>
      <c r="R14" s="4"/>
      <c r="S14" s="4"/>
      <c r="T14" s="4"/>
      <c r="U14" s="4"/>
      <c r="V14" s="4"/>
    </row>
    <row r="15">
      <c r="A15" s="30" t="s">
        <v>146</v>
      </c>
      <c r="B15" s="171" t="s">
        <v>1507</v>
      </c>
      <c r="C15" s="6" t="s">
        <v>2468</v>
      </c>
      <c r="D15" s="7">
        <v>8.270591363E9</v>
      </c>
      <c r="E15" s="6" t="s">
        <v>38</v>
      </c>
      <c r="F15" s="6" t="s">
        <v>1456</v>
      </c>
      <c r="G15" s="172">
        <v>46140.0</v>
      </c>
      <c r="H15" s="6" t="s">
        <v>431</v>
      </c>
      <c r="I15" s="6" t="s">
        <v>432</v>
      </c>
      <c r="J15" s="57" t="b">
        <v>1</v>
      </c>
      <c r="K15" s="6" t="s">
        <v>2469</v>
      </c>
      <c r="L15" s="173" t="b">
        <v>0</v>
      </c>
      <c r="M15" s="6" t="s">
        <v>431</v>
      </c>
      <c r="N15" s="6" t="s">
        <v>432</v>
      </c>
      <c r="O15" s="6" t="s">
        <v>2470</v>
      </c>
      <c r="P15" s="4"/>
      <c r="Q15" s="4"/>
      <c r="R15" s="4"/>
      <c r="S15" s="4"/>
      <c r="T15" s="4"/>
      <c r="U15" s="4"/>
      <c r="V15" s="4"/>
    </row>
    <row r="16" hidden="1">
      <c r="A16" s="30" t="s">
        <v>146</v>
      </c>
      <c r="B16" s="171" t="s">
        <v>1507</v>
      </c>
      <c r="C16" s="6" t="s">
        <v>2471</v>
      </c>
      <c r="D16" s="6">
        <v>8.63747627E9</v>
      </c>
      <c r="E16" s="6" t="s">
        <v>38</v>
      </c>
      <c r="F16" s="6" t="s">
        <v>2472</v>
      </c>
      <c r="G16" s="172">
        <v>46132.0</v>
      </c>
      <c r="H16" s="6" t="s">
        <v>357</v>
      </c>
      <c r="I16" s="6" t="s">
        <v>358</v>
      </c>
      <c r="J16" s="54" t="b">
        <v>1</v>
      </c>
      <c r="K16" s="6" t="s">
        <v>2473</v>
      </c>
      <c r="L16" s="173" t="b">
        <v>0</v>
      </c>
      <c r="M16" s="6" t="s">
        <v>382</v>
      </c>
      <c r="N16" s="6" t="s">
        <v>358</v>
      </c>
      <c r="O16" s="6" t="s">
        <v>2474</v>
      </c>
      <c r="P16" s="4"/>
      <c r="Q16" s="4"/>
      <c r="R16" s="4"/>
      <c r="S16" s="4"/>
      <c r="T16" s="4"/>
      <c r="U16" s="4"/>
      <c r="V16" s="4"/>
    </row>
    <row r="17" hidden="1">
      <c r="A17" s="30" t="s">
        <v>146</v>
      </c>
      <c r="B17" s="171" t="s">
        <v>1507</v>
      </c>
      <c r="C17" s="6" t="s">
        <v>2475</v>
      </c>
      <c r="D17" s="6">
        <v>9.025267839E9</v>
      </c>
      <c r="E17" s="6" t="s">
        <v>38</v>
      </c>
      <c r="F17" s="6" t="s">
        <v>1456</v>
      </c>
      <c r="G17" s="172">
        <v>46132.0</v>
      </c>
      <c r="H17" s="6" t="s">
        <v>357</v>
      </c>
      <c r="I17" s="6" t="s">
        <v>358</v>
      </c>
      <c r="J17" s="104" t="b">
        <v>0</v>
      </c>
      <c r="K17" s="6" t="s">
        <v>2476</v>
      </c>
      <c r="L17" s="173" t="b">
        <v>0</v>
      </c>
      <c r="M17" s="6" t="s">
        <v>382</v>
      </c>
      <c r="N17" s="6" t="s">
        <v>358</v>
      </c>
      <c r="O17" s="6" t="s">
        <v>2477</v>
      </c>
      <c r="P17" s="4"/>
      <c r="Q17" s="4"/>
      <c r="R17" s="4"/>
      <c r="S17" s="4"/>
      <c r="T17" s="4"/>
      <c r="U17" s="4"/>
      <c r="V17" s="4"/>
    </row>
    <row r="18" hidden="1">
      <c r="A18" s="30" t="s">
        <v>146</v>
      </c>
      <c r="B18" s="171" t="s">
        <v>1507</v>
      </c>
      <c r="C18" s="6" t="s">
        <v>2478</v>
      </c>
      <c r="D18" s="6">
        <v>7.339216805E9</v>
      </c>
      <c r="E18" s="6" t="s">
        <v>180</v>
      </c>
      <c r="F18" s="53"/>
      <c r="G18" s="172">
        <v>46132.0</v>
      </c>
      <c r="H18" s="6" t="s">
        <v>357</v>
      </c>
      <c r="I18" s="6" t="s">
        <v>358</v>
      </c>
      <c r="J18" s="104" t="b">
        <v>0</v>
      </c>
      <c r="K18" s="6" t="s">
        <v>2479</v>
      </c>
      <c r="L18" s="173" t="b">
        <v>0</v>
      </c>
      <c r="M18" s="6" t="s">
        <v>684</v>
      </c>
      <c r="N18" s="6" t="s">
        <v>358</v>
      </c>
      <c r="O18" s="6" t="s">
        <v>2480</v>
      </c>
      <c r="P18" s="4"/>
      <c r="Q18" s="4"/>
      <c r="R18" s="4"/>
      <c r="S18" s="4"/>
      <c r="T18" s="4"/>
      <c r="U18" s="4"/>
      <c r="V18" s="4"/>
    </row>
    <row r="19" hidden="1">
      <c r="A19" s="30" t="s">
        <v>146</v>
      </c>
      <c r="B19" s="171" t="s">
        <v>1507</v>
      </c>
      <c r="C19" s="6" t="s">
        <v>2481</v>
      </c>
      <c r="D19" s="6">
        <v>9.363332692E9</v>
      </c>
      <c r="E19" s="6" t="s">
        <v>45</v>
      </c>
      <c r="F19" s="6" t="s">
        <v>1805</v>
      </c>
      <c r="G19" s="172">
        <v>46132.0</v>
      </c>
      <c r="H19" s="6" t="s">
        <v>357</v>
      </c>
      <c r="I19" s="6" t="s">
        <v>358</v>
      </c>
      <c r="J19" s="104" t="b">
        <v>0</v>
      </c>
      <c r="K19" s="6" t="s">
        <v>2482</v>
      </c>
      <c r="L19" s="173" t="b">
        <v>0</v>
      </c>
      <c r="M19" s="6" t="s">
        <v>382</v>
      </c>
      <c r="N19" s="6" t="s">
        <v>358</v>
      </c>
      <c r="O19" s="6" t="s">
        <v>2477</v>
      </c>
      <c r="P19" s="4"/>
      <c r="Q19" s="4"/>
      <c r="R19" s="4"/>
      <c r="S19" s="4"/>
      <c r="T19" s="4"/>
      <c r="U19" s="4"/>
      <c r="V19" s="4"/>
    </row>
    <row r="20" hidden="1">
      <c r="A20" s="30" t="s">
        <v>146</v>
      </c>
      <c r="B20" s="171" t="s">
        <v>1507</v>
      </c>
      <c r="C20" s="6" t="s">
        <v>2483</v>
      </c>
      <c r="D20" s="7">
        <v>8.608706242E9</v>
      </c>
      <c r="E20" s="6" t="s">
        <v>45</v>
      </c>
      <c r="F20" s="6" t="s">
        <v>2484</v>
      </c>
      <c r="G20" s="172">
        <v>46139.0</v>
      </c>
      <c r="H20" s="6" t="s">
        <v>357</v>
      </c>
      <c r="I20" s="6" t="s">
        <v>358</v>
      </c>
      <c r="J20" s="54" t="b">
        <v>1</v>
      </c>
      <c r="K20" s="6" t="s">
        <v>2485</v>
      </c>
      <c r="L20" s="173" t="b">
        <v>0</v>
      </c>
      <c r="M20" s="6" t="s">
        <v>382</v>
      </c>
      <c r="N20" s="6" t="s">
        <v>358</v>
      </c>
      <c r="O20" s="6" t="s">
        <v>2486</v>
      </c>
      <c r="P20" s="4"/>
      <c r="Q20" s="4"/>
      <c r="R20" s="4"/>
      <c r="S20" s="4"/>
      <c r="T20" s="4"/>
      <c r="U20" s="4"/>
      <c r="V20" s="4"/>
    </row>
    <row r="21" hidden="1">
      <c r="A21" s="30" t="s">
        <v>146</v>
      </c>
      <c r="B21" s="171" t="s">
        <v>1507</v>
      </c>
      <c r="C21" s="6" t="s">
        <v>2487</v>
      </c>
      <c r="D21" s="6">
        <v>6.383163042E9</v>
      </c>
      <c r="E21" s="6" t="s">
        <v>38</v>
      </c>
      <c r="F21" s="53"/>
      <c r="G21" s="172">
        <v>46133.0</v>
      </c>
      <c r="H21" s="6" t="s">
        <v>357</v>
      </c>
      <c r="I21" s="6" t="s">
        <v>358</v>
      </c>
      <c r="J21" s="104" t="b">
        <v>0</v>
      </c>
      <c r="K21" s="6" t="s">
        <v>2488</v>
      </c>
      <c r="L21" s="173" t="b">
        <v>0</v>
      </c>
      <c r="M21" s="6" t="s">
        <v>382</v>
      </c>
      <c r="N21" s="6" t="s">
        <v>358</v>
      </c>
      <c r="O21" s="6" t="s">
        <v>2489</v>
      </c>
      <c r="P21" s="4"/>
      <c r="Q21" s="4"/>
      <c r="R21" s="4"/>
      <c r="S21" s="4"/>
      <c r="T21" s="4"/>
      <c r="U21" s="4"/>
      <c r="V21" s="4"/>
    </row>
    <row r="22" hidden="1">
      <c r="A22" s="30" t="s">
        <v>146</v>
      </c>
      <c r="B22" s="171" t="s">
        <v>1507</v>
      </c>
      <c r="C22" s="6" t="s">
        <v>2490</v>
      </c>
      <c r="D22" s="6">
        <v>7.81009318E9</v>
      </c>
      <c r="E22" s="6" t="s">
        <v>45</v>
      </c>
      <c r="F22" s="6" t="s">
        <v>2491</v>
      </c>
      <c r="G22" s="172">
        <v>46136.0</v>
      </c>
      <c r="H22" s="6" t="s">
        <v>357</v>
      </c>
      <c r="I22" s="6" t="s">
        <v>358</v>
      </c>
      <c r="J22" s="54" t="b">
        <v>1</v>
      </c>
      <c r="K22" s="6" t="s">
        <v>2492</v>
      </c>
      <c r="L22" s="173" t="b">
        <v>0</v>
      </c>
      <c r="M22" s="6" t="s">
        <v>661</v>
      </c>
      <c r="N22" s="6" t="s">
        <v>358</v>
      </c>
      <c r="O22" s="6" t="s">
        <v>2493</v>
      </c>
      <c r="P22" s="4"/>
      <c r="Q22" s="4"/>
      <c r="R22" s="4"/>
      <c r="S22" s="4"/>
      <c r="T22" s="4"/>
      <c r="U22" s="4"/>
      <c r="V22" s="4"/>
    </row>
    <row r="23" hidden="1">
      <c r="A23" s="30" t="s">
        <v>146</v>
      </c>
      <c r="B23" s="171" t="s">
        <v>1507</v>
      </c>
      <c r="C23" s="6" t="s">
        <v>2494</v>
      </c>
      <c r="D23" s="6">
        <v>6.37984022E9</v>
      </c>
      <c r="E23" s="6" t="s">
        <v>45</v>
      </c>
      <c r="F23" s="6" t="s">
        <v>2495</v>
      </c>
      <c r="G23" s="172">
        <v>46133.0</v>
      </c>
      <c r="H23" s="6" t="s">
        <v>357</v>
      </c>
      <c r="I23" s="6" t="s">
        <v>358</v>
      </c>
      <c r="J23" s="104" t="b">
        <v>0</v>
      </c>
      <c r="K23" s="6" t="s">
        <v>2496</v>
      </c>
      <c r="L23" s="173" t="b">
        <v>0</v>
      </c>
      <c r="M23" s="6" t="s">
        <v>382</v>
      </c>
      <c r="N23" s="6" t="s">
        <v>358</v>
      </c>
      <c r="O23" s="6" t="s">
        <v>2497</v>
      </c>
      <c r="P23" s="4"/>
      <c r="Q23" s="4"/>
      <c r="R23" s="4"/>
      <c r="S23" s="4"/>
      <c r="T23" s="4"/>
      <c r="U23" s="4"/>
      <c r="V23" s="4"/>
    </row>
    <row r="24" hidden="1">
      <c r="A24" s="30" t="s">
        <v>146</v>
      </c>
      <c r="B24" s="171" t="s">
        <v>1507</v>
      </c>
      <c r="C24" s="6" t="s">
        <v>2498</v>
      </c>
      <c r="D24" s="6">
        <v>9.791469235E9</v>
      </c>
      <c r="E24" s="6" t="s">
        <v>38</v>
      </c>
      <c r="F24" s="6" t="s">
        <v>2499</v>
      </c>
      <c r="G24" s="172">
        <v>46133.0</v>
      </c>
      <c r="H24" s="6" t="s">
        <v>357</v>
      </c>
      <c r="I24" s="6" t="s">
        <v>358</v>
      </c>
      <c r="J24" s="104" t="b">
        <v>0</v>
      </c>
      <c r="K24" s="6" t="s">
        <v>2500</v>
      </c>
      <c r="L24" s="173" t="b">
        <v>0</v>
      </c>
      <c r="M24" s="6" t="s">
        <v>382</v>
      </c>
      <c r="N24" s="6" t="s">
        <v>358</v>
      </c>
      <c r="O24" s="53"/>
      <c r="P24" s="4"/>
      <c r="Q24" s="4"/>
      <c r="R24" s="4"/>
      <c r="S24" s="4"/>
      <c r="T24" s="4"/>
      <c r="U24" s="4"/>
      <c r="V24" s="4"/>
    </row>
    <row r="25" hidden="1">
      <c r="A25" s="30" t="s">
        <v>146</v>
      </c>
      <c r="B25" s="171" t="s">
        <v>1507</v>
      </c>
      <c r="C25" s="6" t="s">
        <v>2501</v>
      </c>
      <c r="D25" s="7">
        <v>6.383402525E9</v>
      </c>
      <c r="E25" s="6" t="s">
        <v>1575</v>
      </c>
      <c r="F25" s="6" t="s">
        <v>542</v>
      </c>
      <c r="G25" s="172">
        <v>46139.0</v>
      </c>
      <c r="H25" s="6" t="s">
        <v>357</v>
      </c>
      <c r="I25" s="6" t="s">
        <v>358</v>
      </c>
      <c r="J25" s="54" t="b">
        <v>1</v>
      </c>
      <c r="K25" s="6" t="s">
        <v>2502</v>
      </c>
      <c r="L25" s="173" t="b">
        <v>0</v>
      </c>
      <c r="M25" s="6" t="s">
        <v>382</v>
      </c>
      <c r="N25" s="6" t="s">
        <v>358</v>
      </c>
      <c r="O25" s="6" t="s">
        <v>2503</v>
      </c>
      <c r="P25" s="4"/>
      <c r="Q25" s="4"/>
      <c r="R25" s="4"/>
      <c r="S25" s="4"/>
      <c r="T25" s="4"/>
      <c r="U25" s="4"/>
      <c r="V25" s="4"/>
    </row>
    <row r="26" hidden="1">
      <c r="A26" s="30" t="s">
        <v>225</v>
      </c>
      <c r="B26" s="171" t="s">
        <v>1507</v>
      </c>
      <c r="C26" s="6" t="s">
        <v>2504</v>
      </c>
      <c r="D26" s="6">
        <v>9.94426622E9</v>
      </c>
      <c r="E26" s="6" t="s">
        <v>38</v>
      </c>
      <c r="F26" s="53"/>
      <c r="G26" s="172">
        <v>46127.0</v>
      </c>
      <c r="H26" s="6" t="s">
        <v>890</v>
      </c>
      <c r="I26" s="6" t="s">
        <v>891</v>
      </c>
      <c r="J26" s="57" t="b">
        <v>1</v>
      </c>
      <c r="K26" s="6" t="s">
        <v>2505</v>
      </c>
      <c r="L26" s="173" t="b">
        <v>0</v>
      </c>
      <c r="M26" s="53"/>
      <c r="N26" s="53"/>
      <c r="O26" s="53"/>
      <c r="P26" s="4"/>
      <c r="Q26" s="4"/>
      <c r="R26" s="4"/>
      <c r="S26" s="4"/>
      <c r="T26" s="4"/>
      <c r="U26" s="4"/>
      <c r="V26" s="4"/>
    </row>
    <row r="27">
      <c r="A27" s="30" t="s">
        <v>146</v>
      </c>
      <c r="B27" s="171" t="s">
        <v>1761</v>
      </c>
      <c r="C27" s="6" t="s">
        <v>2506</v>
      </c>
      <c r="D27" s="7">
        <v>9.514948711E9</v>
      </c>
      <c r="E27" s="6" t="s">
        <v>38</v>
      </c>
      <c r="F27" s="6" t="s">
        <v>2507</v>
      </c>
      <c r="G27" s="172">
        <v>46136.0</v>
      </c>
      <c r="H27" s="6" t="s">
        <v>431</v>
      </c>
      <c r="I27" s="6" t="s">
        <v>432</v>
      </c>
      <c r="J27" s="57" t="b">
        <v>1</v>
      </c>
      <c r="K27" s="6" t="s">
        <v>2508</v>
      </c>
      <c r="L27" s="173" t="b">
        <v>0</v>
      </c>
      <c r="M27" s="6" t="s">
        <v>431</v>
      </c>
      <c r="N27" s="6" t="s">
        <v>432</v>
      </c>
      <c r="O27" s="6" t="s">
        <v>2509</v>
      </c>
      <c r="P27" s="4"/>
      <c r="Q27" s="4"/>
      <c r="R27" s="4"/>
      <c r="S27" s="4"/>
      <c r="T27" s="4"/>
      <c r="U27" s="4"/>
      <c r="V27" s="4"/>
    </row>
    <row r="28">
      <c r="A28" s="30" t="s">
        <v>22</v>
      </c>
      <c r="B28" s="171" t="s">
        <v>1507</v>
      </c>
      <c r="C28" s="6" t="s">
        <v>2510</v>
      </c>
      <c r="D28" s="7">
        <v>8.531874892E9</v>
      </c>
      <c r="E28" s="6" t="s">
        <v>69</v>
      </c>
      <c r="F28" s="6" t="s">
        <v>409</v>
      </c>
      <c r="G28" s="172">
        <v>46148.0</v>
      </c>
      <c r="H28" s="6" t="s">
        <v>431</v>
      </c>
      <c r="I28" s="6" t="s">
        <v>429</v>
      </c>
      <c r="J28" s="57" t="b">
        <v>1</v>
      </c>
      <c r="K28" s="6" t="s">
        <v>2511</v>
      </c>
      <c r="L28" s="173" t="b">
        <v>0</v>
      </c>
      <c r="M28" s="6" t="s">
        <v>431</v>
      </c>
      <c r="N28" s="6" t="s">
        <v>432</v>
      </c>
      <c r="O28" s="6" t="s">
        <v>2512</v>
      </c>
      <c r="P28" s="4"/>
      <c r="Q28" s="4"/>
      <c r="R28" s="4"/>
      <c r="S28" s="4"/>
      <c r="T28" s="4"/>
      <c r="U28" s="4"/>
      <c r="V28" s="4"/>
    </row>
    <row r="29">
      <c r="A29" s="30" t="s">
        <v>146</v>
      </c>
      <c r="B29" s="171" t="s">
        <v>1775</v>
      </c>
      <c r="C29" s="6" t="s">
        <v>1641</v>
      </c>
      <c r="D29" s="7">
        <v>9.092882408E9</v>
      </c>
      <c r="E29" s="6" t="s">
        <v>38</v>
      </c>
      <c r="F29" s="6" t="s">
        <v>941</v>
      </c>
      <c r="G29" s="172">
        <v>46136.0</v>
      </c>
      <c r="H29" s="6" t="s">
        <v>431</v>
      </c>
      <c r="I29" s="6" t="s">
        <v>588</v>
      </c>
      <c r="J29" s="57" t="b">
        <v>1</v>
      </c>
      <c r="K29" s="6" t="s">
        <v>2513</v>
      </c>
      <c r="L29" s="173" t="b">
        <v>0</v>
      </c>
      <c r="M29" s="6" t="s">
        <v>431</v>
      </c>
      <c r="N29" s="6" t="s">
        <v>432</v>
      </c>
      <c r="O29" s="6" t="s">
        <v>2514</v>
      </c>
      <c r="P29" s="4"/>
      <c r="Q29" s="4"/>
      <c r="R29" s="4"/>
      <c r="S29" s="4"/>
      <c r="T29" s="4"/>
      <c r="U29" s="4"/>
      <c r="V29" s="4"/>
    </row>
    <row r="30" hidden="1">
      <c r="A30" s="30" t="s">
        <v>146</v>
      </c>
      <c r="B30" s="171" t="s">
        <v>1507</v>
      </c>
      <c r="C30" s="6" t="s">
        <v>472</v>
      </c>
      <c r="D30" s="7">
        <v>8.754985107E9</v>
      </c>
      <c r="E30" s="6" t="s">
        <v>45</v>
      </c>
      <c r="F30" s="6" t="s">
        <v>2515</v>
      </c>
      <c r="G30" s="172">
        <v>46139.0</v>
      </c>
      <c r="H30" s="6" t="s">
        <v>357</v>
      </c>
      <c r="I30" s="6" t="s">
        <v>358</v>
      </c>
      <c r="J30" s="54" t="b">
        <v>1</v>
      </c>
      <c r="K30" s="6" t="s">
        <v>2516</v>
      </c>
      <c r="L30" s="173" t="b">
        <v>0</v>
      </c>
      <c r="M30" s="6" t="s">
        <v>382</v>
      </c>
      <c r="N30" s="6" t="s">
        <v>358</v>
      </c>
      <c r="O30" s="6" t="s">
        <v>2503</v>
      </c>
      <c r="P30" s="4"/>
      <c r="Q30" s="4"/>
      <c r="R30" s="4"/>
      <c r="S30" s="4"/>
      <c r="T30" s="4"/>
      <c r="U30" s="4"/>
      <c r="V30" s="4"/>
    </row>
    <row r="31">
      <c r="A31" s="30" t="s">
        <v>146</v>
      </c>
      <c r="B31" s="171" t="s">
        <v>1507</v>
      </c>
      <c r="C31" s="6" t="s">
        <v>2517</v>
      </c>
      <c r="D31" s="7">
        <v>7.032549365E9</v>
      </c>
      <c r="E31" s="6" t="s">
        <v>45</v>
      </c>
      <c r="F31" s="6" t="s">
        <v>2518</v>
      </c>
      <c r="G31" s="172">
        <v>46136.0</v>
      </c>
      <c r="H31" s="6" t="s">
        <v>431</v>
      </c>
      <c r="I31" s="6" t="s">
        <v>429</v>
      </c>
      <c r="J31" s="57" t="b">
        <v>1</v>
      </c>
      <c r="K31" s="6" t="s">
        <v>2519</v>
      </c>
      <c r="L31" s="173" t="b">
        <v>0</v>
      </c>
      <c r="M31" s="6" t="s">
        <v>431</v>
      </c>
      <c r="N31" s="6" t="s">
        <v>432</v>
      </c>
      <c r="O31" s="6" t="s">
        <v>2520</v>
      </c>
      <c r="P31" s="4"/>
      <c r="Q31" s="4"/>
      <c r="R31" s="4"/>
      <c r="S31" s="4"/>
      <c r="T31" s="4"/>
      <c r="U31" s="4"/>
      <c r="V31" s="4"/>
    </row>
    <row r="32">
      <c r="A32" s="30" t="s">
        <v>146</v>
      </c>
      <c r="B32" s="171" t="s">
        <v>1507</v>
      </c>
      <c r="C32" s="6" t="s">
        <v>1074</v>
      </c>
      <c r="D32" s="7">
        <v>6.36901666E9</v>
      </c>
      <c r="E32" s="6" t="s">
        <v>38</v>
      </c>
      <c r="F32" s="6" t="s">
        <v>2521</v>
      </c>
      <c r="G32" s="172">
        <v>46136.0</v>
      </c>
      <c r="H32" s="6" t="s">
        <v>431</v>
      </c>
      <c r="I32" s="6" t="s">
        <v>429</v>
      </c>
      <c r="J32" s="57" t="b">
        <v>1</v>
      </c>
      <c r="K32" s="6" t="s">
        <v>2522</v>
      </c>
      <c r="L32" s="173" t="b">
        <v>0</v>
      </c>
      <c r="M32" s="6" t="s">
        <v>431</v>
      </c>
      <c r="N32" s="6" t="s">
        <v>429</v>
      </c>
      <c r="O32" s="6" t="s">
        <v>2523</v>
      </c>
      <c r="P32" s="4"/>
      <c r="Q32" s="4"/>
      <c r="R32" s="4"/>
      <c r="S32" s="4"/>
      <c r="T32" s="4"/>
      <c r="U32" s="4"/>
      <c r="V32" s="4"/>
    </row>
    <row r="33">
      <c r="A33" s="30" t="s">
        <v>146</v>
      </c>
      <c r="B33" s="171" t="s">
        <v>1507</v>
      </c>
      <c r="C33" s="6" t="s">
        <v>2524</v>
      </c>
      <c r="D33" s="7">
        <v>8.675159261E9</v>
      </c>
      <c r="E33" s="6" t="s">
        <v>38</v>
      </c>
      <c r="F33" s="6" t="s">
        <v>1456</v>
      </c>
      <c r="G33" s="172">
        <v>46139.0</v>
      </c>
      <c r="H33" s="6" t="s">
        <v>431</v>
      </c>
      <c r="I33" s="6" t="s">
        <v>429</v>
      </c>
      <c r="J33" s="57" t="b">
        <v>1</v>
      </c>
      <c r="K33" s="6" t="s">
        <v>2525</v>
      </c>
      <c r="L33" s="110" t="b">
        <v>1</v>
      </c>
      <c r="M33" s="6" t="s">
        <v>431</v>
      </c>
      <c r="N33" s="6" t="s">
        <v>429</v>
      </c>
      <c r="O33" s="6" t="s">
        <v>2526</v>
      </c>
      <c r="P33" s="4"/>
      <c r="Q33" s="4"/>
      <c r="R33" s="4"/>
      <c r="S33" s="4"/>
      <c r="T33" s="4"/>
      <c r="U33" s="4"/>
      <c r="V33" s="4"/>
    </row>
    <row r="34" hidden="1">
      <c r="A34" s="30" t="s">
        <v>146</v>
      </c>
      <c r="B34" s="171" t="s">
        <v>1507</v>
      </c>
      <c r="C34" s="6" t="s">
        <v>2527</v>
      </c>
      <c r="D34" s="6">
        <v>7.337804759E9</v>
      </c>
      <c r="E34" s="6" t="s">
        <v>69</v>
      </c>
      <c r="F34" s="6" t="s">
        <v>2528</v>
      </c>
      <c r="G34" s="172">
        <v>46136.0</v>
      </c>
      <c r="H34" s="6" t="s">
        <v>357</v>
      </c>
      <c r="I34" s="6" t="s">
        <v>358</v>
      </c>
      <c r="J34" s="54" t="b">
        <v>1</v>
      </c>
      <c r="K34" s="6" t="s">
        <v>2529</v>
      </c>
      <c r="L34" s="173" t="b">
        <v>0</v>
      </c>
      <c r="M34" s="6" t="s">
        <v>684</v>
      </c>
      <c r="N34" s="6" t="s">
        <v>358</v>
      </c>
      <c r="O34" s="6" t="s">
        <v>2530</v>
      </c>
      <c r="P34" s="4"/>
      <c r="Q34" s="4"/>
      <c r="R34" s="4"/>
      <c r="S34" s="4"/>
      <c r="T34" s="4"/>
      <c r="U34" s="4"/>
      <c r="V34" s="4"/>
    </row>
    <row r="35" hidden="1">
      <c r="A35" s="30" t="s">
        <v>146</v>
      </c>
      <c r="B35" s="171" t="s">
        <v>1507</v>
      </c>
      <c r="C35" s="6" t="s">
        <v>2531</v>
      </c>
      <c r="D35" s="6">
        <v>9.986776754E9</v>
      </c>
      <c r="E35" s="6" t="s">
        <v>69</v>
      </c>
      <c r="F35" s="6" t="s">
        <v>2528</v>
      </c>
      <c r="G35" s="172">
        <v>46136.0</v>
      </c>
      <c r="H35" s="6" t="s">
        <v>357</v>
      </c>
      <c r="I35" s="6" t="s">
        <v>358</v>
      </c>
      <c r="J35" s="54" t="b">
        <v>1</v>
      </c>
      <c r="K35" s="6" t="s">
        <v>2532</v>
      </c>
      <c r="L35" s="173" t="b">
        <v>0</v>
      </c>
      <c r="M35" s="6" t="s">
        <v>661</v>
      </c>
      <c r="N35" s="6" t="s">
        <v>358</v>
      </c>
      <c r="O35" s="6" t="s">
        <v>2533</v>
      </c>
      <c r="P35" s="4"/>
      <c r="Q35" s="4"/>
      <c r="R35" s="4"/>
      <c r="S35" s="4"/>
      <c r="T35" s="4"/>
      <c r="U35" s="4"/>
      <c r="V35" s="4"/>
    </row>
    <row r="36">
      <c r="A36" s="30" t="s">
        <v>146</v>
      </c>
      <c r="B36" s="171" t="s">
        <v>1507</v>
      </c>
      <c r="C36" s="6" t="s">
        <v>2534</v>
      </c>
      <c r="D36" s="7">
        <v>9.698553363E9</v>
      </c>
      <c r="E36" s="6" t="s">
        <v>38</v>
      </c>
      <c r="F36" s="6" t="s">
        <v>2535</v>
      </c>
      <c r="G36" s="172">
        <v>46136.0</v>
      </c>
      <c r="H36" s="6" t="s">
        <v>431</v>
      </c>
      <c r="I36" s="6" t="s">
        <v>429</v>
      </c>
      <c r="J36" s="57" t="b">
        <v>1</v>
      </c>
      <c r="K36" s="6" t="s">
        <v>2536</v>
      </c>
      <c r="L36" s="173" t="b">
        <v>0</v>
      </c>
      <c r="M36" s="6" t="s">
        <v>361</v>
      </c>
      <c r="N36" s="6" t="s">
        <v>362</v>
      </c>
      <c r="O36" s="6" t="s">
        <v>2537</v>
      </c>
      <c r="P36" s="4"/>
      <c r="Q36" s="4"/>
      <c r="R36" s="4"/>
      <c r="S36" s="4"/>
      <c r="T36" s="4"/>
      <c r="U36" s="4"/>
      <c r="V36" s="4"/>
    </row>
    <row r="37">
      <c r="A37" s="30" t="s">
        <v>146</v>
      </c>
      <c r="B37" s="171" t="s">
        <v>1507</v>
      </c>
      <c r="C37" s="6" t="s">
        <v>2538</v>
      </c>
      <c r="D37" s="7">
        <v>8.903445702E9</v>
      </c>
      <c r="E37" s="6" t="s">
        <v>38</v>
      </c>
      <c r="F37" s="6" t="s">
        <v>409</v>
      </c>
      <c r="G37" s="172">
        <v>46139.0</v>
      </c>
      <c r="H37" s="6" t="s">
        <v>431</v>
      </c>
      <c r="I37" s="6" t="s">
        <v>429</v>
      </c>
      <c r="J37" s="57" t="b">
        <v>1</v>
      </c>
      <c r="K37" s="6" t="s">
        <v>2539</v>
      </c>
      <c r="L37" s="173" t="b">
        <v>0</v>
      </c>
      <c r="M37" s="6" t="s">
        <v>361</v>
      </c>
      <c r="N37" s="6" t="s">
        <v>362</v>
      </c>
      <c r="O37" s="6" t="s">
        <v>2540</v>
      </c>
      <c r="P37" s="4"/>
      <c r="Q37" s="4"/>
      <c r="R37" s="4"/>
      <c r="S37" s="4"/>
      <c r="T37" s="4"/>
      <c r="U37" s="4"/>
      <c r="V37" s="4"/>
    </row>
    <row r="38">
      <c r="A38" s="30" t="s">
        <v>146</v>
      </c>
      <c r="B38" s="171" t="s">
        <v>1507</v>
      </c>
      <c r="C38" s="6" t="s">
        <v>2541</v>
      </c>
      <c r="D38" s="7">
        <v>7.90486098E9</v>
      </c>
      <c r="E38" s="6" t="s">
        <v>38</v>
      </c>
      <c r="F38" s="6" t="s">
        <v>409</v>
      </c>
      <c r="G38" s="172">
        <v>46139.0</v>
      </c>
      <c r="H38" s="6" t="s">
        <v>431</v>
      </c>
      <c r="I38" s="6" t="s">
        <v>429</v>
      </c>
      <c r="J38" s="57" t="b">
        <v>1</v>
      </c>
      <c r="K38" s="6" t="s">
        <v>2542</v>
      </c>
      <c r="L38" s="173" t="b">
        <v>0</v>
      </c>
      <c r="M38" s="6" t="s">
        <v>361</v>
      </c>
      <c r="N38" s="6" t="s">
        <v>362</v>
      </c>
      <c r="O38" s="6" t="s">
        <v>2543</v>
      </c>
      <c r="P38" s="4"/>
      <c r="Q38" s="4"/>
      <c r="R38" s="4"/>
      <c r="S38" s="4"/>
      <c r="T38" s="4"/>
      <c r="U38" s="4"/>
      <c r="V38" s="4"/>
    </row>
    <row r="39" hidden="1">
      <c r="A39" s="30" t="s">
        <v>146</v>
      </c>
      <c r="B39" s="171" t="s">
        <v>1507</v>
      </c>
      <c r="C39" s="6" t="s">
        <v>2544</v>
      </c>
      <c r="D39" s="7">
        <v>9.361305361E9</v>
      </c>
      <c r="E39" s="6" t="s">
        <v>1518</v>
      </c>
      <c r="F39" s="6" t="s">
        <v>2545</v>
      </c>
      <c r="G39" s="172">
        <v>46139.0</v>
      </c>
      <c r="H39" s="6" t="s">
        <v>357</v>
      </c>
      <c r="I39" s="6" t="s">
        <v>358</v>
      </c>
      <c r="J39" s="54" t="b">
        <v>1</v>
      </c>
      <c r="K39" s="6" t="s">
        <v>2546</v>
      </c>
      <c r="L39" s="173" t="b">
        <v>0</v>
      </c>
      <c r="M39" s="6" t="s">
        <v>382</v>
      </c>
      <c r="N39" s="6" t="s">
        <v>358</v>
      </c>
      <c r="O39" s="6" t="s">
        <v>2503</v>
      </c>
      <c r="P39" s="4"/>
      <c r="Q39" s="4"/>
      <c r="R39" s="4"/>
      <c r="S39" s="4"/>
      <c r="T39" s="4"/>
      <c r="U39" s="4"/>
      <c r="V39" s="4"/>
    </row>
    <row r="40" hidden="1">
      <c r="A40" s="30" t="s">
        <v>146</v>
      </c>
      <c r="B40" s="171" t="s">
        <v>1507</v>
      </c>
      <c r="C40" s="6" t="s">
        <v>2547</v>
      </c>
      <c r="D40" s="7">
        <v>7.530095756E9</v>
      </c>
      <c r="E40" s="6" t="s">
        <v>38</v>
      </c>
      <c r="F40" s="6" t="s">
        <v>1456</v>
      </c>
      <c r="G40" s="172">
        <v>46139.0</v>
      </c>
      <c r="H40" s="6" t="s">
        <v>357</v>
      </c>
      <c r="I40" s="6" t="s">
        <v>358</v>
      </c>
      <c r="J40" s="54" t="b">
        <v>1</v>
      </c>
      <c r="K40" s="6" t="s">
        <v>2548</v>
      </c>
      <c r="L40" s="173" t="b">
        <v>0</v>
      </c>
      <c r="M40" s="6" t="s">
        <v>382</v>
      </c>
      <c r="N40" s="6" t="s">
        <v>358</v>
      </c>
      <c r="O40" s="6" t="s">
        <v>2549</v>
      </c>
      <c r="P40" s="4"/>
      <c r="Q40" s="4"/>
      <c r="R40" s="4"/>
      <c r="S40" s="4"/>
      <c r="T40" s="4"/>
      <c r="U40" s="4"/>
      <c r="V40" s="4"/>
    </row>
    <row r="41">
      <c r="A41" s="30" t="s">
        <v>146</v>
      </c>
      <c r="B41" s="171" t="s">
        <v>1507</v>
      </c>
      <c r="C41" s="6" t="s">
        <v>2550</v>
      </c>
      <c r="D41" s="7">
        <v>6.381610339E9</v>
      </c>
      <c r="E41" s="6" t="s">
        <v>38</v>
      </c>
      <c r="F41" s="6" t="s">
        <v>1437</v>
      </c>
      <c r="G41" s="172">
        <v>46139.0</v>
      </c>
      <c r="H41" s="6" t="s">
        <v>431</v>
      </c>
      <c r="I41" s="6" t="s">
        <v>429</v>
      </c>
      <c r="J41" s="57" t="b">
        <v>1</v>
      </c>
      <c r="K41" s="6" t="s">
        <v>2551</v>
      </c>
      <c r="L41" s="173" t="b">
        <v>0</v>
      </c>
      <c r="M41" s="6" t="s">
        <v>361</v>
      </c>
      <c r="N41" s="6" t="s">
        <v>362</v>
      </c>
      <c r="O41" s="6" t="s">
        <v>2552</v>
      </c>
      <c r="P41" s="4"/>
      <c r="Q41" s="4"/>
      <c r="R41" s="4"/>
      <c r="S41" s="4"/>
      <c r="T41" s="4"/>
      <c r="U41" s="4"/>
      <c r="V41" s="4"/>
    </row>
    <row r="42">
      <c r="A42" s="30" t="s">
        <v>146</v>
      </c>
      <c r="B42" s="171" t="s">
        <v>1507</v>
      </c>
      <c r="C42" s="6" t="s">
        <v>2553</v>
      </c>
      <c r="D42" s="7">
        <v>7.034988711E9</v>
      </c>
      <c r="E42" s="6" t="s">
        <v>69</v>
      </c>
      <c r="F42" s="6" t="s">
        <v>2554</v>
      </c>
      <c r="G42" s="172">
        <v>46136.0</v>
      </c>
      <c r="H42" s="6" t="s">
        <v>431</v>
      </c>
      <c r="I42" s="6" t="s">
        <v>429</v>
      </c>
      <c r="J42" s="57" t="b">
        <v>1</v>
      </c>
      <c r="K42" s="6" t="s">
        <v>2555</v>
      </c>
      <c r="L42" s="173" t="b">
        <v>0</v>
      </c>
      <c r="M42" s="6" t="s">
        <v>431</v>
      </c>
      <c r="N42" s="6" t="s">
        <v>432</v>
      </c>
      <c r="O42" s="6" t="s">
        <v>2523</v>
      </c>
      <c r="P42" s="4"/>
      <c r="Q42" s="4"/>
      <c r="R42" s="4"/>
      <c r="S42" s="4"/>
      <c r="T42" s="4"/>
      <c r="U42" s="4"/>
      <c r="V42" s="4"/>
    </row>
    <row r="43" hidden="1">
      <c r="A43" s="30" t="s">
        <v>22</v>
      </c>
      <c r="B43" s="171" t="s">
        <v>1507</v>
      </c>
      <c r="C43" s="6" t="s">
        <v>2556</v>
      </c>
      <c r="D43" s="7">
        <v>7.234952239E9</v>
      </c>
      <c r="E43" s="6" t="s">
        <v>69</v>
      </c>
      <c r="F43" s="53"/>
      <c r="G43" s="172">
        <v>46148.0</v>
      </c>
      <c r="H43" s="6" t="s">
        <v>357</v>
      </c>
      <c r="I43" s="6" t="s">
        <v>358</v>
      </c>
      <c r="J43" s="54" t="b">
        <v>1</v>
      </c>
      <c r="K43" s="6" t="s">
        <v>2557</v>
      </c>
      <c r="L43" s="173" t="b">
        <v>0</v>
      </c>
      <c r="M43" s="6" t="s">
        <v>357</v>
      </c>
      <c r="N43" s="6" t="s">
        <v>358</v>
      </c>
      <c r="O43" s="6" t="s">
        <v>2558</v>
      </c>
      <c r="P43" s="4"/>
      <c r="Q43" s="4"/>
      <c r="R43" s="4"/>
      <c r="S43" s="4"/>
      <c r="T43" s="4"/>
      <c r="U43" s="4"/>
      <c r="V43" s="4"/>
    </row>
    <row r="44">
      <c r="A44" s="30" t="s">
        <v>22</v>
      </c>
      <c r="B44" s="171" t="s">
        <v>1507</v>
      </c>
      <c r="C44" s="6" t="s">
        <v>2559</v>
      </c>
      <c r="D44" s="6">
        <v>8.838684831E9</v>
      </c>
      <c r="E44" s="6" t="s">
        <v>38</v>
      </c>
      <c r="F44" s="6" t="s">
        <v>465</v>
      </c>
      <c r="G44" s="172">
        <v>46148.0</v>
      </c>
      <c r="H44" s="6" t="s">
        <v>431</v>
      </c>
      <c r="I44" s="6" t="s">
        <v>429</v>
      </c>
      <c r="J44" s="57" t="b">
        <v>1</v>
      </c>
      <c r="K44" s="6" t="s">
        <v>2560</v>
      </c>
      <c r="L44" s="173" t="b">
        <v>0</v>
      </c>
      <c r="M44" s="6" t="s">
        <v>361</v>
      </c>
      <c r="N44" s="6" t="s">
        <v>362</v>
      </c>
      <c r="O44" s="6" t="s">
        <v>2561</v>
      </c>
      <c r="P44" s="4"/>
      <c r="Q44" s="4"/>
      <c r="R44" s="4"/>
      <c r="S44" s="4"/>
      <c r="T44" s="4"/>
      <c r="U44" s="4"/>
      <c r="V44" s="4"/>
    </row>
    <row r="45">
      <c r="A45" s="30" t="s">
        <v>146</v>
      </c>
      <c r="B45" s="171" t="s">
        <v>1507</v>
      </c>
      <c r="C45" s="6" t="s">
        <v>2562</v>
      </c>
      <c r="D45" s="6">
        <v>8.760933003E9</v>
      </c>
      <c r="E45" s="6" t="s">
        <v>38</v>
      </c>
      <c r="F45" s="53"/>
      <c r="G45" s="172">
        <v>46139.0</v>
      </c>
      <c r="H45" s="6" t="s">
        <v>431</v>
      </c>
      <c r="I45" s="6" t="s">
        <v>429</v>
      </c>
      <c r="J45" s="57" t="b">
        <v>1</v>
      </c>
      <c r="K45" s="6" t="s">
        <v>2563</v>
      </c>
      <c r="L45" s="173" t="b">
        <v>0</v>
      </c>
      <c r="M45" s="53"/>
      <c r="N45" s="53"/>
      <c r="O45" s="53"/>
      <c r="P45" s="4"/>
      <c r="Q45" s="4"/>
      <c r="R45" s="4"/>
      <c r="S45" s="4"/>
      <c r="T45" s="4"/>
      <c r="U45" s="4"/>
      <c r="V45" s="4"/>
    </row>
    <row r="46">
      <c r="A46" s="30" t="s">
        <v>22</v>
      </c>
      <c r="B46" s="171" t="s">
        <v>1507</v>
      </c>
      <c r="C46" s="6" t="s">
        <v>2564</v>
      </c>
      <c r="D46" s="6">
        <v>9.566325825E9</v>
      </c>
      <c r="E46" s="6" t="s">
        <v>38</v>
      </c>
      <c r="F46" s="6" t="s">
        <v>1149</v>
      </c>
      <c r="G46" s="172">
        <v>46148.0</v>
      </c>
      <c r="H46" s="6" t="s">
        <v>431</v>
      </c>
      <c r="I46" s="6" t="s">
        <v>429</v>
      </c>
      <c r="J46" s="57" t="b">
        <v>1</v>
      </c>
      <c r="K46" s="6" t="s">
        <v>2565</v>
      </c>
      <c r="L46" s="173" t="b">
        <v>0</v>
      </c>
      <c r="M46" s="6" t="s">
        <v>431</v>
      </c>
      <c r="N46" s="6" t="s">
        <v>432</v>
      </c>
      <c r="O46" s="6" t="s">
        <v>2566</v>
      </c>
      <c r="P46" s="4"/>
      <c r="Q46" s="4"/>
      <c r="R46" s="4"/>
      <c r="S46" s="4"/>
      <c r="T46" s="4"/>
      <c r="U46" s="4"/>
      <c r="V46" s="4"/>
    </row>
    <row r="47">
      <c r="A47" s="30" t="s">
        <v>146</v>
      </c>
      <c r="B47" s="171" t="s">
        <v>1507</v>
      </c>
      <c r="C47" s="6" t="s">
        <v>2567</v>
      </c>
      <c r="D47" s="6">
        <v>6.369850763E9</v>
      </c>
      <c r="E47" s="6" t="s">
        <v>38</v>
      </c>
      <c r="F47" s="53"/>
      <c r="G47" s="172">
        <v>46139.0</v>
      </c>
      <c r="H47" s="6" t="s">
        <v>431</v>
      </c>
      <c r="I47" s="6" t="s">
        <v>429</v>
      </c>
      <c r="J47" s="104" t="b">
        <v>0</v>
      </c>
      <c r="K47" s="6" t="s">
        <v>2568</v>
      </c>
      <c r="L47" s="173" t="b">
        <v>0</v>
      </c>
      <c r="M47" s="53"/>
      <c r="N47" s="53"/>
      <c r="O47" s="53"/>
      <c r="P47" s="4"/>
      <c r="Q47" s="4"/>
      <c r="R47" s="4"/>
      <c r="S47" s="4"/>
      <c r="T47" s="4"/>
      <c r="U47" s="4"/>
      <c r="V47" s="4"/>
    </row>
    <row r="48">
      <c r="A48" s="30" t="s">
        <v>146</v>
      </c>
      <c r="B48" s="171" t="s">
        <v>1507</v>
      </c>
      <c r="C48" s="6" t="s">
        <v>2569</v>
      </c>
      <c r="D48" s="6">
        <v>6.382652019E9</v>
      </c>
      <c r="E48" s="6" t="s">
        <v>69</v>
      </c>
      <c r="F48" s="53"/>
      <c r="G48" s="172">
        <v>46139.0</v>
      </c>
      <c r="H48" s="6" t="s">
        <v>431</v>
      </c>
      <c r="I48" s="6" t="s">
        <v>429</v>
      </c>
      <c r="J48" s="57" t="b">
        <v>1</v>
      </c>
      <c r="K48" s="6" t="s">
        <v>2570</v>
      </c>
      <c r="L48" s="173" t="b">
        <v>0</v>
      </c>
      <c r="M48" s="53"/>
      <c r="N48" s="53"/>
      <c r="O48" s="53"/>
      <c r="P48" s="4"/>
      <c r="Q48" s="4"/>
      <c r="R48" s="4"/>
      <c r="S48" s="4"/>
      <c r="T48" s="4"/>
      <c r="U48" s="4"/>
      <c r="V48" s="4"/>
    </row>
    <row r="49">
      <c r="A49" s="30" t="s">
        <v>22</v>
      </c>
      <c r="B49" s="171" t="s">
        <v>1507</v>
      </c>
      <c r="C49" s="6" t="s">
        <v>2571</v>
      </c>
      <c r="D49" s="6">
        <v>9.025920528E9</v>
      </c>
      <c r="E49" s="6" t="s">
        <v>38</v>
      </c>
      <c r="F49" s="53"/>
      <c r="G49" s="172">
        <v>46148.0</v>
      </c>
      <c r="H49" s="6" t="s">
        <v>431</v>
      </c>
      <c r="I49" s="6" t="s">
        <v>429</v>
      </c>
      <c r="J49" s="57" t="b">
        <v>1</v>
      </c>
      <c r="K49" s="6" t="s">
        <v>2572</v>
      </c>
      <c r="L49" s="173" t="b">
        <v>0</v>
      </c>
      <c r="M49" s="6" t="s">
        <v>361</v>
      </c>
      <c r="N49" s="6" t="s">
        <v>362</v>
      </c>
      <c r="O49" s="6" t="s">
        <v>2561</v>
      </c>
      <c r="P49" s="4"/>
      <c r="Q49" s="4"/>
      <c r="R49" s="4"/>
      <c r="S49" s="4"/>
      <c r="T49" s="4"/>
      <c r="U49" s="4"/>
      <c r="V49" s="4"/>
    </row>
    <row r="50">
      <c r="A50" s="30" t="s">
        <v>146</v>
      </c>
      <c r="B50" s="171" t="s">
        <v>1507</v>
      </c>
      <c r="C50" s="6" t="s">
        <v>2573</v>
      </c>
      <c r="D50" s="6">
        <v>6.383406048E9</v>
      </c>
      <c r="E50" s="6" t="s">
        <v>1575</v>
      </c>
      <c r="F50" s="53"/>
      <c r="G50" s="172">
        <v>46139.0</v>
      </c>
      <c r="H50" s="6" t="s">
        <v>431</v>
      </c>
      <c r="I50" s="6" t="s">
        <v>429</v>
      </c>
      <c r="J50" s="104" t="b">
        <v>0</v>
      </c>
      <c r="K50" s="6" t="s">
        <v>2574</v>
      </c>
      <c r="L50" s="173" t="b">
        <v>0</v>
      </c>
      <c r="M50" s="53"/>
      <c r="N50" s="53"/>
      <c r="O50" s="53"/>
      <c r="P50" s="4"/>
      <c r="Q50" s="4"/>
      <c r="R50" s="4"/>
      <c r="S50" s="4"/>
      <c r="T50" s="4"/>
      <c r="U50" s="4"/>
      <c r="V50" s="4"/>
    </row>
    <row r="51">
      <c r="A51" s="30" t="s">
        <v>146</v>
      </c>
      <c r="B51" s="171" t="s">
        <v>1507</v>
      </c>
      <c r="C51" s="6" t="s">
        <v>2575</v>
      </c>
      <c r="D51" s="6">
        <v>9.363372824E9</v>
      </c>
      <c r="E51" s="6" t="s">
        <v>1518</v>
      </c>
      <c r="F51" s="53"/>
      <c r="G51" s="172">
        <v>46139.0</v>
      </c>
      <c r="H51" s="6" t="s">
        <v>431</v>
      </c>
      <c r="I51" s="6" t="s">
        <v>429</v>
      </c>
      <c r="J51" s="57" t="b">
        <v>1</v>
      </c>
      <c r="K51" s="6" t="s">
        <v>2576</v>
      </c>
      <c r="L51" s="173" t="b">
        <v>0</v>
      </c>
      <c r="M51" s="53"/>
      <c r="N51" s="53"/>
      <c r="O51" s="53"/>
      <c r="P51" s="4"/>
      <c r="Q51" s="4"/>
      <c r="R51" s="4"/>
      <c r="S51" s="4"/>
      <c r="T51" s="4"/>
      <c r="U51" s="4"/>
      <c r="V51" s="4"/>
    </row>
    <row r="52">
      <c r="A52" s="30" t="s">
        <v>146</v>
      </c>
      <c r="B52" s="171" t="s">
        <v>1507</v>
      </c>
      <c r="C52" s="6" t="s">
        <v>2577</v>
      </c>
      <c r="D52" s="6">
        <v>6.380587377E9</v>
      </c>
      <c r="E52" s="6" t="s">
        <v>1518</v>
      </c>
      <c r="F52" s="53"/>
      <c r="G52" s="172">
        <v>46139.0</v>
      </c>
      <c r="H52" s="6" t="s">
        <v>431</v>
      </c>
      <c r="I52" s="6" t="s">
        <v>429</v>
      </c>
      <c r="J52" s="57" t="b">
        <v>1</v>
      </c>
      <c r="K52" s="6" t="s">
        <v>2578</v>
      </c>
      <c r="L52" s="173" t="b">
        <v>0</v>
      </c>
      <c r="M52" s="53"/>
      <c r="N52" s="53"/>
      <c r="O52" s="53"/>
      <c r="P52" s="4"/>
      <c r="Q52" s="4"/>
      <c r="R52" s="4"/>
      <c r="S52" s="4"/>
      <c r="T52" s="4"/>
      <c r="U52" s="4"/>
      <c r="V52" s="4"/>
    </row>
    <row r="53" hidden="1">
      <c r="A53" s="30" t="s">
        <v>22</v>
      </c>
      <c r="B53" s="171" t="s">
        <v>1507</v>
      </c>
      <c r="C53" s="6" t="s">
        <v>2579</v>
      </c>
      <c r="D53" s="6">
        <v>8.248086501E9</v>
      </c>
      <c r="E53" s="6" t="s">
        <v>180</v>
      </c>
      <c r="F53" s="53"/>
      <c r="G53" s="172">
        <v>46148.0</v>
      </c>
      <c r="H53" s="6" t="s">
        <v>357</v>
      </c>
      <c r="I53" s="6" t="s">
        <v>358</v>
      </c>
      <c r="J53" s="54" t="b">
        <v>1</v>
      </c>
      <c r="K53" s="6" t="s">
        <v>2580</v>
      </c>
      <c r="L53" s="173" t="b">
        <v>0</v>
      </c>
      <c r="M53" s="6" t="s">
        <v>357</v>
      </c>
      <c r="N53" s="6" t="s">
        <v>358</v>
      </c>
      <c r="O53" s="6" t="s">
        <v>2581</v>
      </c>
      <c r="P53" s="4"/>
      <c r="Q53" s="4"/>
      <c r="R53" s="4"/>
      <c r="S53" s="4"/>
      <c r="T53" s="4"/>
      <c r="U53" s="4"/>
      <c r="V53" s="4"/>
    </row>
    <row r="54">
      <c r="A54" s="30" t="s">
        <v>22</v>
      </c>
      <c r="B54" s="171" t="s">
        <v>1507</v>
      </c>
      <c r="C54" s="6" t="s">
        <v>2582</v>
      </c>
      <c r="D54" s="6">
        <v>9.025587249E9</v>
      </c>
      <c r="E54" s="6" t="s">
        <v>38</v>
      </c>
      <c r="F54" s="6" t="s">
        <v>2583</v>
      </c>
      <c r="G54" s="172">
        <v>46139.0</v>
      </c>
      <c r="H54" s="6" t="s">
        <v>431</v>
      </c>
      <c r="I54" s="6" t="s">
        <v>429</v>
      </c>
      <c r="J54" s="57" t="b">
        <v>1</v>
      </c>
      <c r="K54" s="6" t="s">
        <v>2584</v>
      </c>
      <c r="L54" s="173" t="b">
        <v>0</v>
      </c>
      <c r="M54" s="53"/>
      <c r="N54" s="53"/>
      <c r="O54" s="53"/>
      <c r="P54" s="4"/>
      <c r="Q54" s="4"/>
      <c r="R54" s="4"/>
      <c r="S54" s="4"/>
      <c r="T54" s="4"/>
      <c r="U54" s="4"/>
      <c r="V54" s="4"/>
    </row>
    <row r="55">
      <c r="A55" s="30" t="s">
        <v>22</v>
      </c>
      <c r="B55" s="171" t="s">
        <v>1507</v>
      </c>
      <c r="C55" s="6" t="s">
        <v>2585</v>
      </c>
      <c r="D55" s="6">
        <v>9.698553363E9</v>
      </c>
      <c r="E55" s="6" t="s">
        <v>38</v>
      </c>
      <c r="F55" s="53"/>
      <c r="G55" s="172">
        <v>46139.0</v>
      </c>
      <c r="H55" s="6" t="s">
        <v>431</v>
      </c>
      <c r="I55" s="6" t="s">
        <v>588</v>
      </c>
      <c r="J55" s="57" t="b">
        <v>1</v>
      </c>
      <c r="K55" s="6" t="s">
        <v>2536</v>
      </c>
      <c r="L55" s="173" t="b">
        <v>0</v>
      </c>
      <c r="M55" s="53"/>
      <c r="N55" s="53"/>
      <c r="O55" s="53"/>
      <c r="P55" s="4"/>
      <c r="Q55" s="4"/>
      <c r="R55" s="4"/>
      <c r="S55" s="4"/>
      <c r="T55" s="4"/>
      <c r="U55" s="4"/>
      <c r="V55" s="4"/>
    </row>
    <row r="56">
      <c r="A56" s="30" t="s">
        <v>22</v>
      </c>
      <c r="B56" s="171" t="s">
        <v>1507</v>
      </c>
      <c r="C56" s="6" t="s">
        <v>2586</v>
      </c>
      <c r="D56" s="6">
        <v>9.3442742E9</v>
      </c>
      <c r="E56" s="6" t="s">
        <v>1518</v>
      </c>
      <c r="F56" s="53"/>
      <c r="G56" s="172">
        <v>46139.0</v>
      </c>
      <c r="H56" s="6" t="s">
        <v>431</v>
      </c>
      <c r="I56" s="6" t="s">
        <v>588</v>
      </c>
      <c r="J56" s="57" t="b">
        <v>1</v>
      </c>
      <c r="K56" s="6" t="s">
        <v>2587</v>
      </c>
      <c r="L56" s="173" t="b">
        <v>0</v>
      </c>
      <c r="M56" s="53"/>
      <c r="N56" s="53"/>
      <c r="O56" s="53"/>
      <c r="P56" s="4"/>
      <c r="Q56" s="4"/>
      <c r="R56" s="4"/>
      <c r="S56" s="4"/>
      <c r="T56" s="4"/>
      <c r="U56" s="4"/>
      <c r="V56" s="4"/>
    </row>
    <row r="57">
      <c r="A57" s="30" t="s">
        <v>22</v>
      </c>
      <c r="B57" s="171" t="s">
        <v>1507</v>
      </c>
      <c r="C57" s="6" t="s">
        <v>2588</v>
      </c>
      <c r="D57" s="6">
        <v>7.603878198E9</v>
      </c>
      <c r="E57" s="6" t="s">
        <v>38</v>
      </c>
      <c r="F57" s="53"/>
      <c r="G57" s="172">
        <v>46140.0</v>
      </c>
      <c r="H57" s="6" t="s">
        <v>431</v>
      </c>
      <c r="I57" s="6" t="s">
        <v>429</v>
      </c>
      <c r="J57" s="57" t="b">
        <v>1</v>
      </c>
      <c r="K57" s="6" t="s">
        <v>2589</v>
      </c>
      <c r="L57" s="173" t="b">
        <v>0</v>
      </c>
      <c r="M57" s="53"/>
      <c r="N57" s="53"/>
      <c r="O57" s="53"/>
      <c r="P57" s="4"/>
      <c r="Q57" s="4"/>
      <c r="R57" s="4"/>
      <c r="S57" s="4"/>
      <c r="T57" s="4"/>
      <c r="U57" s="4"/>
      <c r="V57" s="4"/>
    </row>
    <row r="58">
      <c r="A58" s="30" t="s">
        <v>22</v>
      </c>
      <c r="B58" s="171" t="s">
        <v>1507</v>
      </c>
      <c r="C58" s="6" t="s">
        <v>2590</v>
      </c>
      <c r="D58" s="6">
        <v>8.940239558E9</v>
      </c>
      <c r="E58" s="6" t="s">
        <v>38</v>
      </c>
      <c r="F58" s="53"/>
      <c r="G58" s="172">
        <v>46140.0</v>
      </c>
      <c r="H58" s="6" t="s">
        <v>431</v>
      </c>
      <c r="I58" s="6" t="s">
        <v>432</v>
      </c>
      <c r="J58" s="57" t="b">
        <v>1</v>
      </c>
      <c r="K58" s="6" t="s">
        <v>2591</v>
      </c>
      <c r="L58" s="173" t="b">
        <v>0</v>
      </c>
      <c r="M58" s="53"/>
      <c r="N58" s="53"/>
      <c r="O58" s="53"/>
      <c r="P58" s="4"/>
      <c r="Q58" s="4"/>
      <c r="R58" s="4"/>
      <c r="S58" s="4"/>
      <c r="T58" s="4"/>
      <c r="U58" s="4"/>
      <c r="V58" s="4"/>
    </row>
    <row r="59">
      <c r="A59" s="30" t="s">
        <v>146</v>
      </c>
      <c r="B59" s="171" t="s">
        <v>1507</v>
      </c>
      <c r="C59" s="6" t="s">
        <v>2592</v>
      </c>
      <c r="D59" s="6">
        <v>6.382347557E9</v>
      </c>
      <c r="E59" s="6" t="s">
        <v>38</v>
      </c>
      <c r="F59" s="53"/>
      <c r="G59" s="172">
        <v>46140.0</v>
      </c>
      <c r="H59" s="6" t="s">
        <v>431</v>
      </c>
      <c r="I59" s="6" t="s">
        <v>432</v>
      </c>
      <c r="J59" s="57" t="b">
        <v>1</v>
      </c>
      <c r="K59" s="6" t="s">
        <v>2593</v>
      </c>
      <c r="L59" s="173" t="b">
        <v>0</v>
      </c>
      <c r="M59" s="53"/>
      <c r="N59" s="53"/>
      <c r="O59" s="53"/>
      <c r="P59" s="4"/>
      <c r="Q59" s="4"/>
      <c r="R59" s="4"/>
      <c r="S59" s="4"/>
      <c r="T59" s="4"/>
      <c r="U59" s="4"/>
      <c r="V59" s="4"/>
    </row>
    <row r="60">
      <c r="A60" s="30" t="s">
        <v>146</v>
      </c>
      <c r="B60" s="171" t="s">
        <v>1507</v>
      </c>
      <c r="C60" s="6" t="s">
        <v>2594</v>
      </c>
      <c r="D60" s="6">
        <v>8.825621113E9</v>
      </c>
      <c r="E60" s="6" t="s">
        <v>38</v>
      </c>
      <c r="F60" s="53"/>
      <c r="G60" s="172">
        <v>46140.0</v>
      </c>
      <c r="H60" s="6" t="s">
        <v>431</v>
      </c>
      <c r="I60" s="6" t="s">
        <v>432</v>
      </c>
      <c r="J60" s="57" t="b">
        <v>1</v>
      </c>
      <c r="K60" s="6" t="s">
        <v>2595</v>
      </c>
      <c r="L60" s="173" t="b">
        <v>0</v>
      </c>
      <c r="M60" s="53"/>
      <c r="N60" s="53"/>
      <c r="O60" s="53"/>
      <c r="P60" s="4"/>
      <c r="Q60" s="4"/>
      <c r="R60" s="4"/>
      <c r="S60" s="4"/>
      <c r="T60" s="4"/>
      <c r="U60" s="4"/>
      <c r="V60" s="4"/>
    </row>
    <row r="61">
      <c r="A61" s="30" t="s">
        <v>146</v>
      </c>
      <c r="B61" s="171" t="s">
        <v>1507</v>
      </c>
      <c r="C61" s="6" t="s">
        <v>2596</v>
      </c>
      <c r="D61" s="6">
        <v>9.345758132E9</v>
      </c>
      <c r="E61" s="6" t="s">
        <v>38</v>
      </c>
      <c r="F61" s="53"/>
      <c r="G61" s="172">
        <v>46140.0</v>
      </c>
      <c r="H61" s="6" t="s">
        <v>431</v>
      </c>
      <c r="I61" s="6" t="s">
        <v>432</v>
      </c>
      <c r="J61" s="104" t="b">
        <v>0</v>
      </c>
      <c r="K61" s="6" t="s">
        <v>2597</v>
      </c>
      <c r="L61" s="173" t="b">
        <v>0</v>
      </c>
      <c r="M61" s="53"/>
      <c r="N61" s="53"/>
      <c r="O61" s="53"/>
      <c r="P61" s="4"/>
      <c r="Q61" s="4"/>
      <c r="R61" s="4"/>
      <c r="S61" s="4"/>
      <c r="T61" s="4"/>
      <c r="U61" s="4"/>
      <c r="V61" s="4"/>
    </row>
    <row r="62">
      <c r="A62" s="30" t="s">
        <v>146</v>
      </c>
      <c r="B62" s="171" t="s">
        <v>1507</v>
      </c>
      <c r="C62" s="6" t="s">
        <v>2598</v>
      </c>
      <c r="D62" s="6">
        <v>9.025759405E9</v>
      </c>
      <c r="E62" s="6" t="s">
        <v>38</v>
      </c>
      <c r="F62" s="53"/>
      <c r="G62" s="172">
        <v>46140.0</v>
      </c>
      <c r="H62" s="6" t="s">
        <v>431</v>
      </c>
      <c r="I62" s="6" t="s">
        <v>432</v>
      </c>
      <c r="J62" s="104" t="b">
        <v>0</v>
      </c>
      <c r="K62" s="6" t="s">
        <v>2599</v>
      </c>
      <c r="L62" s="173" t="b">
        <v>0</v>
      </c>
      <c r="M62" s="53"/>
      <c r="N62" s="53"/>
      <c r="O62" s="53"/>
      <c r="P62" s="4"/>
      <c r="Q62" s="4"/>
      <c r="R62" s="4"/>
      <c r="S62" s="4"/>
      <c r="T62" s="4"/>
      <c r="U62" s="4"/>
      <c r="V62" s="4"/>
    </row>
    <row r="63">
      <c r="A63" s="30" t="s">
        <v>146</v>
      </c>
      <c r="B63" s="171" t="s">
        <v>1507</v>
      </c>
      <c r="C63" s="6" t="s">
        <v>2600</v>
      </c>
      <c r="D63" s="6">
        <v>8.438073086E9</v>
      </c>
      <c r="E63" s="6" t="s">
        <v>38</v>
      </c>
      <c r="F63" s="53"/>
      <c r="G63" s="172">
        <v>46140.0</v>
      </c>
      <c r="H63" s="6" t="s">
        <v>431</v>
      </c>
      <c r="I63" s="6" t="s">
        <v>432</v>
      </c>
      <c r="J63" s="104" t="b">
        <v>0</v>
      </c>
      <c r="K63" s="6" t="s">
        <v>2601</v>
      </c>
      <c r="L63" s="173" t="b">
        <v>0</v>
      </c>
      <c r="M63" s="53"/>
      <c r="N63" s="53"/>
      <c r="O63" s="53"/>
      <c r="P63" s="4"/>
      <c r="Q63" s="4"/>
      <c r="R63" s="4"/>
      <c r="S63" s="4"/>
      <c r="T63" s="4"/>
      <c r="U63" s="4"/>
      <c r="V63" s="4"/>
    </row>
    <row r="64">
      <c r="A64" s="30" t="s">
        <v>146</v>
      </c>
      <c r="B64" s="171" t="s">
        <v>1507</v>
      </c>
      <c r="C64" s="6" t="s">
        <v>2602</v>
      </c>
      <c r="D64" s="6">
        <v>8.270801218E9</v>
      </c>
      <c r="E64" s="6" t="s">
        <v>38</v>
      </c>
      <c r="F64" s="53"/>
      <c r="G64" s="172">
        <v>46140.0</v>
      </c>
      <c r="H64" s="6" t="s">
        <v>431</v>
      </c>
      <c r="I64" s="6" t="s">
        <v>432</v>
      </c>
      <c r="J64" s="104" t="b">
        <v>0</v>
      </c>
      <c r="K64" s="6" t="s">
        <v>2603</v>
      </c>
      <c r="L64" s="173" t="b">
        <v>0</v>
      </c>
      <c r="M64" s="53"/>
      <c r="N64" s="53"/>
      <c r="O64" s="53"/>
      <c r="P64" s="4"/>
      <c r="Q64" s="4"/>
      <c r="R64" s="4"/>
      <c r="S64" s="4"/>
      <c r="T64" s="4"/>
      <c r="U64" s="4"/>
      <c r="V64" s="4"/>
    </row>
    <row r="65" hidden="1">
      <c r="A65" s="30" t="s">
        <v>22</v>
      </c>
      <c r="B65" s="171" t="s">
        <v>1761</v>
      </c>
      <c r="C65" s="6" t="s">
        <v>2604</v>
      </c>
      <c r="D65" s="6">
        <v>9.976505049E9</v>
      </c>
      <c r="E65" s="6" t="s">
        <v>38</v>
      </c>
      <c r="F65" s="53"/>
      <c r="G65" s="172">
        <v>46160.0</v>
      </c>
      <c r="H65" s="6" t="s">
        <v>357</v>
      </c>
      <c r="I65" s="6" t="s">
        <v>358</v>
      </c>
      <c r="J65" s="54" t="b">
        <v>1</v>
      </c>
      <c r="K65" s="6" t="s">
        <v>2605</v>
      </c>
      <c r="L65" s="173" t="b">
        <v>0</v>
      </c>
      <c r="M65" s="6" t="s">
        <v>684</v>
      </c>
      <c r="N65" s="6" t="s">
        <v>358</v>
      </c>
      <c r="O65" s="6" t="s">
        <v>2606</v>
      </c>
      <c r="P65" s="4"/>
      <c r="Q65" s="4"/>
      <c r="R65" s="4"/>
      <c r="S65" s="4"/>
      <c r="T65" s="4"/>
      <c r="U65" s="4"/>
      <c r="V65" s="4"/>
    </row>
    <row r="66">
      <c r="A66" s="30" t="s">
        <v>22</v>
      </c>
      <c r="B66" s="171" t="s">
        <v>1761</v>
      </c>
      <c r="C66" s="6" t="s">
        <v>773</v>
      </c>
      <c r="D66" s="6">
        <v>9.786207782E9</v>
      </c>
      <c r="E66" s="6" t="s">
        <v>69</v>
      </c>
      <c r="F66" s="53"/>
      <c r="G66" s="172">
        <v>46163.0</v>
      </c>
      <c r="H66" s="6" t="s">
        <v>431</v>
      </c>
      <c r="I66" s="6" t="s">
        <v>588</v>
      </c>
      <c r="J66" s="57" t="b">
        <v>1</v>
      </c>
      <c r="K66" s="6" t="s">
        <v>2607</v>
      </c>
      <c r="L66" s="173" t="b">
        <v>0</v>
      </c>
      <c r="M66" s="53"/>
      <c r="N66" s="53"/>
      <c r="O66" s="53"/>
      <c r="P66" s="4"/>
      <c r="Q66" s="4"/>
      <c r="R66" s="4"/>
      <c r="S66" s="4"/>
      <c r="T66" s="4"/>
      <c r="U66" s="4"/>
      <c r="V66" s="4"/>
    </row>
    <row r="67" hidden="1">
      <c r="A67" s="5"/>
      <c r="B67" s="174"/>
      <c r="C67" s="53"/>
      <c r="D67" s="53"/>
      <c r="E67" s="53"/>
      <c r="F67" s="53"/>
      <c r="G67" s="175"/>
      <c r="H67" s="53"/>
      <c r="I67" s="53"/>
      <c r="J67" s="104" t="b">
        <v>0</v>
      </c>
      <c r="K67" s="53"/>
      <c r="L67" s="173" t="b">
        <v>0</v>
      </c>
      <c r="M67" s="53"/>
      <c r="N67" s="53"/>
      <c r="O67" s="53"/>
      <c r="P67" s="4"/>
      <c r="Q67" s="4"/>
      <c r="R67" s="4"/>
      <c r="S67" s="4"/>
      <c r="T67" s="4"/>
      <c r="U67" s="4"/>
      <c r="V67" s="4"/>
    </row>
    <row r="68" hidden="1">
      <c r="A68" s="5"/>
      <c r="B68" s="174"/>
      <c r="C68" s="53"/>
      <c r="D68" s="53"/>
      <c r="E68" s="53"/>
      <c r="F68" s="53"/>
      <c r="G68" s="175"/>
      <c r="H68" s="53"/>
      <c r="I68" s="53"/>
      <c r="J68" s="104" t="b">
        <v>0</v>
      </c>
      <c r="K68" s="53"/>
      <c r="L68" s="173" t="b">
        <v>0</v>
      </c>
      <c r="M68" s="53"/>
      <c r="N68" s="53"/>
      <c r="O68" s="53"/>
      <c r="P68" s="4"/>
      <c r="Q68" s="4"/>
      <c r="R68" s="4"/>
      <c r="S68" s="4"/>
      <c r="T68" s="4"/>
      <c r="U68" s="4"/>
      <c r="V68" s="4"/>
    </row>
    <row r="69" hidden="1">
      <c r="A69" s="5"/>
      <c r="B69" s="174"/>
      <c r="C69" s="53"/>
      <c r="D69" s="53"/>
      <c r="E69" s="53"/>
      <c r="F69" s="53"/>
      <c r="G69" s="175"/>
      <c r="H69" s="53"/>
      <c r="I69" s="53"/>
      <c r="J69" s="104" t="b">
        <v>0</v>
      </c>
      <c r="K69" s="53"/>
      <c r="L69" s="173" t="b">
        <v>0</v>
      </c>
      <c r="M69" s="53"/>
      <c r="N69" s="53"/>
      <c r="O69" s="53"/>
      <c r="P69" s="4"/>
      <c r="Q69" s="4"/>
      <c r="R69" s="4"/>
      <c r="S69" s="4"/>
      <c r="T69" s="4"/>
      <c r="U69" s="4"/>
      <c r="V69" s="4"/>
    </row>
    <row r="70" hidden="1">
      <c r="A70" s="5"/>
      <c r="B70" s="174"/>
      <c r="C70" s="53"/>
      <c r="D70" s="53"/>
      <c r="E70" s="53"/>
      <c r="F70" s="53"/>
      <c r="G70" s="175"/>
      <c r="H70" s="53"/>
      <c r="I70" s="53"/>
      <c r="J70" s="104" t="b">
        <v>0</v>
      </c>
      <c r="K70" s="53"/>
      <c r="L70" s="173" t="b">
        <v>0</v>
      </c>
      <c r="M70" s="53"/>
      <c r="N70" s="53"/>
      <c r="O70" s="53"/>
      <c r="P70" s="4"/>
      <c r="Q70" s="4"/>
      <c r="R70" s="4"/>
      <c r="S70" s="4"/>
      <c r="T70" s="4"/>
      <c r="U70" s="4"/>
      <c r="V70" s="4"/>
    </row>
    <row r="71" hidden="1">
      <c r="A71" s="5"/>
      <c r="B71" s="174"/>
      <c r="C71" s="53"/>
      <c r="D71" s="53"/>
      <c r="E71" s="53"/>
      <c r="F71" s="53"/>
      <c r="G71" s="175"/>
      <c r="H71" s="53"/>
      <c r="I71" s="53"/>
      <c r="J71" s="104" t="b">
        <v>0</v>
      </c>
      <c r="K71" s="53"/>
      <c r="L71" s="173" t="b">
        <v>0</v>
      </c>
      <c r="M71" s="53"/>
      <c r="N71" s="53"/>
      <c r="O71" s="53"/>
      <c r="P71" s="4"/>
      <c r="Q71" s="4"/>
      <c r="R71" s="4"/>
      <c r="S71" s="4"/>
      <c r="T71" s="4"/>
      <c r="U71" s="4"/>
      <c r="V71" s="4"/>
    </row>
    <row r="72" hidden="1">
      <c r="A72" s="5"/>
      <c r="B72" s="174"/>
      <c r="C72" s="53"/>
      <c r="D72" s="53"/>
      <c r="E72" s="53"/>
      <c r="F72" s="53"/>
      <c r="G72" s="175"/>
      <c r="H72" s="53"/>
      <c r="I72" s="53"/>
      <c r="J72" s="104" t="b">
        <v>0</v>
      </c>
      <c r="K72" s="53"/>
      <c r="L72" s="173" t="b">
        <v>0</v>
      </c>
      <c r="M72" s="53"/>
      <c r="N72" s="53"/>
      <c r="O72" s="53"/>
      <c r="P72" s="4"/>
      <c r="Q72" s="4"/>
      <c r="R72" s="4"/>
      <c r="S72" s="4"/>
      <c r="T72" s="4"/>
      <c r="U72" s="4"/>
      <c r="V72" s="4"/>
    </row>
    <row r="73" hidden="1">
      <c r="A73" s="5"/>
      <c r="B73" s="174"/>
      <c r="C73" s="53"/>
      <c r="D73" s="53"/>
      <c r="E73" s="53"/>
      <c r="F73" s="53"/>
      <c r="G73" s="175"/>
      <c r="H73" s="53"/>
      <c r="I73" s="53"/>
      <c r="J73" s="104" t="b">
        <v>0</v>
      </c>
      <c r="K73" s="53"/>
      <c r="L73" s="173" t="b">
        <v>0</v>
      </c>
      <c r="M73" s="53"/>
      <c r="N73" s="53"/>
      <c r="O73" s="53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</sheetData>
  <autoFilter ref="$A$1:$O$73">
    <filterColumn colId="7">
      <filters>
        <filter val="Interested"/>
      </filters>
    </filterColumn>
  </autoFilter>
  <dataValidations>
    <dataValidation type="list" allowBlank="1" showErrorMessage="1" sqref="B2:B73">
      <formula1>"ACCEL,LASAK,Referral,Outsource,Job Portal,OLX"</formula1>
    </dataValidation>
    <dataValidation type="list" allowBlank="1" showErrorMessage="1" sqref="M2:M73">
      <formula1>"EMI doc shared,EMI Rejected,Interested,Enrolled,Not Interested, Not Interested_Fees High,Plan Dropped,Joined Elsewhere,EMI Approved,FPL,Not Answering,Gone Cold,Switchedoff,Not Reachable,Disconnecting the call,EMI Applied,Doc Pending,Call Busy,Call back re"&amp;"quested"</formula1>
    </dataValidation>
    <dataValidation type="list" allowBlank="1" showErrorMessage="1" sqref="A2:A73">
      <formula1>"Sasi,Brindha,Dustin,Lakshmanan,Nithish"</formula1>
    </dataValidation>
    <dataValidation type="list" allowBlank="1" showErrorMessage="1" sqref="E2:E73">
      <formula1>"Mech Combo,AutoCAD,CATIA,CREO,SOLIDWORKS,CIVIL ,DA,P-FSD,J-FSD,DM,DS,DADS,ST,CYBER-S,Others,Job,UIUX"</formula1>
    </dataValidation>
    <dataValidation type="list" allowBlank="1" showErrorMessage="1" sqref="I2:I73 N2:N73">
      <formula1>"Cold,Warm,Hot,Super Hot,Lost,Not Connected,Won,Connected,Approved,Rejected"</formula1>
    </dataValidation>
    <dataValidation type="list" allowBlank="1" showErrorMessage="1" sqref="H2:H73">
      <formula1>"Not Answering,Not Interested,Interested,Demo Scheduled,Demo Completed,Enrolled,EMI Rejected,Interested_DNP,Wrong Number,Not Reachable,Joined Elsewhere,Followup,Call Back Requested,Call Busy,Future Prospect Leads,Disconnecting the call,Switchedoff,Looking "&amp;"for job,No Incoming,EMI Process"</formula1>
    </dataValidation>
    <dataValidation type="custom" allowBlank="1" showDropDown="1" sqref="G2:G73">
      <formula1>OR(NOT(ISERROR(DATEVALUE(G2))), AND(ISNUMBER(G2), LEFT(CELL("format", G2))="D"))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2.63"/>
    <col customWidth="1" min="3" max="3" width="10.38"/>
    <col customWidth="1" min="4" max="4" width="13.75"/>
    <col customWidth="1" min="5" max="5" width="10.88"/>
    <col customWidth="1" min="6" max="6" width="8.0"/>
    <col customWidth="1" min="7" max="7" width="16.25"/>
    <col customWidth="1" min="8" max="8" width="17.13"/>
    <col customWidth="1" min="9" max="9" width="2.63"/>
    <col customWidth="1" min="10" max="10" width="33.38"/>
    <col customWidth="1" min="11" max="11" width="19.0"/>
    <col customWidth="1" min="12" max="12" width="18.63"/>
    <col customWidth="1" min="13" max="13" width="72.88"/>
  </cols>
  <sheetData>
    <row r="1">
      <c r="A1" s="153" t="s">
        <v>0</v>
      </c>
      <c r="B1" s="99" t="s">
        <v>157</v>
      </c>
      <c r="C1" s="99" t="s">
        <v>1505</v>
      </c>
      <c r="D1" s="101" t="s">
        <v>335</v>
      </c>
      <c r="E1" s="99" t="s">
        <v>337</v>
      </c>
      <c r="F1" s="99" t="s">
        <v>341</v>
      </c>
      <c r="G1" s="99" t="s">
        <v>1017</v>
      </c>
      <c r="H1" s="102" t="s">
        <v>342</v>
      </c>
      <c r="I1" s="99" t="s">
        <v>343</v>
      </c>
      <c r="J1" s="102" t="s">
        <v>344</v>
      </c>
      <c r="K1" s="102" t="s">
        <v>345</v>
      </c>
      <c r="L1" s="99" t="s">
        <v>342</v>
      </c>
      <c r="M1" s="99" t="s">
        <v>346</v>
      </c>
      <c r="N1" s="53"/>
      <c r="O1" s="53"/>
      <c r="P1" s="53"/>
      <c r="Q1" s="53"/>
      <c r="R1" s="53"/>
      <c r="S1" s="53"/>
      <c r="T1" s="53"/>
    </row>
    <row r="2">
      <c r="A2" s="30" t="s">
        <v>22</v>
      </c>
      <c r="B2" s="9" t="s">
        <v>2608</v>
      </c>
      <c r="C2" s="13">
        <v>9.952527165E9</v>
      </c>
      <c r="D2" s="6"/>
      <c r="E2" s="9" t="s">
        <v>698</v>
      </c>
      <c r="F2" s="176">
        <v>46154.0</v>
      </c>
      <c r="G2" s="6" t="s">
        <v>357</v>
      </c>
      <c r="H2" s="6" t="s">
        <v>358</v>
      </c>
      <c r="I2" s="104" t="b">
        <v>0</v>
      </c>
      <c r="J2" s="6" t="s">
        <v>2609</v>
      </c>
      <c r="K2" s="53"/>
      <c r="L2" s="53"/>
      <c r="M2" s="4"/>
      <c r="N2" s="4"/>
      <c r="O2" s="4"/>
      <c r="P2" s="4"/>
      <c r="Q2" s="4"/>
      <c r="R2" s="4"/>
      <c r="S2" s="4"/>
      <c r="T2" s="4"/>
    </row>
    <row r="3">
      <c r="A3" s="30" t="s">
        <v>22</v>
      </c>
      <c r="B3" s="9" t="s">
        <v>2610</v>
      </c>
      <c r="C3" s="13">
        <v>7.092101525E9</v>
      </c>
      <c r="D3" s="6" t="s">
        <v>38</v>
      </c>
      <c r="E3" s="9" t="s">
        <v>542</v>
      </c>
      <c r="F3" s="176">
        <v>46161.0</v>
      </c>
      <c r="G3" s="6" t="s">
        <v>431</v>
      </c>
      <c r="H3" s="6" t="s">
        <v>429</v>
      </c>
      <c r="I3" s="57" t="b">
        <v>1</v>
      </c>
      <c r="J3" s="6" t="s">
        <v>2611</v>
      </c>
      <c r="K3" s="6" t="s">
        <v>834</v>
      </c>
      <c r="L3" s="6" t="s">
        <v>429</v>
      </c>
      <c r="M3" s="9" t="s">
        <v>2612</v>
      </c>
      <c r="N3" s="4"/>
      <c r="O3" s="4"/>
      <c r="P3" s="4"/>
      <c r="Q3" s="4"/>
      <c r="R3" s="4"/>
      <c r="S3" s="4"/>
      <c r="T3" s="4"/>
    </row>
    <row r="4">
      <c r="A4" s="30" t="s">
        <v>22</v>
      </c>
      <c r="B4" s="9" t="s">
        <v>2613</v>
      </c>
      <c r="C4" s="13">
        <v>7.639922591E9</v>
      </c>
      <c r="D4" s="6" t="s">
        <v>38</v>
      </c>
      <c r="E4" s="9" t="s">
        <v>510</v>
      </c>
      <c r="F4" s="176">
        <v>46169.0</v>
      </c>
      <c r="G4" s="6" t="s">
        <v>357</v>
      </c>
      <c r="H4" s="6" t="s">
        <v>358</v>
      </c>
      <c r="I4" s="54" t="b">
        <v>1</v>
      </c>
      <c r="J4" s="6" t="s">
        <v>2614</v>
      </c>
      <c r="K4" s="6" t="s">
        <v>382</v>
      </c>
      <c r="L4" s="6" t="s">
        <v>358</v>
      </c>
      <c r="M4" s="9" t="s">
        <v>2615</v>
      </c>
      <c r="N4" s="4"/>
      <c r="O4" s="4"/>
      <c r="P4" s="4"/>
      <c r="Q4" s="4"/>
      <c r="R4" s="4"/>
      <c r="S4" s="4"/>
      <c r="T4" s="4"/>
    </row>
    <row r="5">
      <c r="A5" s="30" t="s">
        <v>225</v>
      </c>
      <c r="B5" s="9" t="s">
        <v>2616</v>
      </c>
      <c r="C5" s="13">
        <v>8.248415188E9</v>
      </c>
      <c r="D5" s="6"/>
      <c r="E5" s="9" t="s">
        <v>409</v>
      </c>
      <c r="F5" s="176">
        <v>46156.0</v>
      </c>
      <c r="G5" s="6" t="s">
        <v>361</v>
      </c>
      <c r="H5" s="6" t="s">
        <v>362</v>
      </c>
      <c r="I5" s="104" t="b">
        <v>0</v>
      </c>
      <c r="J5" s="6" t="s">
        <v>2617</v>
      </c>
      <c r="K5" s="53"/>
      <c r="L5" s="53"/>
      <c r="M5" s="4"/>
      <c r="N5" s="4"/>
      <c r="O5" s="4"/>
      <c r="P5" s="4"/>
      <c r="Q5" s="4"/>
      <c r="R5" s="4"/>
      <c r="S5" s="4"/>
      <c r="T5" s="4"/>
    </row>
    <row r="6">
      <c r="A6" s="30" t="s">
        <v>22</v>
      </c>
      <c r="B6" s="9" t="s">
        <v>2618</v>
      </c>
      <c r="C6" s="13">
        <v>7.708721673E9</v>
      </c>
      <c r="D6" s="6" t="s">
        <v>2619</v>
      </c>
      <c r="E6" s="9" t="s">
        <v>1064</v>
      </c>
      <c r="F6" s="176">
        <v>46169.0</v>
      </c>
      <c r="G6" s="6" t="s">
        <v>357</v>
      </c>
      <c r="H6" s="6" t="s">
        <v>358</v>
      </c>
      <c r="I6" s="54" t="b">
        <v>1</v>
      </c>
      <c r="J6" s="6" t="s">
        <v>2620</v>
      </c>
      <c r="K6" s="6" t="s">
        <v>684</v>
      </c>
      <c r="L6" s="6" t="s">
        <v>358</v>
      </c>
      <c r="M6" s="9" t="s">
        <v>2621</v>
      </c>
      <c r="N6" s="4"/>
      <c r="O6" s="4"/>
      <c r="P6" s="4"/>
      <c r="Q6" s="4"/>
      <c r="R6" s="4"/>
      <c r="S6" s="4"/>
      <c r="T6" s="4"/>
    </row>
    <row r="7">
      <c r="A7" s="30" t="s">
        <v>22</v>
      </c>
      <c r="B7" s="9" t="s">
        <v>1697</v>
      </c>
      <c r="C7" s="13">
        <v>7.904730468E9</v>
      </c>
      <c r="D7" s="6"/>
      <c r="E7" s="9" t="s">
        <v>409</v>
      </c>
      <c r="F7" s="176">
        <v>46154.0</v>
      </c>
      <c r="G7" s="6" t="s">
        <v>357</v>
      </c>
      <c r="H7" s="6" t="s">
        <v>358</v>
      </c>
      <c r="I7" s="104" t="b">
        <v>0</v>
      </c>
      <c r="J7" s="6" t="s">
        <v>2622</v>
      </c>
      <c r="K7" s="53"/>
      <c r="L7" s="53"/>
      <c r="M7" s="4"/>
      <c r="N7" s="4"/>
      <c r="O7" s="4"/>
      <c r="P7" s="4"/>
      <c r="Q7" s="4"/>
      <c r="R7" s="4"/>
      <c r="S7" s="4"/>
      <c r="T7" s="4"/>
    </row>
    <row r="8">
      <c r="A8" s="30" t="s">
        <v>22</v>
      </c>
      <c r="B8" s="9" t="s">
        <v>2623</v>
      </c>
      <c r="C8" s="13">
        <v>7.975588716E9</v>
      </c>
      <c r="D8" s="6" t="s">
        <v>1518</v>
      </c>
      <c r="E8" s="9" t="s">
        <v>465</v>
      </c>
      <c r="F8" s="172">
        <v>46151.0</v>
      </c>
      <c r="G8" s="6" t="s">
        <v>357</v>
      </c>
      <c r="H8" s="6" t="s">
        <v>358</v>
      </c>
      <c r="I8" s="54" t="b">
        <v>1</v>
      </c>
      <c r="J8" s="6" t="s">
        <v>2624</v>
      </c>
      <c r="K8" s="6" t="s">
        <v>661</v>
      </c>
      <c r="L8" s="6" t="s">
        <v>358</v>
      </c>
      <c r="M8" s="9" t="s">
        <v>2625</v>
      </c>
      <c r="N8" s="4"/>
      <c r="O8" s="4"/>
      <c r="P8" s="4"/>
      <c r="Q8" s="4"/>
      <c r="R8" s="4"/>
      <c r="S8" s="4"/>
      <c r="T8" s="4"/>
    </row>
    <row r="9">
      <c r="A9" s="30" t="s">
        <v>22</v>
      </c>
      <c r="B9" s="9" t="s">
        <v>2626</v>
      </c>
      <c r="C9" s="13">
        <v>9.080573142E9</v>
      </c>
      <c r="D9" s="6" t="s">
        <v>38</v>
      </c>
      <c r="E9" s="9" t="s">
        <v>1064</v>
      </c>
      <c r="F9" s="172">
        <v>46161.0</v>
      </c>
      <c r="G9" s="6" t="s">
        <v>357</v>
      </c>
      <c r="H9" s="6" t="s">
        <v>358</v>
      </c>
      <c r="I9" s="54" t="b">
        <v>1</v>
      </c>
      <c r="J9" s="6" t="s">
        <v>2627</v>
      </c>
      <c r="K9" s="6" t="s">
        <v>684</v>
      </c>
      <c r="L9" s="6" t="s">
        <v>358</v>
      </c>
      <c r="M9" s="9" t="s">
        <v>2628</v>
      </c>
      <c r="N9" s="4"/>
      <c r="O9" s="4"/>
      <c r="P9" s="4"/>
      <c r="Q9" s="4"/>
      <c r="R9" s="4"/>
      <c r="S9" s="4"/>
      <c r="T9" s="4"/>
    </row>
    <row r="10">
      <c r="A10" s="30" t="s">
        <v>22</v>
      </c>
      <c r="B10" s="9" t="s">
        <v>2629</v>
      </c>
      <c r="C10" s="13">
        <v>9.585142434E9</v>
      </c>
      <c r="D10" s="6" t="s">
        <v>38</v>
      </c>
      <c r="E10" s="9" t="s">
        <v>480</v>
      </c>
      <c r="F10" s="172">
        <v>46163.0</v>
      </c>
      <c r="G10" s="6" t="s">
        <v>357</v>
      </c>
      <c r="H10" s="6" t="s">
        <v>358</v>
      </c>
      <c r="I10" s="54" t="b">
        <v>1</v>
      </c>
      <c r="J10" s="6" t="s">
        <v>2630</v>
      </c>
      <c r="K10" s="6" t="s">
        <v>684</v>
      </c>
      <c r="L10" s="6" t="s">
        <v>358</v>
      </c>
      <c r="M10" s="9" t="s">
        <v>2631</v>
      </c>
      <c r="N10" s="4"/>
      <c r="O10" s="4"/>
      <c r="P10" s="4"/>
      <c r="Q10" s="4"/>
      <c r="R10" s="4"/>
      <c r="S10" s="4"/>
      <c r="T10" s="4"/>
    </row>
    <row r="11">
      <c r="A11" s="30" t="s">
        <v>225</v>
      </c>
      <c r="B11" s="9" t="s">
        <v>2632</v>
      </c>
      <c r="C11" s="13">
        <v>8.667244151E9</v>
      </c>
      <c r="D11" s="6"/>
      <c r="E11" s="9" t="s">
        <v>465</v>
      </c>
      <c r="F11" s="176">
        <v>46156.0</v>
      </c>
      <c r="G11" s="6" t="s">
        <v>361</v>
      </c>
      <c r="H11" s="6" t="s">
        <v>362</v>
      </c>
      <c r="I11" s="104" t="b">
        <v>0</v>
      </c>
      <c r="J11" s="6" t="s">
        <v>2633</v>
      </c>
      <c r="K11" s="53"/>
      <c r="L11" s="53"/>
      <c r="M11" s="4"/>
      <c r="N11" s="4"/>
      <c r="O11" s="4"/>
      <c r="P11" s="4"/>
      <c r="Q11" s="4"/>
      <c r="R11" s="4"/>
      <c r="S11" s="4"/>
      <c r="T11" s="4"/>
    </row>
    <row r="12">
      <c r="A12" s="30" t="s">
        <v>22</v>
      </c>
      <c r="B12" s="9" t="s">
        <v>2634</v>
      </c>
      <c r="C12" s="13">
        <v>9.962453733E9</v>
      </c>
      <c r="D12" s="6" t="s">
        <v>38</v>
      </c>
      <c r="E12" s="9" t="s">
        <v>465</v>
      </c>
      <c r="F12" s="172">
        <v>46147.0</v>
      </c>
      <c r="G12" s="6" t="s">
        <v>357</v>
      </c>
      <c r="H12" s="6" t="s">
        <v>358</v>
      </c>
      <c r="I12" s="104" t="b">
        <v>0</v>
      </c>
      <c r="J12" s="6" t="s">
        <v>2635</v>
      </c>
      <c r="K12" s="53"/>
      <c r="L12" s="53"/>
      <c r="M12" s="4"/>
      <c r="N12" s="4"/>
      <c r="O12" s="4"/>
      <c r="P12" s="4"/>
      <c r="Q12" s="4"/>
      <c r="R12" s="4"/>
      <c r="S12" s="4"/>
      <c r="T12" s="4"/>
    </row>
    <row r="13">
      <c r="A13" s="30" t="s">
        <v>22</v>
      </c>
      <c r="B13" s="9" t="s">
        <v>2636</v>
      </c>
      <c r="C13" s="13">
        <v>8.248291455E9</v>
      </c>
      <c r="D13" s="6" t="s">
        <v>1378</v>
      </c>
      <c r="E13" s="9" t="s">
        <v>399</v>
      </c>
      <c r="F13" s="172">
        <v>46147.0</v>
      </c>
      <c r="G13" s="6" t="s">
        <v>357</v>
      </c>
      <c r="H13" s="6" t="s">
        <v>358</v>
      </c>
      <c r="I13" s="104" t="b">
        <v>0</v>
      </c>
      <c r="J13" s="6" t="s">
        <v>2637</v>
      </c>
      <c r="K13" s="53"/>
      <c r="L13" s="53"/>
      <c r="M13" s="4"/>
      <c r="N13" s="4"/>
      <c r="O13" s="4"/>
      <c r="P13" s="4"/>
      <c r="Q13" s="4"/>
      <c r="R13" s="4"/>
      <c r="S13" s="4"/>
      <c r="T13" s="4"/>
    </row>
    <row r="14">
      <c r="A14" s="30" t="s">
        <v>22</v>
      </c>
      <c r="B14" s="9" t="s">
        <v>2638</v>
      </c>
      <c r="C14" s="13">
        <v>9.384441345E9</v>
      </c>
      <c r="D14" s="6"/>
      <c r="E14" s="9" t="s">
        <v>1064</v>
      </c>
      <c r="F14" s="172">
        <v>46148.0</v>
      </c>
      <c r="G14" s="6" t="s">
        <v>357</v>
      </c>
      <c r="H14" s="6" t="s">
        <v>358</v>
      </c>
      <c r="I14" s="104" t="b">
        <v>0</v>
      </c>
      <c r="J14" s="6" t="s">
        <v>2639</v>
      </c>
      <c r="K14" s="53"/>
      <c r="L14" s="53"/>
      <c r="M14" s="4"/>
      <c r="N14" s="4"/>
      <c r="O14" s="4"/>
      <c r="P14" s="4"/>
      <c r="Q14" s="4"/>
      <c r="R14" s="4"/>
      <c r="S14" s="4"/>
      <c r="T14" s="4"/>
    </row>
    <row r="15">
      <c r="A15" s="30" t="s">
        <v>22</v>
      </c>
      <c r="B15" s="9" t="s">
        <v>2640</v>
      </c>
      <c r="C15" s="13">
        <v>9.677990418E9</v>
      </c>
      <c r="D15" s="6"/>
      <c r="E15" s="9" t="s">
        <v>2641</v>
      </c>
      <c r="F15" s="176">
        <v>46156.0</v>
      </c>
      <c r="G15" s="6" t="s">
        <v>357</v>
      </c>
      <c r="H15" s="6" t="s">
        <v>358</v>
      </c>
      <c r="I15" s="104" t="b">
        <v>0</v>
      </c>
      <c r="J15" s="6" t="s">
        <v>2642</v>
      </c>
      <c r="K15" s="53"/>
      <c r="L15" s="53"/>
      <c r="M15" s="4"/>
      <c r="N15" s="4"/>
      <c r="O15" s="4"/>
      <c r="P15" s="4"/>
      <c r="Q15" s="4"/>
      <c r="R15" s="4"/>
      <c r="S15" s="4"/>
      <c r="T15" s="4"/>
    </row>
    <row r="16">
      <c r="A16" s="30" t="s">
        <v>22</v>
      </c>
      <c r="B16" s="9" t="s">
        <v>2643</v>
      </c>
      <c r="C16" s="13">
        <v>9.94481558E9</v>
      </c>
      <c r="D16" s="6" t="s">
        <v>38</v>
      </c>
      <c r="E16" s="9" t="s">
        <v>465</v>
      </c>
      <c r="F16" s="172">
        <v>46163.0</v>
      </c>
      <c r="G16" s="6" t="s">
        <v>357</v>
      </c>
      <c r="H16" s="6" t="s">
        <v>358</v>
      </c>
      <c r="I16" s="54" t="b">
        <v>1</v>
      </c>
      <c r="J16" s="6" t="s">
        <v>2644</v>
      </c>
      <c r="K16" s="6" t="s">
        <v>661</v>
      </c>
      <c r="L16" s="6" t="s">
        <v>358</v>
      </c>
      <c r="M16" s="9" t="s">
        <v>2645</v>
      </c>
      <c r="N16" s="4"/>
      <c r="O16" s="4"/>
      <c r="P16" s="4"/>
      <c r="Q16" s="4"/>
      <c r="R16" s="4"/>
      <c r="S16" s="4"/>
      <c r="T16" s="4"/>
    </row>
    <row r="17">
      <c r="A17" s="30" t="s">
        <v>22</v>
      </c>
      <c r="B17" s="9" t="s">
        <v>2646</v>
      </c>
      <c r="C17" s="13">
        <v>9.025121311E9</v>
      </c>
      <c r="D17" s="6"/>
      <c r="E17" s="9" t="s">
        <v>399</v>
      </c>
      <c r="F17" s="172">
        <v>46151.0</v>
      </c>
      <c r="G17" s="6" t="s">
        <v>357</v>
      </c>
      <c r="H17" s="6" t="s">
        <v>358</v>
      </c>
      <c r="I17" s="104" t="b">
        <v>0</v>
      </c>
      <c r="J17" s="6" t="s">
        <v>2647</v>
      </c>
      <c r="K17" s="53"/>
      <c r="L17" s="53"/>
      <c r="M17" s="4"/>
      <c r="N17" s="4"/>
      <c r="O17" s="4"/>
      <c r="P17" s="4"/>
      <c r="Q17" s="4"/>
      <c r="R17" s="4"/>
      <c r="S17" s="4"/>
      <c r="T17" s="4"/>
    </row>
    <row r="18">
      <c r="A18" s="30" t="s">
        <v>22</v>
      </c>
      <c r="B18" s="9" t="s">
        <v>2648</v>
      </c>
      <c r="C18" s="13">
        <v>7.90492411E9</v>
      </c>
      <c r="D18" s="6" t="s">
        <v>38</v>
      </c>
      <c r="E18" s="9" t="s">
        <v>768</v>
      </c>
      <c r="F18" s="176">
        <v>46160.0</v>
      </c>
      <c r="G18" s="6" t="s">
        <v>357</v>
      </c>
      <c r="H18" s="6" t="s">
        <v>358</v>
      </c>
      <c r="I18" s="54" t="b">
        <v>1</v>
      </c>
      <c r="J18" s="6" t="s">
        <v>2649</v>
      </c>
      <c r="K18" s="6" t="s">
        <v>684</v>
      </c>
      <c r="L18" s="6" t="s">
        <v>358</v>
      </c>
      <c r="M18" s="9" t="s">
        <v>2650</v>
      </c>
      <c r="N18" s="4"/>
      <c r="O18" s="4"/>
      <c r="P18" s="4"/>
      <c r="Q18" s="4"/>
      <c r="R18" s="4"/>
      <c r="S18" s="4"/>
      <c r="T18" s="4"/>
    </row>
    <row r="19">
      <c r="A19" s="30" t="s">
        <v>22</v>
      </c>
      <c r="B19" s="9" t="s">
        <v>2651</v>
      </c>
      <c r="C19" s="13">
        <v>9.791546905E9</v>
      </c>
      <c r="D19" s="6" t="s">
        <v>1924</v>
      </c>
      <c r="E19" s="9" t="s">
        <v>2652</v>
      </c>
      <c r="F19" s="172">
        <v>46147.0</v>
      </c>
      <c r="G19" s="6" t="s">
        <v>543</v>
      </c>
      <c r="H19" s="6" t="s">
        <v>358</v>
      </c>
      <c r="I19" s="104" t="b">
        <v>0</v>
      </c>
      <c r="J19" s="6" t="s">
        <v>2653</v>
      </c>
      <c r="K19" s="53"/>
      <c r="L19" s="53"/>
      <c r="M19" s="4"/>
      <c r="N19" s="4"/>
      <c r="O19" s="4"/>
      <c r="P19" s="4"/>
      <c r="Q19" s="4"/>
      <c r="R19" s="4"/>
      <c r="S19" s="4"/>
      <c r="T19" s="4"/>
    </row>
    <row r="20">
      <c r="A20" s="30" t="s">
        <v>22</v>
      </c>
      <c r="B20" s="9" t="s">
        <v>2654</v>
      </c>
      <c r="C20" s="13">
        <v>9.778795821E9</v>
      </c>
      <c r="D20" s="6"/>
      <c r="E20" s="9" t="s">
        <v>2655</v>
      </c>
      <c r="F20" s="172">
        <v>46147.0</v>
      </c>
      <c r="G20" s="6" t="s">
        <v>357</v>
      </c>
      <c r="H20" s="6" t="s">
        <v>358</v>
      </c>
      <c r="I20" s="104" t="b">
        <v>0</v>
      </c>
      <c r="J20" s="6" t="s">
        <v>2656</v>
      </c>
      <c r="K20" s="53"/>
      <c r="L20" s="53"/>
      <c r="M20" s="4"/>
      <c r="N20" s="4"/>
      <c r="O20" s="4"/>
      <c r="P20" s="4"/>
      <c r="Q20" s="4"/>
      <c r="R20" s="4"/>
      <c r="S20" s="4"/>
      <c r="T20" s="4"/>
    </row>
    <row r="21">
      <c r="A21" s="30" t="s">
        <v>22</v>
      </c>
      <c r="B21" s="9" t="s">
        <v>2657</v>
      </c>
      <c r="C21" s="13">
        <v>8.056724269E9</v>
      </c>
      <c r="D21" s="6" t="s">
        <v>69</v>
      </c>
      <c r="E21" s="9" t="s">
        <v>510</v>
      </c>
      <c r="F21" s="172">
        <v>46163.0</v>
      </c>
      <c r="G21" s="6" t="s">
        <v>357</v>
      </c>
      <c r="H21" s="6" t="s">
        <v>358</v>
      </c>
      <c r="I21" s="54" t="b">
        <v>1</v>
      </c>
      <c r="J21" s="6" t="s">
        <v>2658</v>
      </c>
      <c r="K21" s="6" t="s">
        <v>661</v>
      </c>
      <c r="L21" s="6" t="s">
        <v>358</v>
      </c>
      <c r="M21" s="9" t="s">
        <v>2659</v>
      </c>
      <c r="N21" s="4"/>
      <c r="O21" s="4"/>
      <c r="P21" s="4"/>
      <c r="Q21" s="4"/>
      <c r="R21" s="4"/>
      <c r="S21" s="4"/>
      <c r="T21" s="4"/>
    </row>
    <row r="22">
      <c r="A22" s="30" t="s">
        <v>22</v>
      </c>
      <c r="B22" s="9" t="s">
        <v>2660</v>
      </c>
      <c r="C22" s="13">
        <v>8.667339592E9</v>
      </c>
      <c r="D22" s="6" t="s">
        <v>1378</v>
      </c>
      <c r="E22" s="9" t="s">
        <v>2661</v>
      </c>
      <c r="F22" s="172">
        <v>46147.0</v>
      </c>
      <c r="G22" s="6" t="s">
        <v>357</v>
      </c>
      <c r="H22" s="6" t="s">
        <v>358</v>
      </c>
      <c r="I22" s="104" t="b">
        <v>0</v>
      </c>
      <c r="J22" s="6" t="s">
        <v>2662</v>
      </c>
      <c r="K22" s="53"/>
      <c r="L22" s="53"/>
      <c r="M22" s="4"/>
      <c r="N22" s="4"/>
      <c r="O22" s="4"/>
      <c r="P22" s="4"/>
      <c r="Q22" s="4"/>
      <c r="R22" s="4"/>
      <c r="S22" s="4"/>
      <c r="T22" s="4"/>
    </row>
    <row r="23">
      <c r="A23" s="30" t="s">
        <v>22</v>
      </c>
      <c r="B23" s="9" t="s">
        <v>2663</v>
      </c>
      <c r="C23" s="13">
        <v>9.488723674E9</v>
      </c>
      <c r="D23" s="6" t="s">
        <v>38</v>
      </c>
      <c r="E23" s="9" t="s">
        <v>574</v>
      </c>
      <c r="F23" s="176">
        <v>46163.0</v>
      </c>
      <c r="G23" s="6" t="s">
        <v>431</v>
      </c>
      <c r="H23" s="6" t="s">
        <v>432</v>
      </c>
      <c r="I23" s="57" t="b">
        <v>1</v>
      </c>
      <c r="J23" s="6" t="s">
        <v>2664</v>
      </c>
      <c r="K23" s="6" t="s">
        <v>431</v>
      </c>
      <c r="L23" s="6" t="s">
        <v>432</v>
      </c>
      <c r="M23" s="9" t="s">
        <v>2665</v>
      </c>
      <c r="N23" s="4"/>
      <c r="O23" s="4"/>
      <c r="P23" s="4"/>
      <c r="Q23" s="4"/>
      <c r="R23" s="4"/>
      <c r="S23" s="4"/>
      <c r="T23" s="4"/>
    </row>
    <row r="24">
      <c r="A24" s="30" t="s">
        <v>22</v>
      </c>
      <c r="B24" s="9" t="s">
        <v>2666</v>
      </c>
      <c r="C24" s="13">
        <v>8.27076839E9</v>
      </c>
      <c r="D24" s="6"/>
      <c r="E24" s="9" t="s">
        <v>465</v>
      </c>
      <c r="F24" s="176">
        <v>46154.0</v>
      </c>
      <c r="G24" s="6" t="s">
        <v>357</v>
      </c>
      <c r="H24" s="6" t="s">
        <v>358</v>
      </c>
      <c r="I24" s="104" t="b">
        <v>0</v>
      </c>
      <c r="J24" s="6" t="s">
        <v>2667</v>
      </c>
      <c r="K24" s="53"/>
      <c r="L24" s="53"/>
      <c r="M24" s="4"/>
      <c r="N24" s="4"/>
      <c r="O24" s="4"/>
      <c r="P24" s="4"/>
      <c r="Q24" s="4"/>
      <c r="R24" s="4"/>
      <c r="S24" s="4"/>
      <c r="T24" s="4"/>
    </row>
    <row r="25">
      <c r="A25" s="30" t="s">
        <v>22</v>
      </c>
      <c r="B25" s="9" t="s">
        <v>2668</v>
      </c>
      <c r="C25" s="13">
        <v>8.608023318E9</v>
      </c>
      <c r="D25" s="6" t="s">
        <v>1924</v>
      </c>
      <c r="E25" s="9" t="s">
        <v>517</v>
      </c>
      <c r="F25" s="172">
        <v>46147.0</v>
      </c>
      <c r="G25" s="6" t="s">
        <v>357</v>
      </c>
      <c r="H25" s="6" t="s">
        <v>358</v>
      </c>
      <c r="I25" s="104" t="b">
        <v>0</v>
      </c>
      <c r="J25" s="6" t="s">
        <v>2669</v>
      </c>
      <c r="K25" s="53"/>
      <c r="L25" s="53"/>
      <c r="M25" s="4"/>
      <c r="N25" s="4"/>
      <c r="O25" s="4"/>
      <c r="P25" s="4"/>
      <c r="Q25" s="4"/>
      <c r="R25" s="4"/>
      <c r="S25" s="4"/>
      <c r="T25" s="4"/>
    </row>
    <row r="26">
      <c r="A26" s="30" t="s">
        <v>225</v>
      </c>
      <c r="B26" s="9" t="s">
        <v>2670</v>
      </c>
      <c r="C26" s="13">
        <v>9.361342133E9</v>
      </c>
      <c r="D26" s="6"/>
      <c r="E26" s="9" t="s">
        <v>465</v>
      </c>
      <c r="F26" s="176">
        <v>46156.0</v>
      </c>
      <c r="G26" s="6" t="s">
        <v>361</v>
      </c>
      <c r="H26" s="6" t="s">
        <v>362</v>
      </c>
      <c r="I26" s="104" t="b">
        <v>0</v>
      </c>
      <c r="J26" s="6" t="s">
        <v>2671</v>
      </c>
      <c r="K26" s="53"/>
      <c r="L26" s="53"/>
      <c r="M26" s="4"/>
      <c r="N26" s="4"/>
      <c r="O26" s="4"/>
      <c r="P26" s="4"/>
      <c r="Q26" s="4"/>
      <c r="R26" s="4"/>
      <c r="S26" s="4"/>
      <c r="T26" s="4"/>
    </row>
    <row r="27">
      <c r="A27" s="30" t="s">
        <v>22</v>
      </c>
      <c r="B27" s="9" t="s">
        <v>2672</v>
      </c>
      <c r="C27" s="13">
        <v>6.374609062E9</v>
      </c>
      <c r="D27" s="6" t="s">
        <v>38</v>
      </c>
      <c r="E27" s="9" t="s">
        <v>393</v>
      </c>
      <c r="F27" s="172">
        <v>46161.0</v>
      </c>
      <c r="G27" s="6" t="s">
        <v>357</v>
      </c>
      <c r="H27" s="6" t="s">
        <v>358</v>
      </c>
      <c r="I27" s="54" t="b">
        <v>1</v>
      </c>
      <c r="J27" s="6" t="s">
        <v>2673</v>
      </c>
      <c r="K27" s="6" t="s">
        <v>661</v>
      </c>
      <c r="L27" s="6" t="s">
        <v>358</v>
      </c>
      <c r="M27" s="9" t="s">
        <v>2674</v>
      </c>
      <c r="N27" s="4"/>
      <c r="O27" s="4"/>
      <c r="P27" s="4"/>
      <c r="Q27" s="4"/>
      <c r="R27" s="4"/>
      <c r="S27" s="4"/>
      <c r="T27" s="4"/>
    </row>
    <row r="28">
      <c r="A28" s="30" t="s">
        <v>22</v>
      </c>
      <c r="B28" s="9" t="s">
        <v>2675</v>
      </c>
      <c r="C28" s="13">
        <v>7.418749736E9</v>
      </c>
      <c r="D28" s="6" t="s">
        <v>38</v>
      </c>
      <c r="E28" s="9" t="s">
        <v>465</v>
      </c>
      <c r="F28" s="176">
        <v>46163.0</v>
      </c>
      <c r="G28" s="6" t="s">
        <v>431</v>
      </c>
      <c r="H28" s="6" t="s">
        <v>429</v>
      </c>
      <c r="I28" s="57" t="b">
        <v>1</v>
      </c>
      <c r="J28" s="6" t="s">
        <v>2676</v>
      </c>
      <c r="K28" s="6" t="s">
        <v>431</v>
      </c>
      <c r="L28" s="6" t="s">
        <v>429</v>
      </c>
      <c r="M28" s="9" t="s">
        <v>2677</v>
      </c>
      <c r="N28" s="4"/>
      <c r="O28" s="4"/>
      <c r="P28" s="4"/>
      <c r="Q28" s="4"/>
      <c r="R28" s="4"/>
      <c r="S28" s="4"/>
      <c r="T28" s="4"/>
    </row>
    <row r="29">
      <c r="A29" s="30" t="s">
        <v>22</v>
      </c>
      <c r="B29" s="9" t="s">
        <v>2678</v>
      </c>
      <c r="C29" s="13">
        <v>9.600761174E9</v>
      </c>
      <c r="D29" s="6" t="s">
        <v>2619</v>
      </c>
      <c r="E29" s="9" t="s">
        <v>409</v>
      </c>
      <c r="F29" s="176">
        <v>46163.0</v>
      </c>
      <c r="G29" s="6" t="s">
        <v>431</v>
      </c>
      <c r="H29" s="6" t="s">
        <v>432</v>
      </c>
      <c r="I29" s="57" t="b">
        <v>1</v>
      </c>
      <c r="J29" s="6" t="s">
        <v>2679</v>
      </c>
      <c r="K29" s="6" t="s">
        <v>431</v>
      </c>
      <c r="L29" s="6" t="s">
        <v>429</v>
      </c>
      <c r="M29" s="9" t="s">
        <v>2680</v>
      </c>
      <c r="N29" s="4"/>
      <c r="O29" s="4"/>
      <c r="P29" s="4"/>
      <c r="Q29" s="4"/>
      <c r="R29" s="4"/>
      <c r="S29" s="4"/>
      <c r="T29" s="4"/>
    </row>
    <row r="30">
      <c r="A30" s="30" t="s">
        <v>22</v>
      </c>
      <c r="B30" s="9" t="s">
        <v>1362</v>
      </c>
      <c r="C30" s="13">
        <v>9.789569915E9</v>
      </c>
      <c r="D30" s="6" t="s">
        <v>38</v>
      </c>
      <c r="E30" s="9" t="s">
        <v>643</v>
      </c>
      <c r="F30" s="172">
        <v>46154.0</v>
      </c>
      <c r="G30" s="6" t="s">
        <v>357</v>
      </c>
      <c r="H30" s="6" t="s">
        <v>358</v>
      </c>
      <c r="I30" s="57" t="b">
        <v>0</v>
      </c>
      <c r="J30" s="6" t="s">
        <v>2681</v>
      </c>
      <c r="K30" s="6" t="s">
        <v>382</v>
      </c>
      <c r="L30" s="6" t="s">
        <v>358</v>
      </c>
      <c r="M30" s="9" t="s">
        <v>2682</v>
      </c>
      <c r="N30" s="4"/>
      <c r="O30" s="4"/>
      <c r="P30" s="4"/>
      <c r="Q30" s="4"/>
      <c r="R30" s="4"/>
      <c r="S30" s="4"/>
      <c r="T30" s="4"/>
    </row>
    <row r="31">
      <c r="A31" s="30" t="s">
        <v>22</v>
      </c>
      <c r="B31" s="9" t="s">
        <v>2683</v>
      </c>
      <c r="C31" s="13">
        <v>9.363862031E9</v>
      </c>
      <c r="D31" s="6" t="s">
        <v>38</v>
      </c>
      <c r="E31" s="9" t="s">
        <v>2684</v>
      </c>
      <c r="F31" s="176">
        <v>46165.0</v>
      </c>
      <c r="G31" s="6" t="s">
        <v>357</v>
      </c>
      <c r="H31" s="6" t="s">
        <v>358</v>
      </c>
      <c r="I31" s="54" t="b">
        <v>1</v>
      </c>
      <c r="J31" s="6" t="s">
        <v>2685</v>
      </c>
      <c r="K31" s="6" t="s">
        <v>684</v>
      </c>
      <c r="L31" s="6" t="s">
        <v>358</v>
      </c>
      <c r="M31" s="9" t="s">
        <v>2686</v>
      </c>
      <c r="N31" s="4"/>
      <c r="O31" s="4"/>
      <c r="P31" s="4"/>
      <c r="Q31" s="4"/>
      <c r="R31" s="4"/>
      <c r="S31" s="4"/>
      <c r="T31" s="4"/>
    </row>
    <row r="32" ht="17.25" customHeight="1">
      <c r="A32" s="30" t="s">
        <v>22</v>
      </c>
      <c r="B32" s="9" t="s">
        <v>2687</v>
      </c>
      <c r="C32" s="13">
        <v>8.438504857E9</v>
      </c>
      <c r="D32" s="6" t="s">
        <v>38</v>
      </c>
      <c r="E32" s="9" t="s">
        <v>409</v>
      </c>
      <c r="F32" s="176">
        <v>46163.0</v>
      </c>
      <c r="G32" s="6" t="s">
        <v>357</v>
      </c>
      <c r="H32" s="6" t="s">
        <v>358</v>
      </c>
      <c r="I32" s="54" t="b">
        <v>1</v>
      </c>
      <c r="J32" s="6" t="s">
        <v>2688</v>
      </c>
      <c r="K32" s="6" t="s">
        <v>684</v>
      </c>
      <c r="L32" s="6" t="s">
        <v>358</v>
      </c>
      <c r="M32" s="9" t="s">
        <v>2689</v>
      </c>
      <c r="N32" s="4"/>
      <c r="O32" s="4"/>
      <c r="P32" s="4"/>
      <c r="Q32" s="4"/>
      <c r="R32" s="4"/>
      <c r="S32" s="4"/>
      <c r="T32" s="4"/>
    </row>
    <row r="33">
      <c r="A33" s="30" t="s">
        <v>22</v>
      </c>
      <c r="B33" s="9" t="s">
        <v>2690</v>
      </c>
      <c r="C33" s="13">
        <v>9.092345114E9</v>
      </c>
      <c r="D33" s="6" t="s">
        <v>38</v>
      </c>
      <c r="E33" s="9" t="s">
        <v>2691</v>
      </c>
      <c r="F33" s="176">
        <v>46163.0</v>
      </c>
      <c r="G33" s="6" t="s">
        <v>357</v>
      </c>
      <c r="H33" s="6" t="s">
        <v>358</v>
      </c>
      <c r="I33" s="54" t="b">
        <v>1</v>
      </c>
      <c r="J33" s="6" t="s">
        <v>2692</v>
      </c>
      <c r="K33" s="6" t="s">
        <v>382</v>
      </c>
      <c r="L33" s="6" t="s">
        <v>358</v>
      </c>
      <c r="M33" s="9" t="s">
        <v>2693</v>
      </c>
      <c r="N33" s="4"/>
      <c r="O33" s="4"/>
      <c r="P33" s="4"/>
      <c r="Q33" s="4"/>
      <c r="R33" s="4"/>
      <c r="S33" s="4"/>
      <c r="T33" s="4"/>
    </row>
    <row r="34">
      <c r="A34" s="30" t="s">
        <v>22</v>
      </c>
      <c r="B34" s="9" t="s">
        <v>2694</v>
      </c>
      <c r="C34" s="13">
        <v>9.943775094E9</v>
      </c>
      <c r="D34" s="6"/>
      <c r="E34" s="9" t="s">
        <v>465</v>
      </c>
      <c r="F34" s="172">
        <v>46151.0</v>
      </c>
      <c r="G34" s="6" t="s">
        <v>357</v>
      </c>
      <c r="H34" s="6" t="s">
        <v>358</v>
      </c>
      <c r="I34" s="104" t="b">
        <v>0</v>
      </c>
      <c r="J34" s="6" t="s">
        <v>2695</v>
      </c>
      <c r="K34" s="53"/>
      <c r="L34" s="53"/>
      <c r="M34" s="4"/>
      <c r="N34" s="4"/>
      <c r="O34" s="4"/>
      <c r="P34" s="4"/>
      <c r="Q34" s="4"/>
      <c r="R34" s="4"/>
      <c r="S34" s="4"/>
      <c r="T34" s="4"/>
    </row>
    <row r="35">
      <c r="A35" s="30" t="s">
        <v>22</v>
      </c>
      <c r="B35" s="9" t="s">
        <v>2696</v>
      </c>
      <c r="C35" s="13">
        <v>9.677547613E9</v>
      </c>
      <c r="D35" s="6" t="s">
        <v>38</v>
      </c>
      <c r="E35" s="9" t="s">
        <v>2697</v>
      </c>
      <c r="F35" s="176">
        <v>46163.0</v>
      </c>
      <c r="G35" s="6" t="s">
        <v>431</v>
      </c>
      <c r="H35" s="6" t="s">
        <v>429</v>
      </c>
      <c r="I35" s="57" t="b">
        <v>1</v>
      </c>
      <c r="J35" s="6" t="s">
        <v>2698</v>
      </c>
      <c r="K35" s="6" t="s">
        <v>431</v>
      </c>
      <c r="L35" s="6" t="s">
        <v>432</v>
      </c>
      <c r="M35" s="9" t="s">
        <v>2699</v>
      </c>
      <c r="N35" s="4"/>
      <c r="O35" s="4"/>
      <c r="P35" s="4"/>
      <c r="Q35" s="4"/>
      <c r="R35" s="4"/>
      <c r="S35" s="4"/>
      <c r="T35" s="4"/>
    </row>
    <row r="36">
      <c r="A36" s="30" t="s">
        <v>22</v>
      </c>
      <c r="B36" s="9" t="s">
        <v>2700</v>
      </c>
      <c r="C36" s="13">
        <v>8.14876248E9</v>
      </c>
      <c r="D36" s="6" t="s">
        <v>38</v>
      </c>
      <c r="E36" s="9" t="s">
        <v>465</v>
      </c>
      <c r="F36" s="176">
        <v>46160.0</v>
      </c>
      <c r="G36" s="6" t="s">
        <v>357</v>
      </c>
      <c r="H36" s="6" t="s">
        <v>358</v>
      </c>
      <c r="I36" s="57" t="b">
        <v>0</v>
      </c>
      <c r="J36" s="6" t="s">
        <v>2701</v>
      </c>
      <c r="K36" s="6" t="s">
        <v>382</v>
      </c>
      <c r="L36" s="6" t="s">
        <v>358</v>
      </c>
      <c r="M36" s="9" t="s">
        <v>2702</v>
      </c>
      <c r="N36" s="4"/>
      <c r="O36" s="4"/>
      <c r="P36" s="4"/>
      <c r="Q36" s="4"/>
      <c r="R36" s="4"/>
      <c r="S36" s="4"/>
      <c r="T36" s="4"/>
    </row>
    <row r="37">
      <c r="A37" s="30" t="s">
        <v>22</v>
      </c>
      <c r="B37" s="9" t="s">
        <v>2703</v>
      </c>
      <c r="C37" s="13">
        <v>9.791667447E9</v>
      </c>
      <c r="D37" s="6"/>
      <c r="E37" s="9" t="s">
        <v>542</v>
      </c>
      <c r="F37" s="172">
        <v>46153.0</v>
      </c>
      <c r="G37" s="6" t="s">
        <v>357</v>
      </c>
      <c r="H37" s="6" t="s">
        <v>358</v>
      </c>
      <c r="I37" s="104" t="b">
        <v>0</v>
      </c>
      <c r="J37" s="6" t="s">
        <v>2704</v>
      </c>
      <c r="K37" s="53"/>
      <c r="L37" s="53"/>
      <c r="M37" s="4"/>
      <c r="N37" s="4"/>
      <c r="O37" s="4"/>
      <c r="P37" s="4"/>
      <c r="Q37" s="4"/>
      <c r="R37" s="4"/>
      <c r="S37" s="4"/>
      <c r="T37" s="4"/>
    </row>
    <row r="38">
      <c r="A38" s="30" t="s">
        <v>22</v>
      </c>
      <c r="B38" s="9" t="s">
        <v>2705</v>
      </c>
      <c r="C38" s="13">
        <v>6.379310537E9</v>
      </c>
      <c r="D38" s="6" t="s">
        <v>38</v>
      </c>
      <c r="E38" s="9" t="s">
        <v>409</v>
      </c>
      <c r="F38" s="176">
        <v>46163.0</v>
      </c>
      <c r="G38" s="6" t="s">
        <v>431</v>
      </c>
      <c r="H38" s="6" t="s">
        <v>432</v>
      </c>
      <c r="I38" s="57" t="b">
        <v>1</v>
      </c>
      <c r="J38" s="6" t="s">
        <v>2706</v>
      </c>
      <c r="K38" s="6" t="s">
        <v>431</v>
      </c>
      <c r="L38" s="6" t="s">
        <v>429</v>
      </c>
      <c r="M38" s="9" t="s">
        <v>2707</v>
      </c>
      <c r="N38" s="4"/>
      <c r="O38" s="4"/>
      <c r="P38" s="4"/>
      <c r="Q38" s="4"/>
      <c r="R38" s="4"/>
      <c r="S38" s="4"/>
      <c r="T38" s="4"/>
    </row>
    <row r="39">
      <c r="A39" s="30" t="s">
        <v>22</v>
      </c>
      <c r="B39" s="9" t="s">
        <v>1373</v>
      </c>
      <c r="C39" s="13">
        <v>9.566020341E9</v>
      </c>
      <c r="D39" s="6" t="s">
        <v>38</v>
      </c>
      <c r="E39" s="9" t="s">
        <v>409</v>
      </c>
      <c r="F39" s="176">
        <v>46163.0</v>
      </c>
      <c r="G39" s="6" t="s">
        <v>431</v>
      </c>
      <c r="H39" s="6" t="s">
        <v>432</v>
      </c>
      <c r="I39" s="57" t="b">
        <v>1</v>
      </c>
      <c r="J39" s="6" t="s">
        <v>2708</v>
      </c>
      <c r="K39" s="6" t="s">
        <v>431</v>
      </c>
      <c r="L39" s="6" t="s">
        <v>432</v>
      </c>
      <c r="M39" s="9" t="s">
        <v>2709</v>
      </c>
      <c r="N39" s="4"/>
      <c r="O39" s="4"/>
      <c r="P39" s="4"/>
      <c r="Q39" s="4"/>
      <c r="R39" s="4"/>
      <c r="S39" s="4"/>
      <c r="T39" s="4"/>
    </row>
    <row r="40">
      <c r="A40" s="30" t="s">
        <v>22</v>
      </c>
      <c r="B40" s="9" t="s">
        <v>2710</v>
      </c>
      <c r="C40" s="13">
        <v>9.003943453E9</v>
      </c>
      <c r="D40" s="6" t="s">
        <v>38</v>
      </c>
      <c r="E40" s="9" t="s">
        <v>1049</v>
      </c>
      <c r="F40" s="176">
        <v>46163.0</v>
      </c>
      <c r="G40" s="6" t="s">
        <v>431</v>
      </c>
      <c r="H40" s="6" t="s">
        <v>429</v>
      </c>
      <c r="I40" s="57" t="b">
        <v>1</v>
      </c>
      <c r="J40" s="6" t="s">
        <v>2711</v>
      </c>
      <c r="K40" s="6" t="s">
        <v>431</v>
      </c>
      <c r="L40" s="6" t="s">
        <v>432</v>
      </c>
      <c r="M40" s="9" t="s">
        <v>2712</v>
      </c>
      <c r="N40" s="4"/>
      <c r="O40" s="4"/>
      <c r="P40" s="4"/>
      <c r="Q40" s="4"/>
      <c r="R40" s="4"/>
      <c r="S40" s="4"/>
      <c r="T40" s="4"/>
    </row>
    <row r="41">
      <c r="A41" s="30" t="s">
        <v>22</v>
      </c>
      <c r="B41" s="9" t="s">
        <v>2713</v>
      </c>
      <c r="C41" s="13">
        <v>8.438450562E9</v>
      </c>
      <c r="D41" s="6"/>
      <c r="E41" s="9" t="s">
        <v>768</v>
      </c>
      <c r="F41" s="172">
        <v>46153.0</v>
      </c>
      <c r="G41" s="6" t="s">
        <v>357</v>
      </c>
      <c r="H41" s="6" t="s">
        <v>358</v>
      </c>
      <c r="I41" s="104" t="b">
        <v>0</v>
      </c>
      <c r="J41" s="6" t="s">
        <v>2714</v>
      </c>
      <c r="K41" s="53"/>
      <c r="L41" s="53"/>
      <c r="M41" s="4"/>
      <c r="N41" s="4"/>
      <c r="O41" s="4"/>
      <c r="P41" s="4"/>
      <c r="Q41" s="4"/>
      <c r="R41" s="4"/>
      <c r="S41" s="4"/>
      <c r="T41" s="4"/>
    </row>
    <row r="42">
      <c r="A42" s="30" t="s">
        <v>22</v>
      </c>
      <c r="B42" s="9" t="s">
        <v>2715</v>
      </c>
      <c r="C42" s="13">
        <v>9.043528393E9</v>
      </c>
      <c r="D42" s="6" t="s">
        <v>38</v>
      </c>
      <c r="E42" s="9" t="s">
        <v>465</v>
      </c>
      <c r="F42" s="176">
        <v>46163.0</v>
      </c>
      <c r="G42" s="6" t="s">
        <v>357</v>
      </c>
      <c r="H42" s="6" t="s">
        <v>358</v>
      </c>
      <c r="I42" s="54" t="b">
        <v>1</v>
      </c>
      <c r="J42" s="6" t="s">
        <v>2716</v>
      </c>
      <c r="K42" s="6" t="s">
        <v>684</v>
      </c>
      <c r="L42" s="6" t="s">
        <v>358</v>
      </c>
      <c r="M42" s="9" t="s">
        <v>2717</v>
      </c>
      <c r="N42" s="4"/>
      <c r="O42" s="4"/>
      <c r="P42" s="4"/>
      <c r="Q42" s="4"/>
      <c r="R42" s="4"/>
      <c r="S42" s="4"/>
      <c r="T42" s="4"/>
    </row>
    <row r="43">
      <c r="A43" s="30" t="s">
        <v>22</v>
      </c>
      <c r="B43" s="9" t="s">
        <v>2718</v>
      </c>
      <c r="C43" s="13">
        <v>9.384532045E9</v>
      </c>
      <c r="D43" s="6" t="s">
        <v>38</v>
      </c>
      <c r="E43" s="9" t="s">
        <v>409</v>
      </c>
      <c r="F43" s="172">
        <v>46161.0</v>
      </c>
      <c r="G43" s="6" t="s">
        <v>357</v>
      </c>
      <c r="H43" s="6" t="s">
        <v>358</v>
      </c>
      <c r="I43" s="54" t="b">
        <v>1</v>
      </c>
      <c r="J43" s="6" t="s">
        <v>2719</v>
      </c>
      <c r="K43" s="6" t="s">
        <v>684</v>
      </c>
      <c r="L43" s="6" t="s">
        <v>358</v>
      </c>
      <c r="M43" s="9" t="s">
        <v>2720</v>
      </c>
      <c r="N43" s="4"/>
      <c r="O43" s="4"/>
      <c r="P43" s="4"/>
      <c r="Q43" s="4"/>
      <c r="R43" s="4"/>
      <c r="S43" s="4"/>
      <c r="T43" s="4"/>
    </row>
    <row r="44">
      <c r="A44" s="30" t="s">
        <v>225</v>
      </c>
      <c r="B44" s="9" t="s">
        <v>2721</v>
      </c>
      <c r="C44" s="13">
        <v>7.418218647E9</v>
      </c>
      <c r="D44" s="6"/>
      <c r="E44" s="9" t="s">
        <v>574</v>
      </c>
      <c r="F44" s="176">
        <v>46156.0</v>
      </c>
      <c r="G44" s="6" t="s">
        <v>361</v>
      </c>
      <c r="H44" s="6" t="s">
        <v>362</v>
      </c>
      <c r="I44" s="104" t="b">
        <v>0</v>
      </c>
      <c r="J44" s="6" t="s">
        <v>2722</v>
      </c>
      <c r="K44" s="53"/>
      <c r="L44" s="53"/>
      <c r="M44" s="4"/>
      <c r="N44" s="4"/>
      <c r="O44" s="4"/>
      <c r="P44" s="4"/>
      <c r="Q44" s="4"/>
      <c r="R44" s="4"/>
      <c r="S44" s="4"/>
      <c r="T44" s="4"/>
    </row>
    <row r="45">
      <c r="A45" s="30" t="s">
        <v>22</v>
      </c>
      <c r="B45" s="9" t="s">
        <v>2723</v>
      </c>
      <c r="C45" s="13">
        <v>6.37901299E9</v>
      </c>
      <c r="D45" s="6"/>
      <c r="E45" s="9" t="s">
        <v>727</v>
      </c>
      <c r="F45" s="176">
        <v>46156.0</v>
      </c>
      <c r="G45" s="6" t="s">
        <v>357</v>
      </c>
      <c r="H45" s="6" t="s">
        <v>358</v>
      </c>
      <c r="I45" s="104" t="b">
        <v>0</v>
      </c>
      <c r="J45" s="6" t="s">
        <v>2724</v>
      </c>
      <c r="K45" s="53"/>
      <c r="L45" s="53"/>
      <c r="M45" s="4"/>
      <c r="N45" s="4"/>
      <c r="O45" s="4"/>
      <c r="P45" s="4"/>
      <c r="Q45" s="4"/>
      <c r="R45" s="4"/>
      <c r="S45" s="4"/>
      <c r="T45" s="4"/>
    </row>
    <row r="46">
      <c r="A46" s="30" t="s">
        <v>22</v>
      </c>
      <c r="B46" s="9" t="s">
        <v>2725</v>
      </c>
      <c r="C46" s="13">
        <v>9.787950719E9</v>
      </c>
      <c r="D46" s="6"/>
      <c r="E46" s="9" t="s">
        <v>727</v>
      </c>
      <c r="F46" s="172">
        <v>46150.0</v>
      </c>
      <c r="G46" s="6" t="s">
        <v>357</v>
      </c>
      <c r="H46" s="6" t="s">
        <v>358</v>
      </c>
      <c r="I46" s="104" t="b">
        <v>0</v>
      </c>
      <c r="J46" s="6" t="s">
        <v>2726</v>
      </c>
      <c r="K46" s="53"/>
      <c r="L46" s="53"/>
      <c r="M46" s="4"/>
      <c r="N46" s="4"/>
      <c r="O46" s="4"/>
      <c r="P46" s="4"/>
      <c r="Q46" s="4"/>
      <c r="R46" s="4"/>
      <c r="S46" s="4"/>
      <c r="T46" s="4"/>
    </row>
    <row r="47">
      <c r="A47" s="30" t="s">
        <v>22</v>
      </c>
      <c r="B47" s="9" t="s">
        <v>2727</v>
      </c>
      <c r="C47" s="13">
        <v>6.380997822E9</v>
      </c>
      <c r="D47" s="6" t="s">
        <v>38</v>
      </c>
      <c r="E47" s="9" t="s">
        <v>727</v>
      </c>
      <c r="F47" s="176">
        <v>46163.0</v>
      </c>
      <c r="G47" s="6" t="s">
        <v>431</v>
      </c>
      <c r="H47" s="6" t="s">
        <v>432</v>
      </c>
      <c r="I47" s="57" t="b">
        <v>1</v>
      </c>
      <c r="J47" s="6" t="s">
        <v>2728</v>
      </c>
      <c r="K47" s="6" t="s">
        <v>431</v>
      </c>
      <c r="L47" s="6" t="s">
        <v>432</v>
      </c>
      <c r="M47" s="9" t="s">
        <v>2729</v>
      </c>
      <c r="N47" s="4"/>
      <c r="O47" s="4"/>
      <c r="P47" s="4"/>
      <c r="Q47" s="4"/>
      <c r="R47" s="4"/>
      <c r="S47" s="4"/>
      <c r="T47" s="4"/>
    </row>
    <row r="48">
      <c r="A48" s="30" t="s">
        <v>22</v>
      </c>
      <c r="B48" s="9" t="s">
        <v>2730</v>
      </c>
      <c r="C48" s="13">
        <v>9.952922377E9</v>
      </c>
      <c r="D48" s="6" t="s">
        <v>38</v>
      </c>
      <c r="E48" s="9" t="s">
        <v>704</v>
      </c>
      <c r="F48" s="176">
        <v>46170.0</v>
      </c>
      <c r="G48" s="6" t="s">
        <v>1124</v>
      </c>
      <c r="H48" s="6" t="s">
        <v>429</v>
      </c>
      <c r="I48" s="57" t="b">
        <v>1</v>
      </c>
      <c r="J48" s="6" t="s">
        <v>2731</v>
      </c>
      <c r="K48" s="6" t="s">
        <v>834</v>
      </c>
      <c r="L48" s="6" t="s">
        <v>432</v>
      </c>
      <c r="M48" s="9" t="s">
        <v>2732</v>
      </c>
      <c r="N48" s="4"/>
      <c r="O48" s="4"/>
      <c r="P48" s="4"/>
      <c r="Q48" s="4"/>
      <c r="R48" s="4"/>
      <c r="S48" s="4"/>
      <c r="T48" s="4"/>
    </row>
    <row r="49">
      <c r="A49" s="30" t="s">
        <v>22</v>
      </c>
      <c r="B49" s="9" t="s">
        <v>2733</v>
      </c>
      <c r="C49" s="13">
        <v>9.629394673E9</v>
      </c>
      <c r="D49" s="6" t="s">
        <v>38</v>
      </c>
      <c r="E49" s="9" t="s">
        <v>2734</v>
      </c>
      <c r="F49" s="176">
        <v>46163.0</v>
      </c>
      <c r="G49" s="6" t="s">
        <v>431</v>
      </c>
      <c r="H49" s="6" t="s">
        <v>432</v>
      </c>
      <c r="I49" s="57" t="b">
        <v>1</v>
      </c>
      <c r="J49" s="6" t="s">
        <v>2735</v>
      </c>
      <c r="K49" s="6" t="s">
        <v>431</v>
      </c>
      <c r="L49" s="6" t="s">
        <v>432</v>
      </c>
      <c r="M49" s="9" t="s">
        <v>2736</v>
      </c>
      <c r="N49" s="4"/>
      <c r="O49" s="4"/>
      <c r="P49" s="4"/>
      <c r="Q49" s="4"/>
      <c r="R49" s="4"/>
      <c r="S49" s="4"/>
      <c r="T49" s="4"/>
    </row>
    <row r="50">
      <c r="A50" s="30" t="s">
        <v>22</v>
      </c>
      <c r="B50" s="9" t="s">
        <v>2737</v>
      </c>
      <c r="C50" s="13">
        <v>8.508211344E9</v>
      </c>
      <c r="D50" s="6" t="s">
        <v>38</v>
      </c>
      <c r="E50" s="9" t="s">
        <v>2738</v>
      </c>
      <c r="F50" s="176">
        <v>46163.0</v>
      </c>
      <c r="G50" s="6" t="s">
        <v>431</v>
      </c>
      <c r="H50" s="6" t="s">
        <v>432</v>
      </c>
      <c r="I50" s="57" t="b">
        <v>1</v>
      </c>
      <c r="J50" s="6" t="s">
        <v>2739</v>
      </c>
      <c r="K50" s="6" t="s">
        <v>834</v>
      </c>
      <c r="L50" s="6" t="s">
        <v>432</v>
      </c>
      <c r="M50" s="9" t="s">
        <v>2740</v>
      </c>
      <c r="N50" s="4"/>
      <c r="O50" s="4"/>
      <c r="P50" s="4"/>
      <c r="Q50" s="4"/>
      <c r="R50" s="4"/>
      <c r="S50" s="4"/>
      <c r="T50" s="4"/>
    </row>
    <row r="51">
      <c r="A51" s="30" t="s">
        <v>22</v>
      </c>
      <c r="B51" s="9" t="s">
        <v>2741</v>
      </c>
      <c r="C51" s="13">
        <v>8.428492681E9</v>
      </c>
      <c r="D51" s="6" t="s">
        <v>38</v>
      </c>
      <c r="E51" s="9" t="s">
        <v>465</v>
      </c>
      <c r="F51" s="176">
        <v>46160.0</v>
      </c>
      <c r="G51" s="6" t="s">
        <v>357</v>
      </c>
      <c r="H51" s="6" t="s">
        <v>358</v>
      </c>
      <c r="I51" s="162" t="b">
        <v>0</v>
      </c>
      <c r="J51" s="9" t="s">
        <v>2742</v>
      </c>
      <c r="K51" s="6" t="s">
        <v>684</v>
      </c>
      <c r="L51" s="6" t="s">
        <v>358</v>
      </c>
      <c r="M51" s="9" t="s">
        <v>2743</v>
      </c>
      <c r="N51" s="4"/>
      <c r="O51" s="4"/>
      <c r="P51" s="4"/>
      <c r="Q51" s="4"/>
      <c r="R51" s="4"/>
      <c r="S51" s="4"/>
      <c r="T51" s="4"/>
    </row>
    <row r="52">
      <c r="A52" s="30" t="s">
        <v>225</v>
      </c>
      <c r="B52" s="9" t="s">
        <v>2737</v>
      </c>
      <c r="C52" s="13">
        <v>9.0257904E9</v>
      </c>
      <c r="D52" s="6"/>
      <c r="E52" s="9" t="s">
        <v>542</v>
      </c>
      <c r="F52" s="176">
        <v>46156.0</v>
      </c>
      <c r="G52" s="6" t="s">
        <v>361</v>
      </c>
      <c r="H52" s="6" t="s">
        <v>362</v>
      </c>
      <c r="I52" s="104" t="b">
        <v>0</v>
      </c>
      <c r="J52" s="9" t="s">
        <v>2744</v>
      </c>
      <c r="K52" s="53"/>
      <c r="L52" s="53"/>
      <c r="M52" s="4"/>
      <c r="N52" s="4"/>
      <c r="O52" s="4"/>
      <c r="P52" s="4"/>
      <c r="Q52" s="4"/>
      <c r="R52" s="4"/>
      <c r="S52" s="4"/>
      <c r="T52" s="4"/>
    </row>
    <row r="53">
      <c r="A53" s="30" t="s">
        <v>22</v>
      </c>
      <c r="B53" s="9" t="s">
        <v>2745</v>
      </c>
      <c r="C53" s="13">
        <v>7.200879325E9</v>
      </c>
      <c r="D53" s="6"/>
      <c r="E53" s="9" t="s">
        <v>768</v>
      </c>
      <c r="F53" s="176">
        <v>46154.0</v>
      </c>
      <c r="G53" s="6" t="s">
        <v>357</v>
      </c>
      <c r="H53" s="6" t="s">
        <v>358</v>
      </c>
      <c r="I53" s="104" t="b">
        <v>0</v>
      </c>
      <c r="J53" s="9" t="s">
        <v>2746</v>
      </c>
      <c r="K53" s="53"/>
      <c r="L53" s="53"/>
      <c r="M53" s="4"/>
      <c r="N53" s="4"/>
      <c r="O53" s="4"/>
      <c r="P53" s="4"/>
      <c r="Q53" s="4"/>
      <c r="R53" s="4"/>
      <c r="S53" s="4"/>
      <c r="T53" s="4"/>
    </row>
    <row r="54">
      <c r="A54" s="30" t="s">
        <v>22</v>
      </c>
      <c r="B54" s="9" t="s">
        <v>2747</v>
      </c>
      <c r="C54" s="13">
        <v>9.790649514E9</v>
      </c>
      <c r="D54" s="6"/>
      <c r="E54" s="9" t="s">
        <v>2748</v>
      </c>
      <c r="F54" s="176">
        <v>46155.0</v>
      </c>
      <c r="G54" s="6" t="s">
        <v>357</v>
      </c>
      <c r="H54" s="6" t="s">
        <v>358</v>
      </c>
      <c r="I54" s="104" t="b">
        <v>0</v>
      </c>
      <c r="J54" s="9" t="s">
        <v>2749</v>
      </c>
      <c r="K54" s="53"/>
      <c r="L54" s="53"/>
      <c r="M54" s="4"/>
      <c r="N54" s="4"/>
      <c r="O54" s="4"/>
      <c r="P54" s="4"/>
      <c r="Q54" s="4"/>
      <c r="R54" s="4"/>
      <c r="S54" s="4"/>
      <c r="T54" s="4"/>
    </row>
    <row r="55">
      <c r="A55" s="30" t="s">
        <v>225</v>
      </c>
      <c r="B55" s="4"/>
      <c r="C55" s="13">
        <v>8.142685313E9</v>
      </c>
      <c r="D55" s="6"/>
      <c r="E55" s="9" t="s">
        <v>2750</v>
      </c>
      <c r="F55" s="176">
        <v>46156.0</v>
      </c>
      <c r="G55" s="6" t="s">
        <v>361</v>
      </c>
      <c r="H55" s="6" t="s">
        <v>362</v>
      </c>
      <c r="I55" s="104" t="b">
        <v>0</v>
      </c>
      <c r="J55" s="9" t="s">
        <v>2751</v>
      </c>
      <c r="K55" s="53"/>
      <c r="L55" s="53"/>
      <c r="M55" s="4"/>
      <c r="N55" s="4"/>
      <c r="O55" s="4"/>
      <c r="P55" s="4"/>
      <c r="Q55" s="4"/>
      <c r="R55" s="4"/>
      <c r="S55" s="4"/>
      <c r="T55" s="4"/>
    </row>
    <row r="56">
      <c r="A56" s="30" t="s">
        <v>22</v>
      </c>
      <c r="B56" s="9" t="s">
        <v>2752</v>
      </c>
      <c r="C56" s="13">
        <v>8.825561623E9</v>
      </c>
      <c r="D56" s="6"/>
      <c r="E56" s="9" t="s">
        <v>465</v>
      </c>
      <c r="F56" s="172">
        <v>46153.0</v>
      </c>
      <c r="G56" s="6" t="s">
        <v>357</v>
      </c>
      <c r="H56" s="6" t="s">
        <v>358</v>
      </c>
      <c r="I56" s="104" t="b">
        <v>0</v>
      </c>
      <c r="J56" s="6" t="s">
        <v>2753</v>
      </c>
      <c r="K56" s="53"/>
      <c r="L56" s="53"/>
      <c r="M56" s="4"/>
      <c r="N56" s="4"/>
      <c r="O56" s="4"/>
      <c r="P56" s="4"/>
      <c r="Q56" s="4"/>
      <c r="R56" s="4"/>
      <c r="S56" s="4"/>
      <c r="T56" s="4"/>
    </row>
    <row r="57">
      <c r="A57" s="30" t="s">
        <v>22</v>
      </c>
      <c r="B57" s="9" t="s">
        <v>2754</v>
      </c>
      <c r="C57" s="13">
        <v>9.944891475E9</v>
      </c>
      <c r="D57" s="6" t="s">
        <v>38</v>
      </c>
      <c r="E57" s="9" t="s">
        <v>465</v>
      </c>
      <c r="F57" s="176">
        <v>46165.0</v>
      </c>
      <c r="G57" s="6" t="s">
        <v>431</v>
      </c>
      <c r="H57" s="6" t="s">
        <v>432</v>
      </c>
      <c r="I57" s="57" t="b">
        <v>1</v>
      </c>
      <c r="J57" s="6" t="s">
        <v>2755</v>
      </c>
      <c r="K57" s="6" t="s">
        <v>361</v>
      </c>
      <c r="L57" s="6" t="s">
        <v>362</v>
      </c>
      <c r="M57" s="9" t="s">
        <v>2756</v>
      </c>
      <c r="N57" s="4"/>
      <c r="O57" s="4"/>
      <c r="P57" s="4"/>
      <c r="Q57" s="4"/>
      <c r="R57" s="4"/>
      <c r="S57" s="4"/>
      <c r="T57" s="4"/>
    </row>
    <row r="58">
      <c r="A58" s="30" t="s">
        <v>22</v>
      </c>
      <c r="B58" s="9" t="s">
        <v>2757</v>
      </c>
      <c r="C58" s="13">
        <v>9.361101178E9</v>
      </c>
      <c r="D58" s="6" t="s">
        <v>38</v>
      </c>
      <c r="E58" s="9" t="s">
        <v>1064</v>
      </c>
      <c r="F58" s="176">
        <v>46169.0</v>
      </c>
      <c r="G58" s="6" t="s">
        <v>431</v>
      </c>
      <c r="H58" s="6" t="s">
        <v>432</v>
      </c>
      <c r="I58" s="57" t="b">
        <v>1</v>
      </c>
      <c r="J58" s="6" t="s">
        <v>2758</v>
      </c>
      <c r="K58" s="6" t="s">
        <v>431</v>
      </c>
      <c r="L58" s="6" t="s">
        <v>432</v>
      </c>
      <c r="M58" s="9" t="s">
        <v>2759</v>
      </c>
      <c r="N58" s="4"/>
      <c r="O58" s="4"/>
      <c r="P58" s="4"/>
      <c r="Q58" s="4"/>
      <c r="R58" s="4"/>
      <c r="S58" s="4"/>
      <c r="T58" s="4"/>
    </row>
    <row r="59">
      <c r="A59" s="30" t="s">
        <v>225</v>
      </c>
      <c r="B59" s="9" t="s">
        <v>2760</v>
      </c>
      <c r="C59" s="13">
        <v>9.524319528E9</v>
      </c>
      <c r="D59" s="6"/>
      <c r="E59" s="9" t="s">
        <v>409</v>
      </c>
      <c r="F59" s="176">
        <v>46156.0</v>
      </c>
      <c r="G59" s="6" t="s">
        <v>361</v>
      </c>
      <c r="H59" s="6" t="s">
        <v>362</v>
      </c>
      <c r="I59" s="104" t="b">
        <v>0</v>
      </c>
      <c r="J59" s="9" t="s">
        <v>2761</v>
      </c>
      <c r="K59" s="53"/>
      <c r="L59" s="53"/>
      <c r="M59" s="4"/>
      <c r="N59" s="4"/>
      <c r="O59" s="4"/>
      <c r="P59" s="4"/>
      <c r="Q59" s="4"/>
      <c r="R59" s="4"/>
      <c r="S59" s="4"/>
      <c r="T59" s="4"/>
    </row>
    <row r="60">
      <c r="A60" s="30" t="s">
        <v>22</v>
      </c>
      <c r="B60" s="9" t="s">
        <v>2752</v>
      </c>
      <c r="C60" s="13">
        <v>9.677063368E9</v>
      </c>
      <c r="D60" s="6" t="s">
        <v>38</v>
      </c>
      <c r="E60" s="9" t="s">
        <v>409</v>
      </c>
      <c r="F60" s="176">
        <v>46160.0</v>
      </c>
      <c r="G60" s="6" t="s">
        <v>357</v>
      </c>
      <c r="H60" s="6" t="s">
        <v>358</v>
      </c>
      <c r="I60" s="57" t="b">
        <v>0</v>
      </c>
      <c r="J60" s="6" t="s">
        <v>2762</v>
      </c>
      <c r="K60" s="6" t="s">
        <v>684</v>
      </c>
      <c r="L60" s="6" t="s">
        <v>358</v>
      </c>
      <c r="M60" s="9" t="s">
        <v>2763</v>
      </c>
      <c r="N60" s="4"/>
      <c r="O60" s="4"/>
      <c r="P60" s="4"/>
      <c r="Q60" s="4"/>
      <c r="R60" s="4"/>
      <c r="S60" s="4"/>
      <c r="T60" s="4"/>
    </row>
    <row r="61">
      <c r="A61" s="30" t="s">
        <v>225</v>
      </c>
      <c r="B61" s="9" t="s">
        <v>2764</v>
      </c>
      <c r="C61" s="13">
        <v>9.677366045E9</v>
      </c>
      <c r="D61" s="6"/>
      <c r="E61" s="9" t="s">
        <v>1117</v>
      </c>
      <c r="F61" s="176">
        <v>46156.0</v>
      </c>
      <c r="G61" s="6" t="s">
        <v>361</v>
      </c>
      <c r="H61" s="6" t="s">
        <v>362</v>
      </c>
      <c r="I61" s="104" t="b">
        <v>0</v>
      </c>
      <c r="J61" s="6" t="s">
        <v>2765</v>
      </c>
      <c r="K61" s="53"/>
      <c r="L61" s="53"/>
      <c r="M61" s="4"/>
      <c r="N61" s="4"/>
      <c r="O61" s="4"/>
      <c r="P61" s="4"/>
      <c r="Q61" s="4"/>
      <c r="R61" s="4"/>
      <c r="S61" s="4"/>
      <c r="T61" s="4"/>
    </row>
    <row r="62">
      <c r="A62" s="30" t="s">
        <v>22</v>
      </c>
      <c r="B62" s="9" t="s">
        <v>2766</v>
      </c>
      <c r="C62" s="13">
        <v>8.606329077E9</v>
      </c>
      <c r="D62" s="6" t="s">
        <v>38</v>
      </c>
      <c r="E62" s="9" t="s">
        <v>465</v>
      </c>
      <c r="F62" s="176">
        <v>46163.0</v>
      </c>
      <c r="G62" s="6" t="s">
        <v>357</v>
      </c>
      <c r="H62" s="6" t="s">
        <v>358</v>
      </c>
      <c r="I62" s="54" t="b">
        <v>1</v>
      </c>
      <c r="J62" s="6" t="s">
        <v>2767</v>
      </c>
      <c r="K62" s="6" t="s">
        <v>684</v>
      </c>
      <c r="L62" s="6" t="s">
        <v>358</v>
      </c>
      <c r="M62" s="9" t="s">
        <v>2768</v>
      </c>
      <c r="N62" s="4"/>
      <c r="O62" s="4"/>
      <c r="P62" s="4"/>
      <c r="Q62" s="4"/>
      <c r="R62" s="4"/>
      <c r="S62" s="4"/>
      <c r="T62" s="4"/>
    </row>
    <row r="63">
      <c r="A63" s="30" t="s">
        <v>225</v>
      </c>
      <c r="B63" s="9" t="s">
        <v>2769</v>
      </c>
      <c r="C63" s="13">
        <v>6.369759662E9</v>
      </c>
      <c r="D63" s="6"/>
      <c r="E63" s="9" t="s">
        <v>399</v>
      </c>
      <c r="F63" s="176">
        <v>46156.0</v>
      </c>
      <c r="G63" s="6" t="s">
        <v>2770</v>
      </c>
      <c r="H63" s="6" t="s">
        <v>362</v>
      </c>
      <c r="I63" s="104" t="b">
        <v>0</v>
      </c>
      <c r="J63" s="6" t="s">
        <v>2771</v>
      </c>
      <c r="K63" s="53"/>
      <c r="L63" s="53"/>
      <c r="M63" s="4"/>
      <c r="N63" s="4"/>
      <c r="O63" s="4"/>
      <c r="P63" s="4"/>
      <c r="Q63" s="4"/>
      <c r="R63" s="4"/>
      <c r="S63" s="4"/>
      <c r="T63" s="4"/>
    </row>
    <row r="64">
      <c r="A64" s="30" t="s">
        <v>22</v>
      </c>
      <c r="B64" s="9" t="s">
        <v>2772</v>
      </c>
      <c r="C64" s="13">
        <v>8.50076998E9</v>
      </c>
      <c r="D64" s="6" t="s">
        <v>38</v>
      </c>
      <c r="E64" s="9" t="s">
        <v>2773</v>
      </c>
      <c r="F64" s="176">
        <v>46163.0</v>
      </c>
      <c r="G64" s="6" t="s">
        <v>357</v>
      </c>
      <c r="H64" s="6" t="s">
        <v>358</v>
      </c>
      <c r="I64" s="54" t="b">
        <v>1</v>
      </c>
      <c r="J64" s="9" t="s">
        <v>2774</v>
      </c>
      <c r="K64" s="6" t="s">
        <v>357</v>
      </c>
      <c r="L64" s="6" t="s">
        <v>358</v>
      </c>
      <c r="M64" s="9" t="s">
        <v>2775</v>
      </c>
      <c r="N64" s="4"/>
      <c r="O64" s="4"/>
      <c r="P64" s="4"/>
      <c r="Q64" s="4"/>
      <c r="R64" s="4"/>
      <c r="S64" s="4"/>
      <c r="T64" s="4"/>
    </row>
    <row r="65">
      <c r="A65" s="30" t="s">
        <v>22</v>
      </c>
      <c r="B65" s="9" t="s">
        <v>2776</v>
      </c>
      <c r="C65" s="13">
        <v>9.342953216E9</v>
      </c>
      <c r="D65" s="6" t="s">
        <v>38</v>
      </c>
      <c r="E65" s="9" t="s">
        <v>768</v>
      </c>
      <c r="F65" s="176">
        <v>46160.0</v>
      </c>
      <c r="G65" s="6" t="s">
        <v>357</v>
      </c>
      <c r="H65" s="6" t="s">
        <v>358</v>
      </c>
      <c r="I65" s="57" t="b">
        <v>0</v>
      </c>
      <c r="J65" s="6" t="s">
        <v>2777</v>
      </c>
      <c r="K65" s="6" t="s">
        <v>382</v>
      </c>
      <c r="L65" s="6" t="s">
        <v>358</v>
      </c>
      <c r="M65" s="9" t="s">
        <v>2778</v>
      </c>
      <c r="N65" s="4"/>
      <c r="O65" s="4"/>
      <c r="P65" s="4"/>
      <c r="Q65" s="4"/>
      <c r="R65" s="4"/>
      <c r="S65" s="4"/>
      <c r="T65" s="4"/>
    </row>
    <row r="66">
      <c r="A66" s="30" t="s">
        <v>225</v>
      </c>
      <c r="B66" s="9" t="s">
        <v>2779</v>
      </c>
      <c r="C66" s="13">
        <v>9.9948867E9</v>
      </c>
      <c r="D66" s="6"/>
      <c r="E66" s="9" t="s">
        <v>727</v>
      </c>
      <c r="F66" s="176">
        <v>46156.0</v>
      </c>
      <c r="G66" s="6" t="s">
        <v>361</v>
      </c>
      <c r="H66" s="6" t="s">
        <v>362</v>
      </c>
      <c r="I66" s="104" t="b">
        <v>0</v>
      </c>
      <c r="J66" s="6" t="s">
        <v>2780</v>
      </c>
      <c r="K66" s="53"/>
      <c r="L66" s="53"/>
      <c r="M66" s="4"/>
      <c r="N66" s="4"/>
      <c r="O66" s="4"/>
      <c r="P66" s="4"/>
      <c r="Q66" s="4"/>
      <c r="R66" s="4"/>
      <c r="S66" s="4"/>
      <c r="T66" s="4"/>
    </row>
    <row r="67">
      <c r="A67" s="30" t="s">
        <v>22</v>
      </c>
      <c r="B67" s="9" t="s">
        <v>2781</v>
      </c>
      <c r="C67" s="13">
        <v>9.566479497E9</v>
      </c>
      <c r="D67" s="6" t="s">
        <v>38</v>
      </c>
      <c r="E67" s="9" t="s">
        <v>455</v>
      </c>
      <c r="F67" s="176">
        <v>46160.0</v>
      </c>
      <c r="G67" s="6" t="s">
        <v>431</v>
      </c>
      <c r="H67" s="6" t="s">
        <v>429</v>
      </c>
      <c r="I67" s="57" t="b">
        <v>1</v>
      </c>
      <c r="J67" s="6" t="s">
        <v>2782</v>
      </c>
      <c r="K67" s="6" t="s">
        <v>834</v>
      </c>
      <c r="L67" s="6" t="s">
        <v>432</v>
      </c>
      <c r="M67" s="9" t="s">
        <v>2783</v>
      </c>
      <c r="N67" s="4"/>
      <c r="O67" s="4"/>
      <c r="P67" s="4"/>
      <c r="Q67" s="4"/>
      <c r="R67" s="4"/>
      <c r="S67" s="4"/>
      <c r="T67" s="4"/>
    </row>
    <row r="68">
      <c r="A68" s="30" t="s">
        <v>225</v>
      </c>
      <c r="B68" s="9" t="s">
        <v>2784</v>
      </c>
      <c r="C68" s="13">
        <v>7.358859078E9</v>
      </c>
      <c r="D68" s="6"/>
      <c r="E68" s="9" t="s">
        <v>409</v>
      </c>
      <c r="F68" s="176">
        <v>46156.0</v>
      </c>
      <c r="G68" s="6" t="s">
        <v>1055</v>
      </c>
      <c r="H68" s="6" t="s">
        <v>362</v>
      </c>
      <c r="I68" s="104" t="b">
        <v>0</v>
      </c>
      <c r="J68" s="6" t="s">
        <v>2785</v>
      </c>
      <c r="K68" s="53"/>
      <c r="L68" s="53"/>
      <c r="M68" s="4"/>
      <c r="N68" s="4"/>
      <c r="O68" s="4"/>
      <c r="P68" s="4"/>
      <c r="Q68" s="4"/>
      <c r="R68" s="4"/>
      <c r="S68" s="4"/>
      <c r="T68" s="4"/>
    </row>
    <row r="69">
      <c r="A69" s="30" t="s">
        <v>22</v>
      </c>
      <c r="B69" s="9" t="s">
        <v>2786</v>
      </c>
      <c r="C69" s="13">
        <v>9.790165498E9</v>
      </c>
      <c r="D69" s="6" t="s">
        <v>38</v>
      </c>
      <c r="E69" s="9" t="s">
        <v>465</v>
      </c>
      <c r="F69" s="176">
        <v>46163.0</v>
      </c>
      <c r="G69" s="6" t="s">
        <v>357</v>
      </c>
      <c r="H69" s="6" t="s">
        <v>358</v>
      </c>
      <c r="I69" s="54" t="b">
        <v>1</v>
      </c>
      <c r="J69" s="6" t="s">
        <v>2787</v>
      </c>
      <c r="K69" s="6" t="s">
        <v>357</v>
      </c>
      <c r="L69" s="6" t="s">
        <v>358</v>
      </c>
      <c r="M69" s="9" t="s">
        <v>2788</v>
      </c>
      <c r="N69" s="4"/>
      <c r="O69" s="4"/>
      <c r="P69" s="4"/>
      <c r="Q69" s="4"/>
      <c r="R69" s="4"/>
      <c r="S69" s="4"/>
      <c r="T69" s="4"/>
    </row>
    <row r="70">
      <c r="A70" s="30" t="s">
        <v>22</v>
      </c>
      <c r="B70" s="9" t="s">
        <v>2781</v>
      </c>
      <c r="C70" s="13" t="s">
        <v>2789</v>
      </c>
      <c r="D70" s="6" t="s">
        <v>38</v>
      </c>
      <c r="E70" s="9" t="s">
        <v>465</v>
      </c>
      <c r="F70" s="176">
        <v>46162.0</v>
      </c>
      <c r="G70" s="6" t="s">
        <v>357</v>
      </c>
      <c r="H70" s="6" t="s">
        <v>358</v>
      </c>
      <c r="I70" s="54" t="b">
        <v>1</v>
      </c>
      <c r="J70" s="6" t="s">
        <v>2790</v>
      </c>
      <c r="K70" s="6" t="s">
        <v>661</v>
      </c>
      <c r="L70" s="6" t="s">
        <v>358</v>
      </c>
      <c r="M70" s="9" t="s">
        <v>2791</v>
      </c>
      <c r="N70" s="4"/>
      <c r="O70" s="4"/>
      <c r="P70" s="4"/>
      <c r="Q70" s="4"/>
      <c r="R70" s="4"/>
      <c r="S70" s="4"/>
      <c r="T70" s="4"/>
    </row>
    <row r="71">
      <c r="A71" s="30" t="s">
        <v>22</v>
      </c>
      <c r="B71" s="9" t="s">
        <v>2792</v>
      </c>
      <c r="C71" s="13">
        <v>6.385478351E9</v>
      </c>
      <c r="D71" s="6" t="s">
        <v>38</v>
      </c>
      <c r="E71" s="9" t="s">
        <v>465</v>
      </c>
      <c r="F71" s="176">
        <v>46163.0</v>
      </c>
      <c r="G71" s="6" t="s">
        <v>431</v>
      </c>
      <c r="H71" s="6" t="s">
        <v>429</v>
      </c>
      <c r="I71" s="57" t="b">
        <v>1</v>
      </c>
      <c r="J71" s="6" t="s">
        <v>2793</v>
      </c>
      <c r="K71" s="6" t="s">
        <v>431</v>
      </c>
      <c r="L71" s="6" t="s">
        <v>432</v>
      </c>
      <c r="M71" s="9" t="s">
        <v>2794</v>
      </c>
      <c r="N71" s="4"/>
      <c r="O71" s="4"/>
      <c r="P71" s="4"/>
      <c r="Q71" s="4"/>
      <c r="R71" s="4"/>
      <c r="S71" s="4"/>
      <c r="T71" s="4"/>
    </row>
    <row r="72">
      <c r="A72" s="30" t="s">
        <v>22</v>
      </c>
      <c r="B72" s="9" t="s">
        <v>2250</v>
      </c>
      <c r="C72" s="13">
        <v>9.677978558E9</v>
      </c>
      <c r="D72" s="6" t="s">
        <v>38</v>
      </c>
      <c r="E72" s="9" t="s">
        <v>2795</v>
      </c>
      <c r="F72" s="176">
        <v>46163.0</v>
      </c>
      <c r="G72" s="6" t="s">
        <v>357</v>
      </c>
      <c r="H72" s="6" t="s">
        <v>358</v>
      </c>
      <c r="I72" s="104" t="b">
        <v>0</v>
      </c>
      <c r="J72" s="6" t="s">
        <v>2796</v>
      </c>
      <c r="K72" s="6" t="s">
        <v>684</v>
      </c>
      <c r="L72" s="6" t="s">
        <v>358</v>
      </c>
      <c r="M72" s="9" t="s">
        <v>2797</v>
      </c>
      <c r="N72" s="4"/>
      <c r="O72" s="4"/>
      <c r="P72" s="4"/>
      <c r="Q72" s="4"/>
      <c r="R72" s="4"/>
      <c r="S72" s="4"/>
      <c r="T72" s="4"/>
    </row>
    <row r="73">
      <c r="A73" s="30" t="s">
        <v>22</v>
      </c>
      <c r="B73" s="9" t="s">
        <v>2798</v>
      </c>
      <c r="C73" s="13">
        <v>6.385517179E9</v>
      </c>
      <c r="D73" s="6" t="s">
        <v>1575</v>
      </c>
      <c r="E73" s="9" t="s">
        <v>465</v>
      </c>
      <c r="F73" s="176">
        <v>46163.0</v>
      </c>
      <c r="G73" s="6" t="s">
        <v>431</v>
      </c>
      <c r="H73" s="6" t="s">
        <v>432</v>
      </c>
      <c r="I73" s="57" t="b">
        <v>1</v>
      </c>
      <c r="J73" s="6" t="s">
        <v>2799</v>
      </c>
      <c r="K73" s="6" t="s">
        <v>431</v>
      </c>
      <c r="L73" s="6" t="s">
        <v>432</v>
      </c>
      <c r="M73" s="9" t="s">
        <v>2800</v>
      </c>
      <c r="N73" s="4"/>
      <c r="O73" s="4"/>
      <c r="P73" s="4"/>
      <c r="Q73" s="4"/>
      <c r="R73" s="4"/>
      <c r="S73" s="4"/>
      <c r="T73" s="4"/>
    </row>
    <row r="74">
      <c r="A74" s="30" t="s">
        <v>22</v>
      </c>
      <c r="B74" s="9" t="s">
        <v>2801</v>
      </c>
      <c r="C74" s="13">
        <v>7.373665206E9</v>
      </c>
      <c r="D74" s="6" t="s">
        <v>38</v>
      </c>
      <c r="E74" s="9" t="s">
        <v>465</v>
      </c>
      <c r="F74" s="176">
        <v>46161.0</v>
      </c>
      <c r="G74" s="6" t="s">
        <v>357</v>
      </c>
      <c r="H74" s="6" t="s">
        <v>358</v>
      </c>
      <c r="I74" s="156" t="b">
        <v>1</v>
      </c>
      <c r="J74" s="6" t="s">
        <v>2802</v>
      </c>
      <c r="K74" s="6" t="s">
        <v>684</v>
      </c>
      <c r="L74" s="6" t="s">
        <v>358</v>
      </c>
      <c r="M74" s="9" t="s">
        <v>2803</v>
      </c>
      <c r="N74" s="4"/>
      <c r="O74" s="4"/>
      <c r="P74" s="4"/>
      <c r="Q74" s="4"/>
      <c r="R74" s="4"/>
      <c r="S74" s="4"/>
      <c r="T74" s="4"/>
    </row>
    <row r="75">
      <c r="A75" s="30" t="s">
        <v>22</v>
      </c>
      <c r="B75" s="9" t="s">
        <v>2804</v>
      </c>
      <c r="C75" s="13">
        <v>8.072188925E9</v>
      </c>
      <c r="D75" s="6" t="s">
        <v>38</v>
      </c>
      <c r="E75" s="9" t="s">
        <v>465</v>
      </c>
      <c r="F75" s="176">
        <v>46163.0</v>
      </c>
      <c r="G75" s="6" t="s">
        <v>431</v>
      </c>
      <c r="H75" s="6" t="s">
        <v>432</v>
      </c>
      <c r="I75" s="57" t="b">
        <v>1</v>
      </c>
      <c r="J75" s="6" t="s">
        <v>2805</v>
      </c>
      <c r="K75" s="6" t="s">
        <v>431</v>
      </c>
      <c r="L75" s="6" t="s">
        <v>432</v>
      </c>
      <c r="M75" s="9" t="s">
        <v>2806</v>
      </c>
      <c r="N75" s="4"/>
      <c r="O75" s="4"/>
      <c r="P75" s="4"/>
      <c r="Q75" s="4"/>
      <c r="R75" s="4"/>
      <c r="S75" s="4"/>
      <c r="T75" s="4"/>
    </row>
    <row r="76">
      <c r="A76" s="30" t="s">
        <v>22</v>
      </c>
      <c r="B76" s="9" t="s">
        <v>2807</v>
      </c>
      <c r="C76" s="13">
        <v>7.639981092E9</v>
      </c>
      <c r="D76" s="6" t="s">
        <v>38</v>
      </c>
      <c r="E76" s="9" t="s">
        <v>2795</v>
      </c>
      <c r="F76" s="176">
        <v>46163.0</v>
      </c>
      <c r="G76" s="6" t="s">
        <v>357</v>
      </c>
      <c r="H76" s="6" t="s">
        <v>358</v>
      </c>
      <c r="I76" s="54" t="b">
        <v>1</v>
      </c>
      <c r="J76" s="6" t="s">
        <v>2808</v>
      </c>
      <c r="K76" s="6" t="s">
        <v>357</v>
      </c>
      <c r="L76" s="6" t="s">
        <v>358</v>
      </c>
      <c r="M76" s="9" t="s">
        <v>2809</v>
      </c>
      <c r="N76" s="4"/>
      <c r="O76" s="4"/>
      <c r="P76" s="4"/>
      <c r="Q76" s="4"/>
      <c r="R76" s="4"/>
      <c r="S76" s="4"/>
      <c r="T76" s="4"/>
    </row>
    <row r="77">
      <c r="A77" s="30" t="s">
        <v>22</v>
      </c>
      <c r="B77" s="9" t="s">
        <v>2810</v>
      </c>
      <c r="C77" s="13">
        <v>7.845370268E9</v>
      </c>
      <c r="D77" s="6"/>
      <c r="E77" s="9" t="s">
        <v>2811</v>
      </c>
      <c r="F77" s="176">
        <v>46156.0</v>
      </c>
      <c r="G77" s="6" t="s">
        <v>357</v>
      </c>
      <c r="H77" s="6" t="s">
        <v>358</v>
      </c>
      <c r="I77" s="104" t="b">
        <v>0</v>
      </c>
      <c r="J77" s="6" t="s">
        <v>2812</v>
      </c>
      <c r="K77" s="53"/>
      <c r="L77" s="53"/>
      <c r="M77" s="4"/>
      <c r="N77" s="4"/>
      <c r="O77" s="4"/>
      <c r="P77" s="4"/>
      <c r="Q77" s="4"/>
      <c r="R77" s="4"/>
      <c r="S77" s="4"/>
      <c r="T77" s="4"/>
    </row>
    <row r="78">
      <c r="A78" s="30" t="s">
        <v>22</v>
      </c>
      <c r="B78" s="9" t="s">
        <v>2813</v>
      </c>
      <c r="C78" s="13">
        <v>8.197073922E9</v>
      </c>
      <c r="D78" s="6" t="s">
        <v>38</v>
      </c>
      <c r="E78" s="9" t="s">
        <v>2814</v>
      </c>
      <c r="F78" s="176">
        <v>46163.0</v>
      </c>
      <c r="G78" s="6" t="s">
        <v>357</v>
      </c>
      <c r="H78" s="6" t="s">
        <v>358</v>
      </c>
      <c r="I78" s="54" t="b">
        <v>1</v>
      </c>
      <c r="J78" s="6" t="s">
        <v>2815</v>
      </c>
      <c r="K78" s="6" t="s">
        <v>684</v>
      </c>
      <c r="L78" s="6" t="s">
        <v>358</v>
      </c>
      <c r="M78" s="9" t="s">
        <v>2816</v>
      </c>
      <c r="N78" s="4"/>
      <c r="O78" s="4"/>
      <c r="P78" s="4"/>
      <c r="Q78" s="4"/>
      <c r="R78" s="4"/>
      <c r="S78" s="4"/>
      <c r="T78" s="4"/>
    </row>
    <row r="79">
      <c r="A79" s="30" t="s">
        <v>22</v>
      </c>
      <c r="B79" s="9" t="s">
        <v>2817</v>
      </c>
      <c r="C79" s="13">
        <v>9.087407071E9</v>
      </c>
      <c r="D79" s="6" t="s">
        <v>38</v>
      </c>
      <c r="E79" s="9" t="s">
        <v>2818</v>
      </c>
      <c r="F79" s="176">
        <v>46163.0</v>
      </c>
      <c r="G79" s="6" t="s">
        <v>357</v>
      </c>
      <c r="H79" s="6" t="s">
        <v>358</v>
      </c>
      <c r="I79" s="57" t="b">
        <v>0</v>
      </c>
      <c r="J79" s="6" t="s">
        <v>2819</v>
      </c>
      <c r="K79" s="6" t="s">
        <v>382</v>
      </c>
      <c r="L79" s="6" t="s">
        <v>358</v>
      </c>
      <c r="M79" s="9" t="s">
        <v>2820</v>
      </c>
      <c r="N79" s="4"/>
      <c r="O79" s="4"/>
      <c r="P79" s="4"/>
      <c r="Q79" s="4"/>
      <c r="R79" s="4"/>
      <c r="S79" s="4"/>
      <c r="T79" s="4"/>
    </row>
    <row r="80">
      <c r="A80" s="30" t="s">
        <v>22</v>
      </c>
      <c r="B80" s="9" t="s">
        <v>2821</v>
      </c>
      <c r="C80" s="13">
        <v>8.098141437E9</v>
      </c>
      <c r="D80" s="6" t="s">
        <v>38</v>
      </c>
      <c r="E80" s="9" t="s">
        <v>2822</v>
      </c>
      <c r="F80" s="176">
        <v>46167.0</v>
      </c>
      <c r="G80" s="6" t="s">
        <v>431</v>
      </c>
      <c r="H80" s="6" t="s">
        <v>432</v>
      </c>
      <c r="I80" s="57" t="b">
        <v>1</v>
      </c>
      <c r="J80" s="6" t="s">
        <v>2823</v>
      </c>
      <c r="K80" s="6" t="s">
        <v>431</v>
      </c>
      <c r="L80" s="6" t="s">
        <v>432</v>
      </c>
      <c r="M80" s="9" t="s">
        <v>2824</v>
      </c>
      <c r="N80" s="4"/>
      <c r="O80" s="4"/>
      <c r="P80" s="4"/>
      <c r="Q80" s="4"/>
      <c r="R80" s="4"/>
      <c r="S80" s="4"/>
      <c r="T80" s="4"/>
    </row>
    <row r="81">
      <c r="A81" s="30" t="s">
        <v>22</v>
      </c>
      <c r="B81" s="9" t="s">
        <v>2825</v>
      </c>
      <c r="C81" s="13">
        <v>8.610024816E9</v>
      </c>
      <c r="D81" s="6" t="s">
        <v>38</v>
      </c>
      <c r="E81" s="9" t="s">
        <v>542</v>
      </c>
      <c r="F81" s="176">
        <v>46166.0</v>
      </c>
      <c r="G81" s="6" t="s">
        <v>890</v>
      </c>
      <c r="H81" s="6" t="s">
        <v>891</v>
      </c>
      <c r="I81" s="57" t="b">
        <v>1</v>
      </c>
      <c r="J81" s="6" t="s">
        <v>2826</v>
      </c>
      <c r="K81" s="6" t="s">
        <v>890</v>
      </c>
      <c r="L81" s="6" t="s">
        <v>891</v>
      </c>
      <c r="M81" s="9" t="s">
        <v>2827</v>
      </c>
      <c r="N81" s="4"/>
      <c r="O81" s="4"/>
      <c r="P81" s="4"/>
      <c r="Q81" s="4"/>
      <c r="R81" s="4"/>
      <c r="S81" s="4"/>
      <c r="T81" s="4"/>
    </row>
    <row r="82">
      <c r="A82" s="30" t="s">
        <v>22</v>
      </c>
      <c r="B82" s="9" t="s">
        <v>2828</v>
      </c>
      <c r="C82" s="13">
        <v>9.578905435E9</v>
      </c>
      <c r="D82" s="6" t="s">
        <v>38</v>
      </c>
      <c r="E82" s="9" t="s">
        <v>399</v>
      </c>
      <c r="F82" s="176">
        <v>46165.0</v>
      </c>
      <c r="G82" s="6" t="s">
        <v>357</v>
      </c>
      <c r="H82" s="6" t="s">
        <v>358</v>
      </c>
      <c r="I82" s="54" t="b">
        <v>1</v>
      </c>
      <c r="J82" s="6" t="s">
        <v>2829</v>
      </c>
      <c r="K82" s="6" t="s">
        <v>661</v>
      </c>
      <c r="L82" s="6" t="s">
        <v>358</v>
      </c>
      <c r="M82" s="9" t="s">
        <v>2830</v>
      </c>
      <c r="N82" s="4"/>
      <c r="O82" s="4"/>
      <c r="P82" s="4"/>
      <c r="Q82" s="4"/>
      <c r="R82" s="4"/>
      <c r="S82" s="4"/>
      <c r="T82" s="4"/>
    </row>
    <row r="83">
      <c r="A83" s="30" t="s">
        <v>22</v>
      </c>
      <c r="B83" s="9" t="s">
        <v>2831</v>
      </c>
      <c r="C83" s="13">
        <v>6.369276674E9</v>
      </c>
      <c r="D83" s="6" t="s">
        <v>38</v>
      </c>
      <c r="E83" s="9" t="s">
        <v>2832</v>
      </c>
      <c r="F83" s="176">
        <v>46165.0</v>
      </c>
      <c r="G83" s="6" t="s">
        <v>431</v>
      </c>
      <c r="H83" s="6" t="s">
        <v>432</v>
      </c>
      <c r="I83" s="57" t="b">
        <v>1</v>
      </c>
      <c r="J83" s="6" t="s">
        <v>2833</v>
      </c>
      <c r="K83" s="6" t="s">
        <v>361</v>
      </c>
      <c r="L83" s="6" t="s">
        <v>362</v>
      </c>
      <c r="M83" s="9" t="s">
        <v>2834</v>
      </c>
      <c r="N83" s="4"/>
      <c r="O83" s="4"/>
      <c r="P83" s="4"/>
      <c r="Q83" s="4"/>
      <c r="R83" s="4"/>
      <c r="S83" s="4"/>
      <c r="T83" s="4"/>
    </row>
    <row r="84">
      <c r="A84" s="30" t="s">
        <v>22</v>
      </c>
      <c r="B84" s="9" t="s">
        <v>2835</v>
      </c>
      <c r="C84" s="13">
        <v>8.122687377E9</v>
      </c>
      <c r="D84" s="6" t="s">
        <v>38</v>
      </c>
      <c r="E84" s="9" t="s">
        <v>465</v>
      </c>
      <c r="F84" s="176">
        <v>46163.0</v>
      </c>
      <c r="G84" s="6" t="s">
        <v>431</v>
      </c>
      <c r="H84" s="6" t="s">
        <v>429</v>
      </c>
      <c r="I84" s="57" t="b">
        <v>1</v>
      </c>
      <c r="J84" s="6" t="s">
        <v>2836</v>
      </c>
      <c r="K84" s="6" t="s">
        <v>361</v>
      </c>
      <c r="L84" s="6" t="s">
        <v>362</v>
      </c>
      <c r="M84" s="9" t="s">
        <v>2837</v>
      </c>
      <c r="N84" s="4"/>
      <c r="O84" s="4"/>
      <c r="P84" s="4"/>
      <c r="Q84" s="4"/>
      <c r="R84" s="4"/>
      <c r="S84" s="4"/>
      <c r="T84" s="4"/>
    </row>
    <row r="85">
      <c r="A85" s="30" t="s">
        <v>22</v>
      </c>
      <c r="B85" s="9" t="s">
        <v>2838</v>
      </c>
      <c r="C85" s="13">
        <v>9.786786522E9</v>
      </c>
      <c r="D85" s="6" t="s">
        <v>38</v>
      </c>
      <c r="E85" s="9" t="s">
        <v>654</v>
      </c>
      <c r="F85" s="176">
        <v>46163.0</v>
      </c>
      <c r="G85" s="6" t="s">
        <v>431</v>
      </c>
      <c r="H85" s="6" t="s">
        <v>432</v>
      </c>
      <c r="I85" s="57" t="b">
        <v>1</v>
      </c>
      <c r="J85" s="6" t="s">
        <v>2839</v>
      </c>
      <c r="K85" s="6" t="s">
        <v>431</v>
      </c>
      <c r="L85" s="6" t="s">
        <v>432</v>
      </c>
      <c r="M85" s="9" t="s">
        <v>2840</v>
      </c>
      <c r="N85" s="4"/>
      <c r="O85" s="4"/>
      <c r="P85" s="4"/>
      <c r="Q85" s="4"/>
      <c r="R85" s="4"/>
      <c r="S85" s="4"/>
      <c r="T85" s="4"/>
    </row>
    <row r="86">
      <c r="A86" s="30" t="s">
        <v>22</v>
      </c>
      <c r="B86" s="9" t="s">
        <v>2841</v>
      </c>
      <c r="C86" s="13">
        <v>9.524243718E9</v>
      </c>
      <c r="D86" s="6" t="s">
        <v>38</v>
      </c>
      <c r="E86" s="9" t="s">
        <v>654</v>
      </c>
      <c r="F86" s="176">
        <v>46164.0</v>
      </c>
      <c r="G86" s="6" t="s">
        <v>431</v>
      </c>
      <c r="H86" s="6" t="s">
        <v>432</v>
      </c>
      <c r="I86" s="57" t="b">
        <v>1</v>
      </c>
      <c r="J86" s="6" t="s">
        <v>2842</v>
      </c>
      <c r="K86" s="6" t="s">
        <v>431</v>
      </c>
      <c r="L86" s="6" t="s">
        <v>432</v>
      </c>
      <c r="M86" s="9" t="s">
        <v>2843</v>
      </c>
      <c r="N86" s="4"/>
      <c r="O86" s="4"/>
      <c r="P86" s="4"/>
      <c r="Q86" s="4"/>
      <c r="R86" s="4"/>
      <c r="S86" s="4"/>
      <c r="T86" s="4"/>
    </row>
    <row r="87">
      <c r="A87" s="30" t="s">
        <v>22</v>
      </c>
      <c r="B87" s="9" t="s">
        <v>2844</v>
      </c>
      <c r="C87" s="13">
        <v>9.042146079E9</v>
      </c>
      <c r="D87" s="6" t="s">
        <v>38</v>
      </c>
      <c r="E87" s="9" t="s">
        <v>1064</v>
      </c>
      <c r="F87" s="176">
        <v>46169.0</v>
      </c>
      <c r="G87" s="6" t="s">
        <v>623</v>
      </c>
      <c r="H87" s="6" t="s">
        <v>358</v>
      </c>
      <c r="I87" s="54" t="b">
        <v>1</v>
      </c>
      <c r="J87" s="6" t="s">
        <v>2845</v>
      </c>
      <c r="K87" s="6" t="s">
        <v>684</v>
      </c>
      <c r="L87" s="6" t="s">
        <v>358</v>
      </c>
      <c r="M87" s="9" t="s">
        <v>2846</v>
      </c>
      <c r="N87" s="4"/>
      <c r="O87" s="4"/>
      <c r="P87" s="4"/>
      <c r="Q87" s="4"/>
      <c r="R87" s="4"/>
      <c r="S87" s="4"/>
      <c r="T87" s="4"/>
    </row>
    <row r="88">
      <c r="A88" s="30" t="s">
        <v>146</v>
      </c>
      <c r="B88" s="9" t="s">
        <v>2847</v>
      </c>
      <c r="C88" s="13">
        <v>8.344888137E9</v>
      </c>
      <c r="D88" s="6"/>
      <c r="E88" s="9" t="s">
        <v>393</v>
      </c>
      <c r="F88" s="176">
        <v>46163.0</v>
      </c>
      <c r="G88" s="6" t="s">
        <v>361</v>
      </c>
      <c r="H88" s="6" t="s">
        <v>362</v>
      </c>
      <c r="I88" s="104" t="b">
        <v>0</v>
      </c>
      <c r="J88" s="6" t="s">
        <v>2848</v>
      </c>
      <c r="K88" s="53"/>
      <c r="L88" s="53"/>
      <c r="M88" s="4"/>
      <c r="N88" s="4"/>
      <c r="O88" s="4"/>
      <c r="P88" s="4"/>
      <c r="Q88" s="4"/>
      <c r="R88" s="4"/>
      <c r="S88" s="4"/>
      <c r="T88" s="4"/>
    </row>
    <row r="89">
      <c r="A89" s="30" t="s">
        <v>22</v>
      </c>
      <c r="B89" s="9" t="s">
        <v>2849</v>
      </c>
      <c r="C89" s="13">
        <v>8.270957242E9</v>
      </c>
      <c r="D89" s="6" t="s">
        <v>1924</v>
      </c>
      <c r="E89" s="9" t="s">
        <v>2850</v>
      </c>
      <c r="F89" s="176">
        <v>46161.0</v>
      </c>
      <c r="G89" s="6" t="s">
        <v>357</v>
      </c>
      <c r="H89" s="6" t="s">
        <v>358</v>
      </c>
      <c r="I89" s="104" t="b">
        <v>0</v>
      </c>
      <c r="J89" s="6" t="s">
        <v>2851</v>
      </c>
      <c r="K89" s="53"/>
      <c r="L89" s="53"/>
      <c r="M89" s="4"/>
      <c r="N89" s="4"/>
      <c r="O89" s="4"/>
      <c r="P89" s="4"/>
      <c r="Q89" s="4"/>
      <c r="R89" s="4"/>
      <c r="S89" s="4"/>
      <c r="T89" s="4"/>
    </row>
    <row r="90">
      <c r="A90" s="30" t="s">
        <v>22</v>
      </c>
      <c r="B90" s="9" t="s">
        <v>2810</v>
      </c>
      <c r="C90" s="13">
        <v>7.695882562E9</v>
      </c>
      <c r="D90" s="6" t="s">
        <v>38</v>
      </c>
      <c r="E90" s="9" t="s">
        <v>399</v>
      </c>
      <c r="F90" s="176">
        <v>46164.0</v>
      </c>
      <c r="G90" s="6" t="s">
        <v>431</v>
      </c>
      <c r="H90" s="6" t="s">
        <v>429</v>
      </c>
      <c r="I90" s="57" t="b">
        <v>1</v>
      </c>
      <c r="J90" s="6" t="s">
        <v>2852</v>
      </c>
      <c r="K90" s="6" t="s">
        <v>431</v>
      </c>
      <c r="L90" s="6" t="s">
        <v>432</v>
      </c>
      <c r="M90" s="9" t="s">
        <v>2853</v>
      </c>
      <c r="N90" s="4"/>
      <c r="O90" s="4"/>
      <c r="P90" s="4"/>
      <c r="Q90" s="4"/>
      <c r="R90" s="4"/>
      <c r="S90" s="4"/>
      <c r="T90" s="4"/>
    </row>
    <row r="91">
      <c r="A91" s="30" t="s">
        <v>146</v>
      </c>
      <c r="B91" s="9" t="s">
        <v>2854</v>
      </c>
      <c r="C91" s="13">
        <v>7.373104184E9</v>
      </c>
      <c r="D91" s="6"/>
      <c r="E91" s="9" t="s">
        <v>465</v>
      </c>
      <c r="F91" s="176">
        <v>46163.0</v>
      </c>
      <c r="G91" s="6" t="s">
        <v>1055</v>
      </c>
      <c r="H91" s="6" t="s">
        <v>362</v>
      </c>
      <c r="I91" s="104" t="b">
        <v>0</v>
      </c>
      <c r="J91" s="6" t="s">
        <v>2855</v>
      </c>
      <c r="K91" s="53"/>
      <c r="L91" s="53"/>
      <c r="M91" s="4"/>
      <c r="N91" s="4"/>
      <c r="O91" s="4"/>
      <c r="P91" s="4"/>
      <c r="Q91" s="4"/>
      <c r="R91" s="4"/>
      <c r="S91" s="4"/>
      <c r="T91" s="4"/>
    </row>
    <row r="92">
      <c r="A92" s="30" t="s">
        <v>22</v>
      </c>
      <c r="B92" s="9" t="s">
        <v>2856</v>
      </c>
      <c r="C92" s="13">
        <v>8.754952056E9</v>
      </c>
      <c r="D92" s="6" t="s">
        <v>38</v>
      </c>
      <c r="E92" s="9" t="s">
        <v>727</v>
      </c>
      <c r="F92" s="176">
        <v>46163.0</v>
      </c>
      <c r="G92" s="6" t="s">
        <v>431</v>
      </c>
      <c r="H92" s="6" t="s">
        <v>432</v>
      </c>
      <c r="I92" s="57" t="b">
        <v>1</v>
      </c>
      <c r="J92" s="6" t="s">
        <v>2857</v>
      </c>
      <c r="K92" s="6" t="s">
        <v>431</v>
      </c>
      <c r="L92" s="6" t="s">
        <v>432</v>
      </c>
      <c r="M92" s="9" t="s">
        <v>2858</v>
      </c>
      <c r="N92" s="4"/>
      <c r="O92" s="4"/>
      <c r="P92" s="4"/>
      <c r="Q92" s="4"/>
      <c r="R92" s="4"/>
      <c r="S92" s="4"/>
      <c r="T92" s="4"/>
    </row>
    <row r="93">
      <c r="A93" s="30" t="s">
        <v>22</v>
      </c>
      <c r="B93" s="9" t="s">
        <v>2859</v>
      </c>
      <c r="C93" s="13">
        <v>9.095940816E9</v>
      </c>
      <c r="D93" s="6" t="s">
        <v>38</v>
      </c>
      <c r="E93" s="9" t="s">
        <v>409</v>
      </c>
      <c r="F93" s="176">
        <v>46169.0</v>
      </c>
      <c r="G93" s="6" t="s">
        <v>357</v>
      </c>
      <c r="H93" s="6" t="s">
        <v>358</v>
      </c>
      <c r="I93" s="54" t="b">
        <v>1</v>
      </c>
      <c r="J93" s="6" t="s">
        <v>2860</v>
      </c>
      <c r="K93" s="6" t="s">
        <v>661</v>
      </c>
      <c r="L93" s="6" t="s">
        <v>358</v>
      </c>
      <c r="M93" s="9" t="s">
        <v>2861</v>
      </c>
      <c r="N93" s="4"/>
      <c r="O93" s="4"/>
      <c r="P93" s="4"/>
      <c r="Q93" s="4"/>
      <c r="R93" s="4"/>
      <c r="S93" s="4"/>
      <c r="T93" s="4"/>
    </row>
    <row r="94">
      <c r="A94" s="30" t="s">
        <v>22</v>
      </c>
      <c r="B94" s="9" t="s">
        <v>2862</v>
      </c>
      <c r="C94" s="13">
        <v>9.361285397E9</v>
      </c>
      <c r="D94" s="6" t="s">
        <v>38</v>
      </c>
      <c r="E94" s="9" t="s">
        <v>465</v>
      </c>
      <c r="F94" s="176">
        <v>46164.0</v>
      </c>
      <c r="G94" s="6" t="s">
        <v>431</v>
      </c>
      <c r="H94" s="6" t="s">
        <v>429</v>
      </c>
      <c r="I94" s="57" t="b">
        <v>1</v>
      </c>
      <c r="J94" s="6" t="s">
        <v>2863</v>
      </c>
      <c r="K94" s="6" t="s">
        <v>431</v>
      </c>
      <c r="L94" s="6" t="s">
        <v>432</v>
      </c>
      <c r="M94" s="9" t="s">
        <v>2864</v>
      </c>
      <c r="N94" s="4"/>
      <c r="O94" s="4"/>
      <c r="P94" s="4"/>
      <c r="Q94" s="4"/>
      <c r="R94" s="4"/>
      <c r="S94" s="4"/>
      <c r="T94" s="4"/>
    </row>
    <row r="95">
      <c r="A95" s="30" t="s">
        <v>22</v>
      </c>
      <c r="B95" s="9" t="s">
        <v>2865</v>
      </c>
      <c r="C95" s="13">
        <v>7.397159475E9</v>
      </c>
      <c r="D95" s="6" t="s">
        <v>38</v>
      </c>
      <c r="E95" s="9" t="s">
        <v>2866</v>
      </c>
      <c r="F95" s="176">
        <v>46163.0</v>
      </c>
      <c r="G95" s="6" t="s">
        <v>357</v>
      </c>
      <c r="H95" s="6" t="s">
        <v>358</v>
      </c>
      <c r="I95" s="54" t="b">
        <v>1</v>
      </c>
      <c r="J95" s="6" t="s">
        <v>2867</v>
      </c>
      <c r="K95" s="6" t="s">
        <v>661</v>
      </c>
      <c r="L95" s="6" t="s">
        <v>358</v>
      </c>
      <c r="M95" s="9" t="s">
        <v>2868</v>
      </c>
      <c r="N95" s="4"/>
      <c r="O95" s="4"/>
      <c r="P95" s="4"/>
      <c r="Q95" s="4"/>
      <c r="R95" s="4"/>
      <c r="S95" s="4"/>
      <c r="T95" s="4"/>
    </row>
    <row r="96">
      <c r="A96" s="30" t="s">
        <v>22</v>
      </c>
      <c r="B96" s="9" t="s">
        <v>1373</v>
      </c>
      <c r="C96" s="13">
        <v>9.597116566E9</v>
      </c>
      <c r="D96" s="6"/>
      <c r="E96" s="9" t="s">
        <v>542</v>
      </c>
      <c r="F96" s="176">
        <v>46162.0</v>
      </c>
      <c r="G96" s="6" t="s">
        <v>357</v>
      </c>
      <c r="H96" s="6" t="s">
        <v>358</v>
      </c>
      <c r="I96" s="104" t="b">
        <v>0</v>
      </c>
      <c r="J96" s="6" t="s">
        <v>2869</v>
      </c>
      <c r="K96" s="53"/>
      <c r="L96" s="53"/>
      <c r="M96" s="4"/>
      <c r="N96" s="4"/>
      <c r="O96" s="4"/>
      <c r="P96" s="4"/>
      <c r="Q96" s="4"/>
      <c r="R96" s="4"/>
      <c r="S96" s="4"/>
      <c r="T96" s="4"/>
    </row>
    <row r="97">
      <c r="A97" s="30" t="s">
        <v>22</v>
      </c>
      <c r="B97" s="9" t="s">
        <v>2870</v>
      </c>
      <c r="C97" s="13">
        <v>8.778990122E9</v>
      </c>
      <c r="D97" s="6" t="s">
        <v>1924</v>
      </c>
      <c r="E97" s="9" t="s">
        <v>510</v>
      </c>
      <c r="F97" s="176">
        <v>46162.0</v>
      </c>
      <c r="G97" s="6" t="s">
        <v>357</v>
      </c>
      <c r="H97" s="6" t="s">
        <v>358</v>
      </c>
      <c r="I97" s="104" t="b">
        <v>0</v>
      </c>
      <c r="J97" s="6" t="s">
        <v>2871</v>
      </c>
      <c r="K97" s="53"/>
      <c r="L97" s="53"/>
      <c r="M97" s="4"/>
      <c r="N97" s="4"/>
      <c r="O97" s="4"/>
      <c r="P97" s="4"/>
      <c r="Q97" s="4"/>
      <c r="R97" s="4"/>
      <c r="S97" s="4"/>
      <c r="T97" s="4"/>
    </row>
    <row r="98">
      <c r="A98" s="30" t="s">
        <v>146</v>
      </c>
      <c r="B98" s="9" t="s">
        <v>2872</v>
      </c>
      <c r="C98" s="13">
        <v>6.383829639E9</v>
      </c>
      <c r="D98" s="6"/>
      <c r="E98" s="9" t="s">
        <v>2873</v>
      </c>
      <c r="F98" s="176">
        <v>46163.0</v>
      </c>
      <c r="G98" s="6" t="s">
        <v>361</v>
      </c>
      <c r="H98" s="6" t="s">
        <v>362</v>
      </c>
      <c r="I98" s="104" t="b">
        <v>0</v>
      </c>
      <c r="J98" s="6" t="s">
        <v>2874</v>
      </c>
      <c r="K98" s="53"/>
      <c r="L98" s="53"/>
      <c r="M98" s="4"/>
      <c r="N98" s="4"/>
      <c r="O98" s="4"/>
      <c r="P98" s="4"/>
      <c r="Q98" s="4"/>
      <c r="R98" s="4"/>
      <c r="S98" s="4"/>
      <c r="T98" s="4"/>
    </row>
    <row r="99">
      <c r="A99" s="30" t="s">
        <v>22</v>
      </c>
      <c r="B99" s="9" t="s">
        <v>2875</v>
      </c>
      <c r="C99" s="13">
        <v>9.500956548E9</v>
      </c>
      <c r="D99" s="6"/>
      <c r="E99" s="4"/>
      <c r="F99" s="176">
        <v>46164.0</v>
      </c>
      <c r="G99" s="6" t="s">
        <v>357</v>
      </c>
      <c r="H99" s="6" t="s">
        <v>358</v>
      </c>
      <c r="I99" s="104" t="b">
        <v>0</v>
      </c>
      <c r="J99" s="6" t="s">
        <v>2876</v>
      </c>
      <c r="K99" s="53"/>
      <c r="L99" s="53"/>
      <c r="M99" s="4"/>
      <c r="N99" s="4"/>
      <c r="O99" s="4"/>
      <c r="P99" s="4"/>
      <c r="Q99" s="4"/>
      <c r="R99" s="4"/>
      <c r="S99" s="4"/>
      <c r="T99" s="4"/>
    </row>
    <row r="100">
      <c r="A100" s="30" t="s">
        <v>146</v>
      </c>
      <c r="B100" s="9" t="s">
        <v>2877</v>
      </c>
      <c r="C100" s="13">
        <v>9.342250798E9</v>
      </c>
      <c r="D100" s="6"/>
      <c r="E100" s="9" t="s">
        <v>465</v>
      </c>
      <c r="F100" s="176">
        <v>46163.0</v>
      </c>
      <c r="G100" s="6" t="s">
        <v>361</v>
      </c>
      <c r="H100" s="6" t="s">
        <v>362</v>
      </c>
      <c r="I100" s="104" t="b">
        <v>0</v>
      </c>
      <c r="J100" s="6" t="s">
        <v>2878</v>
      </c>
      <c r="K100" s="53"/>
      <c r="L100" s="53"/>
      <c r="M100" s="4"/>
      <c r="N100" s="4"/>
      <c r="O100" s="4"/>
      <c r="P100" s="4"/>
      <c r="Q100" s="4"/>
      <c r="R100" s="4"/>
      <c r="S100" s="4"/>
      <c r="T100" s="4"/>
    </row>
    <row r="101">
      <c r="A101" s="30" t="s">
        <v>146</v>
      </c>
      <c r="B101" s="9" t="s">
        <v>2879</v>
      </c>
      <c r="C101" s="13">
        <v>8.838564865E9</v>
      </c>
      <c r="D101" s="6"/>
      <c r="E101" s="9" t="s">
        <v>2880</v>
      </c>
      <c r="F101" s="176">
        <v>46163.0</v>
      </c>
      <c r="G101" s="6" t="s">
        <v>361</v>
      </c>
      <c r="H101" s="6" t="s">
        <v>362</v>
      </c>
      <c r="I101" s="104" t="b">
        <v>0</v>
      </c>
      <c r="J101" s="6" t="s">
        <v>2881</v>
      </c>
      <c r="K101" s="53"/>
      <c r="L101" s="53"/>
      <c r="M101" s="4"/>
      <c r="N101" s="4"/>
      <c r="O101" s="4"/>
      <c r="P101" s="4"/>
      <c r="Q101" s="4"/>
      <c r="R101" s="4"/>
      <c r="S101" s="4"/>
      <c r="T101" s="4"/>
    </row>
    <row r="102">
      <c r="A102" s="30" t="s">
        <v>22</v>
      </c>
      <c r="B102" s="9" t="s">
        <v>2882</v>
      </c>
      <c r="C102" s="13">
        <v>8.489669007E9</v>
      </c>
      <c r="D102" s="6" t="s">
        <v>38</v>
      </c>
      <c r="E102" s="9" t="s">
        <v>353</v>
      </c>
      <c r="F102" s="176">
        <v>46163.0</v>
      </c>
      <c r="G102" s="6" t="s">
        <v>357</v>
      </c>
      <c r="H102" s="6" t="s">
        <v>358</v>
      </c>
      <c r="I102" s="104" t="b">
        <v>0</v>
      </c>
      <c r="J102" s="6" t="s">
        <v>2883</v>
      </c>
      <c r="K102" s="6" t="s">
        <v>382</v>
      </c>
      <c r="L102" s="6" t="s">
        <v>358</v>
      </c>
      <c r="M102" s="9" t="s">
        <v>2884</v>
      </c>
      <c r="N102" s="4"/>
      <c r="O102" s="4"/>
      <c r="P102" s="4"/>
      <c r="Q102" s="4"/>
      <c r="R102" s="4"/>
      <c r="S102" s="4"/>
      <c r="T102" s="4"/>
    </row>
    <row r="103">
      <c r="A103" s="30" t="s">
        <v>146</v>
      </c>
      <c r="B103" s="9" t="s">
        <v>2885</v>
      </c>
      <c r="C103" s="13">
        <v>7.868992233E9</v>
      </c>
      <c r="D103" s="6"/>
      <c r="E103" s="9" t="s">
        <v>465</v>
      </c>
      <c r="F103" s="176">
        <v>46163.0</v>
      </c>
      <c r="G103" s="6" t="s">
        <v>361</v>
      </c>
      <c r="H103" s="6" t="s">
        <v>362</v>
      </c>
      <c r="I103" s="104" t="b">
        <v>0</v>
      </c>
      <c r="J103" s="6" t="s">
        <v>2881</v>
      </c>
      <c r="K103" s="53"/>
      <c r="L103" s="53"/>
      <c r="M103" s="4"/>
      <c r="N103" s="4"/>
      <c r="O103" s="4"/>
      <c r="P103" s="4"/>
      <c r="Q103" s="4"/>
      <c r="R103" s="4"/>
      <c r="S103" s="4"/>
      <c r="T103" s="4"/>
    </row>
    <row r="104">
      <c r="A104" s="30" t="s">
        <v>22</v>
      </c>
      <c r="B104" s="9" t="s">
        <v>2886</v>
      </c>
      <c r="C104" s="13">
        <v>7.010340815E9</v>
      </c>
      <c r="D104" s="6" t="s">
        <v>38</v>
      </c>
      <c r="E104" s="9" t="s">
        <v>465</v>
      </c>
      <c r="F104" s="176">
        <v>46163.0</v>
      </c>
      <c r="G104" s="6" t="s">
        <v>431</v>
      </c>
      <c r="H104" s="6" t="s">
        <v>432</v>
      </c>
      <c r="I104" s="57" t="b">
        <v>1</v>
      </c>
      <c r="J104" s="6" t="s">
        <v>2887</v>
      </c>
      <c r="K104" s="6" t="s">
        <v>431</v>
      </c>
      <c r="L104" s="6" t="s">
        <v>432</v>
      </c>
      <c r="M104" s="9" t="s">
        <v>2888</v>
      </c>
      <c r="N104" s="4"/>
      <c r="O104" s="4"/>
      <c r="P104" s="4"/>
      <c r="Q104" s="4"/>
      <c r="R104" s="4"/>
      <c r="S104" s="4"/>
      <c r="T104" s="4"/>
    </row>
    <row r="105">
      <c r="A105" s="30" t="s">
        <v>22</v>
      </c>
      <c r="B105" s="9" t="s">
        <v>1517</v>
      </c>
      <c r="C105" s="13">
        <v>9.03551544E9</v>
      </c>
      <c r="D105" s="6"/>
      <c r="E105" s="9" t="s">
        <v>704</v>
      </c>
      <c r="F105" s="176">
        <v>46165.0</v>
      </c>
      <c r="G105" s="6" t="s">
        <v>357</v>
      </c>
      <c r="H105" s="6" t="s">
        <v>358</v>
      </c>
      <c r="I105" s="104" t="b">
        <v>0</v>
      </c>
      <c r="J105" s="6" t="s">
        <v>2889</v>
      </c>
      <c r="K105" s="53"/>
      <c r="L105" s="53"/>
      <c r="M105" s="4"/>
      <c r="N105" s="4"/>
      <c r="O105" s="4"/>
      <c r="P105" s="4"/>
      <c r="Q105" s="4"/>
      <c r="R105" s="4"/>
      <c r="S105" s="4"/>
      <c r="T105" s="4"/>
    </row>
    <row r="106">
      <c r="A106" s="30" t="s">
        <v>22</v>
      </c>
      <c r="B106" s="9" t="s">
        <v>2890</v>
      </c>
      <c r="C106" s="13">
        <v>7.092267006E9</v>
      </c>
      <c r="D106" s="6" t="s">
        <v>38</v>
      </c>
      <c r="E106" s="9" t="s">
        <v>409</v>
      </c>
      <c r="F106" s="176">
        <v>46164.0</v>
      </c>
      <c r="G106" s="6" t="s">
        <v>431</v>
      </c>
      <c r="H106" s="6" t="s">
        <v>432</v>
      </c>
      <c r="I106" s="57" t="b">
        <v>1</v>
      </c>
      <c r="J106" s="6" t="s">
        <v>2891</v>
      </c>
      <c r="K106" s="6" t="s">
        <v>431</v>
      </c>
      <c r="L106" s="6" t="s">
        <v>432</v>
      </c>
      <c r="M106" s="9" t="s">
        <v>2892</v>
      </c>
      <c r="N106" s="4"/>
      <c r="O106" s="4"/>
      <c r="P106" s="4"/>
      <c r="Q106" s="4"/>
      <c r="R106" s="4"/>
      <c r="S106" s="4"/>
      <c r="T106" s="4"/>
    </row>
    <row r="107">
      <c r="A107" s="30" t="s">
        <v>22</v>
      </c>
      <c r="B107" s="9" t="s">
        <v>2893</v>
      </c>
      <c r="C107" s="13">
        <v>9.500638597E9</v>
      </c>
      <c r="D107" s="6" t="s">
        <v>38</v>
      </c>
      <c r="E107" s="9" t="s">
        <v>393</v>
      </c>
      <c r="F107" s="176">
        <v>46169.0</v>
      </c>
      <c r="G107" s="6" t="s">
        <v>357</v>
      </c>
      <c r="H107" s="6" t="s">
        <v>358</v>
      </c>
      <c r="I107" s="54" t="b">
        <v>1</v>
      </c>
      <c r="J107" s="6" t="s">
        <v>2894</v>
      </c>
      <c r="K107" s="6" t="s">
        <v>684</v>
      </c>
      <c r="L107" s="6" t="s">
        <v>358</v>
      </c>
      <c r="M107" s="9" t="s">
        <v>2895</v>
      </c>
      <c r="N107" s="4"/>
      <c r="O107" s="4"/>
      <c r="P107" s="4"/>
      <c r="Q107" s="4"/>
      <c r="R107" s="4"/>
      <c r="S107" s="4"/>
      <c r="T107" s="4"/>
    </row>
    <row r="108">
      <c r="A108" s="30" t="s">
        <v>22</v>
      </c>
      <c r="B108" s="9" t="s">
        <v>2896</v>
      </c>
      <c r="C108" s="13">
        <v>8.667674493E9</v>
      </c>
      <c r="D108" s="6"/>
      <c r="E108" s="9" t="s">
        <v>409</v>
      </c>
      <c r="F108" s="176">
        <v>46165.0</v>
      </c>
      <c r="G108" s="6" t="s">
        <v>357</v>
      </c>
      <c r="H108" s="6" t="s">
        <v>358</v>
      </c>
      <c r="I108" s="104" t="b">
        <v>0</v>
      </c>
      <c r="J108" s="6" t="s">
        <v>2897</v>
      </c>
      <c r="K108" s="53"/>
      <c r="L108" s="53"/>
      <c r="M108" s="4"/>
      <c r="N108" s="4"/>
      <c r="O108" s="4"/>
      <c r="P108" s="4"/>
      <c r="Q108" s="4"/>
      <c r="R108" s="4"/>
      <c r="S108" s="4"/>
      <c r="T108" s="4"/>
    </row>
    <row r="109">
      <c r="A109" s="30" t="s">
        <v>22</v>
      </c>
      <c r="B109" s="9" t="s">
        <v>2898</v>
      </c>
      <c r="C109" s="13">
        <v>6.382844177E9</v>
      </c>
      <c r="D109" s="6" t="s">
        <v>38</v>
      </c>
      <c r="E109" s="9" t="s">
        <v>2899</v>
      </c>
      <c r="F109" s="176">
        <v>46169.0</v>
      </c>
      <c r="G109" s="6" t="s">
        <v>623</v>
      </c>
      <c r="H109" s="6" t="s">
        <v>358</v>
      </c>
      <c r="I109" s="54" t="b">
        <v>1</v>
      </c>
      <c r="J109" s="6" t="s">
        <v>2900</v>
      </c>
      <c r="K109" s="6" t="s">
        <v>623</v>
      </c>
      <c r="L109" s="6" t="s">
        <v>358</v>
      </c>
      <c r="M109" s="9" t="s">
        <v>2901</v>
      </c>
      <c r="N109" s="4"/>
      <c r="O109" s="4"/>
      <c r="P109" s="4"/>
      <c r="Q109" s="4"/>
      <c r="R109" s="4"/>
      <c r="S109" s="4"/>
      <c r="T109" s="4"/>
    </row>
    <row r="110">
      <c r="A110" s="30" t="s">
        <v>22</v>
      </c>
      <c r="B110" s="9" t="s">
        <v>2236</v>
      </c>
      <c r="C110" s="13">
        <v>8.090960427E9</v>
      </c>
      <c r="D110" s="6" t="s">
        <v>69</v>
      </c>
      <c r="E110" s="9" t="s">
        <v>2902</v>
      </c>
      <c r="F110" s="176">
        <v>46165.0</v>
      </c>
      <c r="G110" s="6" t="s">
        <v>357</v>
      </c>
      <c r="H110" s="6" t="s">
        <v>358</v>
      </c>
      <c r="I110" s="104" t="b">
        <v>0</v>
      </c>
      <c r="J110" s="6" t="s">
        <v>2903</v>
      </c>
      <c r="K110" s="6" t="s">
        <v>382</v>
      </c>
      <c r="L110" s="6" t="s">
        <v>358</v>
      </c>
      <c r="M110" s="9" t="s">
        <v>2904</v>
      </c>
      <c r="N110" s="4"/>
      <c r="O110" s="4"/>
      <c r="P110" s="4"/>
      <c r="Q110" s="4"/>
      <c r="R110" s="4"/>
      <c r="S110" s="4"/>
      <c r="T110" s="4"/>
    </row>
    <row r="111">
      <c r="A111" s="30" t="s">
        <v>22</v>
      </c>
      <c r="B111" s="9" t="s">
        <v>2905</v>
      </c>
      <c r="C111" s="13">
        <v>8.428490019E9</v>
      </c>
      <c r="D111" s="6" t="s">
        <v>38</v>
      </c>
      <c r="E111" s="9" t="s">
        <v>465</v>
      </c>
      <c r="F111" s="176">
        <v>46169.0</v>
      </c>
      <c r="G111" s="6" t="s">
        <v>431</v>
      </c>
      <c r="H111" s="6" t="s">
        <v>432</v>
      </c>
      <c r="I111" s="57" t="b">
        <v>1</v>
      </c>
      <c r="J111" s="6" t="s">
        <v>2906</v>
      </c>
      <c r="K111" s="6" t="s">
        <v>361</v>
      </c>
      <c r="L111" s="6" t="s">
        <v>362</v>
      </c>
      <c r="M111" s="9" t="s">
        <v>2840</v>
      </c>
      <c r="N111" s="4"/>
      <c r="O111" s="4"/>
      <c r="P111" s="4"/>
      <c r="Q111" s="4"/>
      <c r="R111" s="4"/>
      <c r="S111" s="4"/>
      <c r="T111" s="4"/>
    </row>
    <row r="112">
      <c r="A112" s="30" t="s">
        <v>22</v>
      </c>
      <c r="B112" s="9" t="s">
        <v>2907</v>
      </c>
      <c r="C112" s="13">
        <v>9.791854716E9</v>
      </c>
      <c r="D112" s="6" t="s">
        <v>38</v>
      </c>
      <c r="E112" s="9" t="s">
        <v>409</v>
      </c>
      <c r="F112" s="176">
        <v>46165.0</v>
      </c>
      <c r="G112" s="6" t="s">
        <v>431</v>
      </c>
      <c r="H112" s="6" t="s">
        <v>432</v>
      </c>
      <c r="I112" s="57" t="b">
        <v>1</v>
      </c>
      <c r="J112" s="6" t="s">
        <v>2908</v>
      </c>
      <c r="K112" s="6" t="s">
        <v>784</v>
      </c>
      <c r="L112" s="6" t="s">
        <v>362</v>
      </c>
      <c r="M112" s="9" t="s">
        <v>2909</v>
      </c>
      <c r="N112" s="4"/>
      <c r="O112" s="4"/>
      <c r="P112" s="4"/>
      <c r="Q112" s="4"/>
      <c r="R112" s="4"/>
      <c r="S112" s="4"/>
      <c r="T112" s="4"/>
    </row>
    <row r="113">
      <c r="A113" s="30" t="s">
        <v>22</v>
      </c>
      <c r="B113" s="9" t="s">
        <v>2910</v>
      </c>
      <c r="C113" s="13">
        <v>9.025146531E9</v>
      </c>
      <c r="D113" s="6" t="s">
        <v>38</v>
      </c>
      <c r="E113" s="9" t="s">
        <v>1929</v>
      </c>
      <c r="F113" s="176">
        <v>46169.0</v>
      </c>
      <c r="G113" s="6" t="s">
        <v>431</v>
      </c>
      <c r="H113" s="6" t="s">
        <v>432</v>
      </c>
      <c r="I113" s="57" t="b">
        <v>1</v>
      </c>
      <c r="J113" s="6" t="s">
        <v>2911</v>
      </c>
      <c r="K113" s="6" t="s">
        <v>431</v>
      </c>
      <c r="L113" s="6" t="s">
        <v>432</v>
      </c>
      <c r="M113" s="9" t="s">
        <v>2912</v>
      </c>
      <c r="N113" s="4"/>
      <c r="O113" s="4"/>
      <c r="P113" s="4"/>
      <c r="Q113" s="4"/>
      <c r="R113" s="4"/>
      <c r="S113" s="4"/>
      <c r="T113" s="4"/>
    </row>
    <row r="114">
      <c r="A114" s="30" t="s">
        <v>22</v>
      </c>
      <c r="B114" s="9" t="s">
        <v>2913</v>
      </c>
      <c r="C114" s="13">
        <v>8.667599324E9</v>
      </c>
      <c r="D114" s="6" t="s">
        <v>38</v>
      </c>
      <c r="E114" s="9" t="s">
        <v>393</v>
      </c>
      <c r="F114" s="176">
        <v>46167.0</v>
      </c>
      <c r="G114" s="6" t="s">
        <v>357</v>
      </c>
      <c r="H114" s="6" t="s">
        <v>358</v>
      </c>
      <c r="I114" s="54" t="b">
        <v>1</v>
      </c>
      <c r="J114" s="6" t="s">
        <v>2914</v>
      </c>
      <c r="K114" s="6" t="s">
        <v>684</v>
      </c>
      <c r="L114" s="6" t="s">
        <v>358</v>
      </c>
      <c r="M114" s="9" t="s">
        <v>2915</v>
      </c>
      <c r="N114" s="4"/>
      <c r="O114" s="4"/>
      <c r="P114" s="4"/>
      <c r="Q114" s="4"/>
      <c r="R114" s="4"/>
      <c r="S114" s="4"/>
      <c r="T114" s="4"/>
    </row>
    <row r="115">
      <c r="A115" s="30" t="s">
        <v>22</v>
      </c>
      <c r="B115" s="9" t="s">
        <v>2236</v>
      </c>
      <c r="C115" s="13">
        <v>9.78989418E9</v>
      </c>
      <c r="D115" s="6" t="s">
        <v>38</v>
      </c>
      <c r="E115" s="9" t="s">
        <v>409</v>
      </c>
      <c r="F115" s="176">
        <v>46165.0</v>
      </c>
      <c r="G115" s="6" t="s">
        <v>431</v>
      </c>
      <c r="H115" s="6" t="s">
        <v>432</v>
      </c>
      <c r="I115" s="57" t="b">
        <v>1</v>
      </c>
      <c r="J115" s="6" t="s">
        <v>2916</v>
      </c>
      <c r="K115" s="6" t="s">
        <v>361</v>
      </c>
      <c r="L115" s="6" t="s">
        <v>362</v>
      </c>
      <c r="M115" s="9" t="s">
        <v>2917</v>
      </c>
      <c r="N115" s="4"/>
      <c r="O115" s="4"/>
      <c r="P115" s="4"/>
      <c r="Q115" s="4"/>
      <c r="R115" s="4"/>
      <c r="S115" s="4"/>
      <c r="T115" s="4"/>
    </row>
    <row r="116">
      <c r="A116" s="30" t="s">
        <v>22</v>
      </c>
      <c r="B116" s="9" t="s">
        <v>2918</v>
      </c>
      <c r="C116" s="13">
        <v>9.3912224E9</v>
      </c>
      <c r="D116" s="6" t="s">
        <v>1378</v>
      </c>
      <c r="E116" s="9" t="s">
        <v>409</v>
      </c>
      <c r="F116" s="176">
        <v>46169.0</v>
      </c>
      <c r="G116" s="6" t="s">
        <v>431</v>
      </c>
      <c r="H116" s="6" t="s">
        <v>432</v>
      </c>
      <c r="I116" s="57" t="b">
        <v>1</v>
      </c>
      <c r="J116" s="6" t="s">
        <v>2919</v>
      </c>
      <c r="K116" s="6" t="s">
        <v>361</v>
      </c>
      <c r="L116" s="6" t="s">
        <v>362</v>
      </c>
      <c r="M116" s="9" t="s">
        <v>2840</v>
      </c>
      <c r="N116" s="4"/>
      <c r="O116" s="4"/>
      <c r="P116" s="4"/>
      <c r="Q116" s="4"/>
      <c r="R116" s="4"/>
      <c r="S116" s="4"/>
      <c r="T116" s="4"/>
    </row>
    <row r="117">
      <c r="A117" s="30" t="s">
        <v>22</v>
      </c>
      <c r="B117" s="9" t="s">
        <v>2920</v>
      </c>
      <c r="C117" s="13">
        <v>9.17639633E9</v>
      </c>
      <c r="D117" s="6"/>
      <c r="E117" s="9" t="s">
        <v>1064</v>
      </c>
      <c r="F117" s="176">
        <v>46172.0</v>
      </c>
      <c r="G117" s="6" t="s">
        <v>357</v>
      </c>
      <c r="H117" s="6" t="s">
        <v>358</v>
      </c>
      <c r="I117" s="104" t="b">
        <v>0</v>
      </c>
      <c r="J117" s="6" t="s">
        <v>2921</v>
      </c>
      <c r="K117" s="53"/>
      <c r="L117" s="53"/>
      <c r="M117" s="4"/>
      <c r="N117" s="4"/>
      <c r="O117" s="4"/>
      <c r="P117" s="4"/>
      <c r="Q117" s="4"/>
      <c r="R117" s="4"/>
      <c r="S117" s="4"/>
      <c r="T117" s="4"/>
    </row>
    <row r="118">
      <c r="A118" s="30" t="s">
        <v>22</v>
      </c>
      <c r="B118" s="9" t="s">
        <v>1380</v>
      </c>
      <c r="C118" s="13">
        <v>6.369127053E9</v>
      </c>
      <c r="D118" s="6" t="s">
        <v>1924</v>
      </c>
      <c r="E118" s="9" t="s">
        <v>465</v>
      </c>
      <c r="F118" s="176">
        <v>46164.0</v>
      </c>
      <c r="G118" s="6" t="s">
        <v>357</v>
      </c>
      <c r="H118" s="6" t="s">
        <v>358</v>
      </c>
      <c r="I118" s="104" t="b">
        <v>0</v>
      </c>
      <c r="J118" s="6" t="s">
        <v>2922</v>
      </c>
      <c r="K118" s="53"/>
      <c r="L118" s="53"/>
      <c r="M118" s="4"/>
      <c r="N118" s="4"/>
      <c r="O118" s="4"/>
      <c r="P118" s="4"/>
      <c r="Q118" s="4"/>
      <c r="R118" s="4"/>
      <c r="S118" s="4"/>
      <c r="T118" s="4"/>
    </row>
    <row r="119">
      <c r="A119" s="30" t="s">
        <v>22</v>
      </c>
      <c r="B119" s="9" t="s">
        <v>1888</v>
      </c>
      <c r="C119" s="13">
        <v>8.148752645E9</v>
      </c>
      <c r="D119" s="6"/>
      <c r="E119" s="9" t="s">
        <v>414</v>
      </c>
      <c r="F119" s="176">
        <v>46169.0</v>
      </c>
      <c r="G119" s="6" t="s">
        <v>357</v>
      </c>
      <c r="H119" s="6" t="s">
        <v>358</v>
      </c>
      <c r="I119" s="104" t="b">
        <v>0</v>
      </c>
      <c r="J119" s="6" t="s">
        <v>2923</v>
      </c>
      <c r="K119" s="53"/>
      <c r="L119" s="53"/>
      <c r="M119" s="4"/>
      <c r="N119" s="4"/>
      <c r="O119" s="4"/>
      <c r="P119" s="4"/>
      <c r="Q119" s="4"/>
      <c r="R119" s="4"/>
      <c r="S119" s="4"/>
      <c r="T119" s="4"/>
    </row>
    <row r="120">
      <c r="A120" s="30" t="s">
        <v>22</v>
      </c>
      <c r="B120" s="9" t="s">
        <v>2924</v>
      </c>
      <c r="C120" s="13">
        <v>6.381561288E9</v>
      </c>
      <c r="D120" s="6" t="s">
        <v>38</v>
      </c>
      <c r="E120" s="9" t="s">
        <v>1780</v>
      </c>
      <c r="F120" s="176">
        <v>46169.0</v>
      </c>
      <c r="G120" s="6" t="s">
        <v>431</v>
      </c>
      <c r="H120" s="6" t="s">
        <v>432</v>
      </c>
      <c r="I120" s="57" t="b">
        <v>1</v>
      </c>
      <c r="J120" s="6" t="s">
        <v>2925</v>
      </c>
      <c r="K120" s="6" t="s">
        <v>431</v>
      </c>
      <c r="L120" s="6" t="s">
        <v>432</v>
      </c>
      <c r="M120" s="9" t="s">
        <v>2926</v>
      </c>
      <c r="N120" s="4"/>
      <c r="O120" s="4"/>
      <c r="P120" s="4"/>
      <c r="Q120" s="4"/>
      <c r="R120" s="4"/>
      <c r="S120" s="4"/>
      <c r="T120" s="4"/>
    </row>
    <row r="121">
      <c r="A121" s="30" t="s">
        <v>22</v>
      </c>
      <c r="B121" s="9" t="s">
        <v>2927</v>
      </c>
      <c r="C121" s="13">
        <v>9.025791047E9</v>
      </c>
      <c r="D121" s="6"/>
      <c r="E121" s="9" t="s">
        <v>2832</v>
      </c>
      <c r="F121" s="176">
        <v>46169.0</v>
      </c>
      <c r="G121" s="6" t="s">
        <v>357</v>
      </c>
      <c r="H121" s="6" t="s">
        <v>358</v>
      </c>
      <c r="I121" s="104" t="b">
        <v>0</v>
      </c>
      <c r="J121" s="6" t="s">
        <v>2928</v>
      </c>
      <c r="K121" s="53"/>
      <c r="L121" s="53"/>
      <c r="M121" s="4"/>
      <c r="N121" s="4"/>
      <c r="O121" s="4"/>
      <c r="P121" s="4"/>
      <c r="Q121" s="4"/>
      <c r="R121" s="4"/>
      <c r="S121" s="4"/>
      <c r="T121" s="4"/>
    </row>
    <row r="122">
      <c r="A122" s="30" t="s">
        <v>22</v>
      </c>
      <c r="B122" s="9" t="s">
        <v>2929</v>
      </c>
      <c r="C122" s="13">
        <v>8.122200321E9</v>
      </c>
      <c r="D122" s="6" t="s">
        <v>1924</v>
      </c>
      <c r="E122" s="9" t="s">
        <v>409</v>
      </c>
      <c r="F122" s="176">
        <v>46164.0</v>
      </c>
      <c r="G122" s="6" t="s">
        <v>357</v>
      </c>
      <c r="H122" s="6" t="s">
        <v>358</v>
      </c>
      <c r="I122" s="104" t="b">
        <v>0</v>
      </c>
      <c r="J122" s="6" t="s">
        <v>2930</v>
      </c>
      <c r="K122" s="53"/>
      <c r="L122" s="53"/>
      <c r="M122" s="4"/>
      <c r="N122" s="4"/>
      <c r="O122" s="4"/>
      <c r="P122" s="4"/>
      <c r="Q122" s="4"/>
      <c r="R122" s="4"/>
      <c r="S122" s="4"/>
      <c r="T122" s="4"/>
    </row>
    <row r="123">
      <c r="A123" s="30" t="s">
        <v>22</v>
      </c>
      <c r="B123" s="9" t="s">
        <v>2931</v>
      </c>
      <c r="C123" s="13">
        <v>9.787236328E9</v>
      </c>
      <c r="D123" s="6"/>
      <c r="E123" s="9" t="s">
        <v>2932</v>
      </c>
      <c r="F123" s="176">
        <v>46172.0</v>
      </c>
      <c r="G123" s="6" t="s">
        <v>357</v>
      </c>
      <c r="H123" s="6" t="s">
        <v>358</v>
      </c>
      <c r="I123" s="104" t="b">
        <v>0</v>
      </c>
      <c r="J123" s="6" t="s">
        <v>2933</v>
      </c>
      <c r="K123" s="53"/>
      <c r="L123" s="53"/>
      <c r="M123" s="4"/>
      <c r="N123" s="4"/>
      <c r="O123" s="4"/>
      <c r="P123" s="4"/>
      <c r="Q123" s="4"/>
      <c r="R123" s="4"/>
      <c r="S123" s="4"/>
      <c r="T123" s="4"/>
    </row>
    <row r="124">
      <c r="A124" s="30" t="s">
        <v>22</v>
      </c>
      <c r="B124" s="9" t="s">
        <v>2934</v>
      </c>
      <c r="C124" s="13">
        <v>9.65525318E9</v>
      </c>
      <c r="D124" s="6" t="s">
        <v>38</v>
      </c>
      <c r="E124" s="9" t="s">
        <v>2866</v>
      </c>
      <c r="F124" s="176">
        <v>46164.0</v>
      </c>
      <c r="G124" s="6" t="s">
        <v>543</v>
      </c>
      <c r="H124" s="6" t="s">
        <v>358</v>
      </c>
      <c r="I124" s="104" t="b">
        <v>0</v>
      </c>
      <c r="J124" s="6" t="s">
        <v>2935</v>
      </c>
      <c r="K124" s="6" t="s">
        <v>684</v>
      </c>
      <c r="L124" s="6" t="s">
        <v>358</v>
      </c>
      <c r="M124" s="9" t="s">
        <v>2936</v>
      </c>
      <c r="N124" s="4"/>
      <c r="O124" s="4"/>
      <c r="P124" s="4"/>
      <c r="Q124" s="4"/>
      <c r="R124" s="4"/>
      <c r="S124" s="4"/>
      <c r="T124" s="4"/>
    </row>
    <row r="125">
      <c r="A125" s="30" t="s">
        <v>22</v>
      </c>
      <c r="B125" s="9" t="s">
        <v>585</v>
      </c>
      <c r="C125" s="13">
        <v>9.38492628E9</v>
      </c>
      <c r="D125" s="6" t="s">
        <v>38</v>
      </c>
      <c r="E125" s="9" t="s">
        <v>2822</v>
      </c>
      <c r="F125" s="176">
        <v>46169.0</v>
      </c>
      <c r="G125" s="6" t="s">
        <v>431</v>
      </c>
      <c r="H125" s="6" t="s">
        <v>432</v>
      </c>
      <c r="I125" s="57" t="b">
        <v>1</v>
      </c>
      <c r="J125" s="6" t="s">
        <v>2937</v>
      </c>
      <c r="K125" s="6" t="s">
        <v>361</v>
      </c>
      <c r="L125" s="6" t="s">
        <v>362</v>
      </c>
      <c r="M125" s="9" t="s">
        <v>2840</v>
      </c>
      <c r="N125" s="4"/>
      <c r="O125" s="4"/>
      <c r="P125" s="4"/>
      <c r="Q125" s="4"/>
      <c r="R125" s="4"/>
      <c r="S125" s="4"/>
      <c r="T125" s="4"/>
    </row>
    <row r="126">
      <c r="A126" s="30" t="s">
        <v>22</v>
      </c>
      <c r="B126" s="9" t="s">
        <v>2938</v>
      </c>
      <c r="C126" s="13">
        <v>9.442532798E9</v>
      </c>
      <c r="D126" s="6" t="s">
        <v>38</v>
      </c>
      <c r="E126" s="9" t="s">
        <v>2939</v>
      </c>
      <c r="F126" s="176">
        <v>46171.0</v>
      </c>
      <c r="G126" s="6" t="s">
        <v>431</v>
      </c>
      <c r="H126" s="6" t="s">
        <v>432</v>
      </c>
      <c r="I126" s="57" t="b">
        <v>1</v>
      </c>
      <c r="J126" s="6" t="s">
        <v>2940</v>
      </c>
      <c r="K126" s="6" t="s">
        <v>431</v>
      </c>
      <c r="L126" s="6" t="s">
        <v>432</v>
      </c>
      <c r="M126" s="9" t="s">
        <v>2941</v>
      </c>
      <c r="N126" s="4"/>
      <c r="O126" s="4"/>
      <c r="P126" s="4"/>
      <c r="Q126" s="4"/>
      <c r="R126" s="4"/>
      <c r="S126" s="4"/>
      <c r="T126" s="4"/>
    </row>
    <row r="127">
      <c r="A127" s="30" t="s">
        <v>22</v>
      </c>
      <c r="B127" s="9" t="s">
        <v>2942</v>
      </c>
      <c r="C127" s="13">
        <v>8.925151585E9</v>
      </c>
      <c r="D127" s="6" t="s">
        <v>1924</v>
      </c>
      <c r="E127" s="4"/>
      <c r="F127" s="176">
        <v>46164.0</v>
      </c>
      <c r="G127" s="6" t="s">
        <v>357</v>
      </c>
      <c r="H127" s="6" t="s">
        <v>358</v>
      </c>
      <c r="I127" s="104" t="b">
        <v>0</v>
      </c>
      <c r="J127" s="6" t="s">
        <v>2943</v>
      </c>
      <c r="K127" s="53"/>
      <c r="L127" s="53"/>
      <c r="M127" s="4"/>
      <c r="N127" s="4"/>
      <c r="O127" s="4"/>
      <c r="P127" s="4"/>
      <c r="Q127" s="4"/>
      <c r="R127" s="4"/>
      <c r="S127" s="4"/>
      <c r="T127" s="4"/>
    </row>
    <row r="128">
      <c r="A128" s="30" t="s">
        <v>22</v>
      </c>
      <c r="B128" s="9" t="s">
        <v>2944</v>
      </c>
      <c r="C128" s="13">
        <v>8.30018669E9</v>
      </c>
      <c r="D128" s="6" t="s">
        <v>38</v>
      </c>
      <c r="E128" s="9" t="s">
        <v>2945</v>
      </c>
      <c r="F128" s="176">
        <v>46171.0</v>
      </c>
      <c r="G128" s="6" t="s">
        <v>431</v>
      </c>
      <c r="H128" s="6" t="s">
        <v>432</v>
      </c>
      <c r="I128" s="57" t="b">
        <v>1</v>
      </c>
      <c r="J128" s="6" t="s">
        <v>2946</v>
      </c>
      <c r="K128" s="6" t="s">
        <v>431</v>
      </c>
      <c r="L128" s="6" t="s">
        <v>432</v>
      </c>
      <c r="M128" s="9" t="s">
        <v>2947</v>
      </c>
      <c r="N128" s="4"/>
      <c r="O128" s="4"/>
      <c r="P128" s="4"/>
      <c r="Q128" s="4"/>
      <c r="R128" s="4"/>
      <c r="S128" s="4"/>
      <c r="T128" s="4"/>
    </row>
    <row r="129">
      <c r="A129" s="30" t="s">
        <v>22</v>
      </c>
      <c r="B129" s="9" t="s">
        <v>2948</v>
      </c>
      <c r="C129" s="13">
        <v>9.44552608E9</v>
      </c>
      <c r="D129" s="6" t="s">
        <v>185</v>
      </c>
      <c r="E129" s="9" t="s">
        <v>542</v>
      </c>
      <c r="F129" s="176">
        <v>46171.0</v>
      </c>
      <c r="G129" s="6" t="s">
        <v>431</v>
      </c>
      <c r="H129" s="6" t="s">
        <v>432</v>
      </c>
      <c r="I129" s="57" t="b">
        <v>1</v>
      </c>
      <c r="J129" s="6" t="s">
        <v>2949</v>
      </c>
      <c r="K129" s="6" t="s">
        <v>361</v>
      </c>
      <c r="L129" s="6" t="s">
        <v>362</v>
      </c>
      <c r="M129" s="13" t="s">
        <v>2950</v>
      </c>
      <c r="N129" s="4"/>
      <c r="O129" s="4"/>
      <c r="P129" s="4"/>
      <c r="Q129" s="4"/>
      <c r="R129" s="4"/>
      <c r="S129" s="4"/>
      <c r="T129" s="4"/>
    </row>
    <row r="130">
      <c r="A130" s="30" t="s">
        <v>22</v>
      </c>
      <c r="B130" s="9" t="s">
        <v>2951</v>
      </c>
      <c r="C130" s="13">
        <v>8.754962327E9</v>
      </c>
      <c r="D130" s="6" t="s">
        <v>38</v>
      </c>
      <c r="E130" s="9" t="s">
        <v>465</v>
      </c>
      <c r="F130" s="176">
        <v>46171.0</v>
      </c>
      <c r="G130" s="6" t="s">
        <v>431</v>
      </c>
      <c r="H130" s="6" t="s">
        <v>432</v>
      </c>
      <c r="I130" s="57" t="b">
        <v>1</v>
      </c>
      <c r="J130" s="6" t="s">
        <v>2952</v>
      </c>
      <c r="K130" s="6" t="s">
        <v>431</v>
      </c>
      <c r="L130" s="6" t="s">
        <v>432</v>
      </c>
      <c r="M130" s="9" t="s">
        <v>2953</v>
      </c>
      <c r="N130" s="4"/>
      <c r="O130" s="4"/>
      <c r="P130" s="4"/>
      <c r="Q130" s="4"/>
      <c r="R130" s="4"/>
      <c r="S130" s="4"/>
      <c r="T130" s="4"/>
    </row>
    <row r="131">
      <c r="A131" s="30" t="s">
        <v>22</v>
      </c>
      <c r="B131" s="9" t="s">
        <v>2954</v>
      </c>
      <c r="C131" s="13">
        <v>7.904458456E9</v>
      </c>
      <c r="D131" s="6"/>
      <c r="E131" s="4"/>
      <c r="F131" s="176">
        <v>46172.0</v>
      </c>
      <c r="G131" s="6" t="s">
        <v>357</v>
      </c>
      <c r="H131" s="6" t="s">
        <v>358</v>
      </c>
      <c r="I131" s="104" t="b">
        <v>0</v>
      </c>
      <c r="J131" s="6" t="s">
        <v>2955</v>
      </c>
      <c r="K131" s="53"/>
      <c r="L131" s="53"/>
      <c r="M131" s="4"/>
      <c r="N131" s="4"/>
      <c r="O131" s="4"/>
      <c r="P131" s="4"/>
      <c r="Q131" s="4"/>
      <c r="R131" s="4"/>
      <c r="S131" s="4"/>
      <c r="T131" s="4"/>
    </row>
    <row r="132">
      <c r="A132" s="30" t="s">
        <v>22</v>
      </c>
      <c r="B132" s="9" t="s">
        <v>2956</v>
      </c>
      <c r="C132" s="13">
        <v>9.688691529E9</v>
      </c>
      <c r="D132" s="6" t="s">
        <v>38</v>
      </c>
      <c r="E132" s="9" t="s">
        <v>465</v>
      </c>
      <c r="F132" s="176">
        <v>46172.0</v>
      </c>
      <c r="G132" s="6" t="s">
        <v>431</v>
      </c>
      <c r="H132" s="6" t="s">
        <v>432</v>
      </c>
      <c r="I132" s="57" t="b">
        <v>1</v>
      </c>
      <c r="J132" s="6" t="s">
        <v>2957</v>
      </c>
      <c r="K132" s="6" t="s">
        <v>431</v>
      </c>
      <c r="L132" s="6" t="s">
        <v>432</v>
      </c>
      <c r="M132" s="13" t="s">
        <v>2958</v>
      </c>
      <c r="N132" s="4"/>
      <c r="O132" s="4"/>
      <c r="P132" s="4"/>
      <c r="Q132" s="4"/>
      <c r="R132" s="4"/>
      <c r="S132" s="4"/>
      <c r="T132" s="4"/>
    </row>
    <row r="133">
      <c r="A133" s="30" t="s">
        <v>22</v>
      </c>
      <c r="B133" s="9" t="s">
        <v>2959</v>
      </c>
      <c r="C133" s="13">
        <v>8.825702801E9</v>
      </c>
      <c r="D133" s="6"/>
      <c r="E133" s="9" t="s">
        <v>465</v>
      </c>
      <c r="F133" s="176">
        <v>46172.0</v>
      </c>
      <c r="G133" s="6" t="s">
        <v>357</v>
      </c>
      <c r="H133" s="6" t="s">
        <v>358</v>
      </c>
      <c r="I133" s="104" t="b">
        <v>0</v>
      </c>
      <c r="J133" s="6" t="s">
        <v>2960</v>
      </c>
      <c r="K133" s="53"/>
      <c r="L133" s="53"/>
      <c r="M133" s="4"/>
      <c r="N133" s="4"/>
      <c r="O133" s="4"/>
      <c r="P133" s="4"/>
      <c r="Q133" s="4"/>
      <c r="R133" s="4"/>
      <c r="S133" s="4"/>
      <c r="T133" s="4"/>
    </row>
    <row r="134">
      <c r="A134" s="30" t="s">
        <v>22</v>
      </c>
      <c r="B134" s="9" t="s">
        <v>2961</v>
      </c>
      <c r="C134" s="13">
        <v>9.600217462E9</v>
      </c>
      <c r="D134" s="6" t="s">
        <v>38</v>
      </c>
      <c r="E134" s="9" t="s">
        <v>517</v>
      </c>
      <c r="F134" s="176">
        <v>46171.0</v>
      </c>
      <c r="G134" s="6" t="s">
        <v>431</v>
      </c>
      <c r="H134" s="6" t="s">
        <v>432</v>
      </c>
      <c r="I134" s="57" t="b">
        <v>1</v>
      </c>
      <c r="J134" s="6" t="s">
        <v>2962</v>
      </c>
      <c r="K134" s="6" t="s">
        <v>361</v>
      </c>
      <c r="L134" s="6" t="s">
        <v>362</v>
      </c>
      <c r="M134" s="13" t="s">
        <v>2950</v>
      </c>
      <c r="N134" s="4"/>
      <c r="O134" s="4"/>
      <c r="P134" s="4"/>
      <c r="Q134" s="4"/>
      <c r="R134" s="4"/>
      <c r="S134" s="4"/>
      <c r="T134" s="4"/>
    </row>
    <row r="135">
      <c r="A135" s="30" t="s">
        <v>22</v>
      </c>
      <c r="B135" s="4"/>
      <c r="C135" s="13">
        <v>9.894277438E9</v>
      </c>
      <c r="D135" s="6"/>
      <c r="E135" s="9" t="s">
        <v>2963</v>
      </c>
      <c r="F135" s="176">
        <v>46172.0</v>
      </c>
      <c r="G135" s="6" t="s">
        <v>357</v>
      </c>
      <c r="H135" s="6" t="s">
        <v>358</v>
      </c>
      <c r="I135" s="104" t="b">
        <v>0</v>
      </c>
      <c r="J135" s="6" t="s">
        <v>2964</v>
      </c>
      <c r="K135" s="53"/>
      <c r="L135" s="53"/>
      <c r="M135" s="4"/>
      <c r="N135" s="4"/>
      <c r="O135" s="4"/>
      <c r="P135" s="4"/>
      <c r="Q135" s="4"/>
      <c r="R135" s="4"/>
      <c r="S135" s="4"/>
      <c r="T135" s="4"/>
    </row>
    <row r="136">
      <c r="A136" s="30" t="s">
        <v>22</v>
      </c>
      <c r="B136" s="9" t="s">
        <v>2965</v>
      </c>
      <c r="C136" s="13">
        <v>8.072044771E9</v>
      </c>
      <c r="D136" s="6" t="s">
        <v>38</v>
      </c>
      <c r="E136" s="9" t="s">
        <v>1049</v>
      </c>
      <c r="F136" s="176">
        <v>46174.0</v>
      </c>
      <c r="G136" s="6" t="s">
        <v>431</v>
      </c>
      <c r="H136" s="6" t="s">
        <v>432</v>
      </c>
      <c r="I136" s="57" t="b">
        <v>1</v>
      </c>
      <c r="J136" s="6" t="s">
        <v>2966</v>
      </c>
      <c r="K136" s="6" t="s">
        <v>431</v>
      </c>
      <c r="L136" s="6" t="s">
        <v>432</v>
      </c>
      <c r="M136" s="9" t="s">
        <v>2967</v>
      </c>
      <c r="N136" s="4"/>
      <c r="O136" s="4"/>
      <c r="P136" s="4"/>
      <c r="Q136" s="4"/>
      <c r="R136" s="4"/>
      <c r="S136" s="4"/>
      <c r="T136" s="4"/>
    </row>
    <row r="137">
      <c r="A137" s="30" t="s">
        <v>22</v>
      </c>
      <c r="B137" s="9" t="s">
        <v>2968</v>
      </c>
      <c r="C137" s="13">
        <v>9.940514742E9</v>
      </c>
      <c r="D137" s="6" t="s">
        <v>38</v>
      </c>
      <c r="E137" s="9" t="s">
        <v>409</v>
      </c>
      <c r="F137" s="176">
        <v>46171.0</v>
      </c>
      <c r="G137" s="6" t="s">
        <v>431</v>
      </c>
      <c r="H137" s="6" t="s">
        <v>432</v>
      </c>
      <c r="I137" s="57" t="b">
        <v>1</v>
      </c>
      <c r="J137" s="6" t="s">
        <v>2969</v>
      </c>
      <c r="K137" s="6" t="s">
        <v>431</v>
      </c>
      <c r="L137" s="6" t="s">
        <v>432</v>
      </c>
      <c r="M137" s="9" t="s">
        <v>2970</v>
      </c>
      <c r="N137" s="4"/>
      <c r="O137" s="4"/>
      <c r="P137" s="4"/>
      <c r="Q137" s="4"/>
      <c r="R137" s="4"/>
      <c r="S137" s="4"/>
      <c r="T137" s="4"/>
    </row>
    <row r="138">
      <c r="A138" s="30" t="s">
        <v>22</v>
      </c>
      <c r="B138" s="9" t="s">
        <v>2971</v>
      </c>
      <c r="C138" s="13">
        <v>9.789952394E9</v>
      </c>
      <c r="D138" s="6" t="s">
        <v>38</v>
      </c>
      <c r="E138" s="9" t="s">
        <v>353</v>
      </c>
      <c r="F138" s="176">
        <v>46174.0</v>
      </c>
      <c r="G138" s="6" t="s">
        <v>431</v>
      </c>
      <c r="H138" s="6" t="s">
        <v>432</v>
      </c>
      <c r="I138" s="57" t="b">
        <v>1</v>
      </c>
      <c r="J138" s="6" t="s">
        <v>2972</v>
      </c>
      <c r="K138" s="6" t="s">
        <v>431</v>
      </c>
      <c r="L138" s="6" t="s">
        <v>432</v>
      </c>
      <c r="M138" s="9" t="s">
        <v>2973</v>
      </c>
      <c r="N138" s="4"/>
      <c r="O138" s="4"/>
      <c r="P138" s="4"/>
      <c r="Q138" s="4"/>
      <c r="R138" s="4"/>
      <c r="S138" s="4"/>
      <c r="T138" s="4"/>
    </row>
    <row r="139">
      <c r="A139" s="30" t="s">
        <v>22</v>
      </c>
      <c r="B139" s="9" t="s">
        <v>2974</v>
      </c>
      <c r="C139" s="13">
        <v>9.994564498E9</v>
      </c>
      <c r="D139" s="6" t="s">
        <v>69</v>
      </c>
      <c r="E139" s="9" t="s">
        <v>2975</v>
      </c>
      <c r="F139" s="176">
        <v>46169.0</v>
      </c>
      <c r="G139" s="6" t="s">
        <v>357</v>
      </c>
      <c r="H139" s="6" t="s">
        <v>358</v>
      </c>
      <c r="I139" s="54" t="b">
        <v>1</v>
      </c>
      <c r="J139" s="6" t="s">
        <v>2976</v>
      </c>
      <c r="K139" s="53"/>
      <c r="L139" s="53"/>
      <c r="M139" s="4"/>
      <c r="N139" s="4"/>
      <c r="O139" s="4"/>
      <c r="P139" s="4"/>
      <c r="Q139" s="4"/>
      <c r="R139" s="4"/>
      <c r="S139" s="4"/>
      <c r="T139" s="4"/>
    </row>
    <row r="140">
      <c r="A140" s="30" t="s">
        <v>22</v>
      </c>
      <c r="B140" s="9" t="s">
        <v>2977</v>
      </c>
      <c r="C140" s="13">
        <v>7.598993938E9</v>
      </c>
      <c r="D140" s="6" t="s">
        <v>38</v>
      </c>
      <c r="E140" s="9" t="s">
        <v>2978</v>
      </c>
      <c r="F140" s="176">
        <v>46171.0</v>
      </c>
      <c r="G140" s="6" t="s">
        <v>357</v>
      </c>
      <c r="H140" s="6" t="s">
        <v>358</v>
      </c>
      <c r="I140" s="104" t="b">
        <v>0</v>
      </c>
      <c r="J140" s="6" t="s">
        <v>2979</v>
      </c>
      <c r="K140" s="6" t="s">
        <v>382</v>
      </c>
      <c r="L140" s="6" t="s">
        <v>358</v>
      </c>
      <c r="M140" s="9" t="s">
        <v>2980</v>
      </c>
      <c r="N140" s="4"/>
      <c r="O140" s="4"/>
      <c r="P140" s="4"/>
      <c r="Q140" s="4"/>
      <c r="R140" s="4"/>
      <c r="S140" s="4"/>
      <c r="T140" s="4"/>
    </row>
    <row r="141">
      <c r="A141" s="30" t="s">
        <v>22</v>
      </c>
      <c r="B141" s="9" t="s">
        <v>2981</v>
      </c>
      <c r="C141" s="13">
        <v>9.384772242E9</v>
      </c>
      <c r="D141" s="6" t="s">
        <v>38</v>
      </c>
      <c r="E141" s="9" t="s">
        <v>465</v>
      </c>
      <c r="F141" s="176">
        <v>46167.0</v>
      </c>
      <c r="G141" s="6" t="s">
        <v>357</v>
      </c>
      <c r="H141" s="6" t="s">
        <v>358</v>
      </c>
      <c r="I141" s="104" t="b">
        <v>0</v>
      </c>
      <c r="J141" s="6" t="s">
        <v>2982</v>
      </c>
      <c r="K141" s="53"/>
      <c r="L141" s="53"/>
      <c r="M141" s="4"/>
      <c r="N141" s="4"/>
      <c r="O141" s="4"/>
      <c r="P141" s="4"/>
      <c r="Q141" s="4"/>
      <c r="R141" s="4"/>
      <c r="S141" s="4"/>
      <c r="T141" s="4"/>
    </row>
    <row r="142">
      <c r="A142" s="30" t="s">
        <v>22</v>
      </c>
      <c r="B142" s="9" t="s">
        <v>2983</v>
      </c>
      <c r="C142" s="13">
        <v>8.52401708E9</v>
      </c>
      <c r="D142" s="6" t="s">
        <v>1924</v>
      </c>
      <c r="E142" s="9" t="s">
        <v>856</v>
      </c>
      <c r="F142" s="176">
        <v>46167.0</v>
      </c>
      <c r="G142" s="6" t="s">
        <v>357</v>
      </c>
      <c r="H142" s="6" t="s">
        <v>358</v>
      </c>
      <c r="I142" s="57" t="b">
        <v>0</v>
      </c>
      <c r="J142" s="6" t="s">
        <v>2984</v>
      </c>
      <c r="K142" s="53"/>
      <c r="L142" s="53"/>
      <c r="M142" s="4"/>
      <c r="N142" s="4"/>
      <c r="O142" s="4"/>
      <c r="P142" s="4"/>
      <c r="Q142" s="4"/>
      <c r="R142" s="4"/>
      <c r="S142" s="4"/>
      <c r="T142" s="4"/>
    </row>
    <row r="143">
      <c r="A143" s="30" t="s">
        <v>22</v>
      </c>
      <c r="B143" s="9" t="s">
        <v>2054</v>
      </c>
      <c r="C143" s="13">
        <v>9.025376668E9</v>
      </c>
      <c r="D143" s="6" t="s">
        <v>38</v>
      </c>
      <c r="E143" s="9" t="s">
        <v>399</v>
      </c>
      <c r="F143" s="176">
        <v>46171.0</v>
      </c>
      <c r="G143" s="6" t="s">
        <v>431</v>
      </c>
      <c r="H143" s="6" t="s">
        <v>432</v>
      </c>
      <c r="I143" s="57" t="b">
        <v>1</v>
      </c>
      <c r="J143" s="6" t="s">
        <v>2985</v>
      </c>
      <c r="K143" s="6" t="s">
        <v>431</v>
      </c>
      <c r="L143" s="6" t="s">
        <v>432</v>
      </c>
      <c r="M143" s="9" t="s">
        <v>2986</v>
      </c>
      <c r="N143" s="4"/>
      <c r="O143" s="4"/>
      <c r="P143" s="4"/>
      <c r="Q143" s="4"/>
      <c r="R143" s="4"/>
      <c r="S143" s="4"/>
      <c r="T143" s="4"/>
    </row>
    <row r="144">
      <c r="A144" s="30" t="s">
        <v>22</v>
      </c>
      <c r="B144" s="9" t="s">
        <v>2987</v>
      </c>
      <c r="C144" s="13">
        <v>8.610644793E9</v>
      </c>
      <c r="D144" s="6" t="s">
        <v>38</v>
      </c>
      <c r="E144" s="9" t="s">
        <v>542</v>
      </c>
      <c r="F144" s="176">
        <v>46171.0</v>
      </c>
      <c r="G144" s="6" t="s">
        <v>357</v>
      </c>
      <c r="H144" s="6" t="s">
        <v>358</v>
      </c>
      <c r="I144" s="104" t="b">
        <v>0</v>
      </c>
      <c r="J144" s="6" t="s">
        <v>2988</v>
      </c>
      <c r="K144" s="6" t="s">
        <v>382</v>
      </c>
      <c r="L144" s="6" t="s">
        <v>358</v>
      </c>
      <c r="M144" s="9" t="s">
        <v>2989</v>
      </c>
      <c r="N144" s="4"/>
      <c r="O144" s="4"/>
      <c r="P144" s="4"/>
      <c r="Q144" s="4"/>
      <c r="R144" s="4"/>
      <c r="S144" s="4"/>
      <c r="T144" s="4"/>
    </row>
    <row r="145">
      <c r="A145" s="30" t="s">
        <v>22</v>
      </c>
      <c r="B145" s="9" t="s">
        <v>2990</v>
      </c>
      <c r="C145" s="13">
        <v>7.306466954E9</v>
      </c>
      <c r="D145" s="6" t="s">
        <v>38</v>
      </c>
      <c r="E145" s="9" t="s">
        <v>465</v>
      </c>
      <c r="F145" s="176">
        <v>46171.0</v>
      </c>
      <c r="G145" s="6" t="s">
        <v>431</v>
      </c>
      <c r="H145" s="6" t="s">
        <v>432</v>
      </c>
      <c r="I145" s="57" t="b">
        <v>1</v>
      </c>
      <c r="J145" s="6" t="s">
        <v>2991</v>
      </c>
      <c r="K145" s="6" t="s">
        <v>361</v>
      </c>
      <c r="L145" s="6" t="s">
        <v>362</v>
      </c>
      <c r="M145" s="13" t="s">
        <v>2950</v>
      </c>
      <c r="N145" s="4"/>
      <c r="O145" s="4"/>
      <c r="P145" s="4"/>
      <c r="Q145" s="4"/>
      <c r="R145" s="4"/>
      <c r="S145" s="4"/>
      <c r="T145" s="4"/>
    </row>
    <row r="146">
      <c r="A146" s="30" t="s">
        <v>22</v>
      </c>
      <c r="B146" s="9" t="s">
        <v>2992</v>
      </c>
      <c r="C146" s="13">
        <v>8.148915403E9</v>
      </c>
      <c r="D146" s="6" t="s">
        <v>38</v>
      </c>
      <c r="E146" s="9" t="s">
        <v>409</v>
      </c>
      <c r="F146" s="176">
        <v>46172.0</v>
      </c>
      <c r="G146" s="6" t="s">
        <v>890</v>
      </c>
      <c r="H146" s="6" t="s">
        <v>891</v>
      </c>
      <c r="I146" s="57" t="b">
        <v>1</v>
      </c>
      <c r="J146" s="6" t="s">
        <v>2993</v>
      </c>
      <c r="K146" s="6" t="s">
        <v>890</v>
      </c>
      <c r="L146" s="6" t="s">
        <v>891</v>
      </c>
      <c r="M146" s="9" t="s">
        <v>2994</v>
      </c>
      <c r="N146" s="4"/>
      <c r="O146" s="4"/>
      <c r="P146" s="4"/>
      <c r="Q146" s="4"/>
      <c r="R146" s="4"/>
      <c r="S146" s="4"/>
      <c r="T146" s="4"/>
    </row>
    <row r="147">
      <c r="A147" s="30" t="s">
        <v>22</v>
      </c>
      <c r="B147" s="9" t="s">
        <v>2995</v>
      </c>
      <c r="C147" s="13">
        <v>8.610533616E9</v>
      </c>
      <c r="D147" s="6" t="s">
        <v>169</v>
      </c>
      <c r="E147" s="9" t="s">
        <v>485</v>
      </c>
      <c r="F147" s="176">
        <v>46172.0</v>
      </c>
      <c r="G147" s="6" t="s">
        <v>357</v>
      </c>
      <c r="H147" s="6" t="s">
        <v>358</v>
      </c>
      <c r="I147" s="104" t="b">
        <v>0</v>
      </c>
      <c r="J147" s="6" t="s">
        <v>2996</v>
      </c>
      <c r="K147" s="6" t="s">
        <v>382</v>
      </c>
      <c r="L147" s="6" t="s">
        <v>358</v>
      </c>
      <c r="M147" s="9" t="s">
        <v>2997</v>
      </c>
      <c r="N147" s="4"/>
      <c r="O147" s="4"/>
      <c r="P147" s="4"/>
      <c r="Q147" s="4"/>
      <c r="R147" s="4"/>
      <c r="S147" s="4"/>
      <c r="T147" s="4"/>
    </row>
    <row r="148">
      <c r="A148" s="30" t="s">
        <v>22</v>
      </c>
      <c r="B148" s="9" t="s">
        <v>2998</v>
      </c>
      <c r="C148" s="13">
        <v>6.382727776E9</v>
      </c>
      <c r="D148" s="6"/>
      <c r="E148" s="9" t="s">
        <v>409</v>
      </c>
      <c r="F148" s="176">
        <v>46172.0</v>
      </c>
      <c r="G148" s="6" t="s">
        <v>357</v>
      </c>
      <c r="H148" s="6" t="s">
        <v>358</v>
      </c>
      <c r="I148" s="104" t="b">
        <v>0</v>
      </c>
      <c r="J148" s="6" t="s">
        <v>2999</v>
      </c>
      <c r="K148" s="53"/>
      <c r="L148" s="53"/>
      <c r="M148" s="4"/>
      <c r="N148" s="4"/>
      <c r="O148" s="4"/>
      <c r="P148" s="4"/>
      <c r="Q148" s="4"/>
      <c r="R148" s="4"/>
      <c r="S148" s="4"/>
      <c r="T148" s="4"/>
    </row>
    <row r="149">
      <c r="A149" s="30" t="s">
        <v>22</v>
      </c>
      <c r="B149" s="9" t="s">
        <v>3000</v>
      </c>
      <c r="C149" s="13">
        <v>9.99439292E9</v>
      </c>
      <c r="D149" s="6" t="s">
        <v>169</v>
      </c>
      <c r="E149" s="9" t="s">
        <v>3001</v>
      </c>
      <c r="F149" s="176">
        <v>46172.0</v>
      </c>
      <c r="G149" s="6" t="s">
        <v>357</v>
      </c>
      <c r="H149" s="6" t="s">
        <v>358</v>
      </c>
      <c r="I149" s="104" t="b">
        <v>0</v>
      </c>
      <c r="J149" s="6" t="s">
        <v>3002</v>
      </c>
      <c r="K149" s="53"/>
      <c r="L149" s="53"/>
      <c r="M149" s="4"/>
      <c r="N149" s="4"/>
      <c r="O149" s="4"/>
      <c r="P149" s="4"/>
      <c r="Q149" s="4"/>
      <c r="R149" s="4"/>
      <c r="S149" s="4"/>
      <c r="T149" s="4"/>
    </row>
    <row r="150">
      <c r="A150" s="30" t="s">
        <v>22</v>
      </c>
      <c r="B150" s="9" t="s">
        <v>3003</v>
      </c>
      <c r="C150" s="13">
        <v>8.870541455E9</v>
      </c>
      <c r="D150" s="6" t="s">
        <v>38</v>
      </c>
      <c r="E150" s="9" t="s">
        <v>409</v>
      </c>
      <c r="F150" s="176">
        <v>46171.0</v>
      </c>
      <c r="G150" s="6" t="s">
        <v>431</v>
      </c>
      <c r="H150" s="6" t="s">
        <v>432</v>
      </c>
      <c r="I150" s="57" t="b">
        <v>1</v>
      </c>
      <c r="J150" s="6" t="s">
        <v>3004</v>
      </c>
      <c r="K150" s="6" t="s">
        <v>431</v>
      </c>
      <c r="L150" s="6" t="s">
        <v>432</v>
      </c>
      <c r="M150" s="9" t="s">
        <v>3005</v>
      </c>
      <c r="N150" s="4"/>
      <c r="O150" s="4"/>
      <c r="P150" s="4"/>
      <c r="Q150" s="4"/>
      <c r="R150" s="4"/>
      <c r="S150" s="4"/>
      <c r="T150" s="4"/>
    </row>
    <row r="151">
      <c r="A151" s="30" t="s">
        <v>22</v>
      </c>
      <c r="B151" s="9" t="s">
        <v>3006</v>
      </c>
      <c r="C151" s="13">
        <v>9.941775175E9</v>
      </c>
      <c r="D151" s="6" t="s">
        <v>69</v>
      </c>
      <c r="E151" s="9" t="s">
        <v>399</v>
      </c>
      <c r="F151" s="176">
        <v>46171.0</v>
      </c>
      <c r="G151" s="6" t="s">
        <v>431</v>
      </c>
      <c r="H151" s="6" t="s">
        <v>432</v>
      </c>
      <c r="I151" s="57" t="b">
        <v>1</v>
      </c>
      <c r="J151" s="6" t="s">
        <v>3007</v>
      </c>
      <c r="K151" s="6" t="s">
        <v>431</v>
      </c>
      <c r="L151" s="6" t="s">
        <v>432</v>
      </c>
      <c r="M151" s="9" t="s">
        <v>3008</v>
      </c>
      <c r="N151" s="4"/>
      <c r="O151" s="4"/>
      <c r="P151" s="4"/>
      <c r="Q151" s="4"/>
      <c r="R151" s="4"/>
      <c r="S151" s="4"/>
      <c r="T151" s="4"/>
    </row>
    <row r="152">
      <c r="A152" s="30" t="s">
        <v>22</v>
      </c>
      <c r="B152" s="9" t="s">
        <v>3009</v>
      </c>
      <c r="C152" s="13">
        <v>8.015620253E9</v>
      </c>
      <c r="D152" s="6"/>
      <c r="E152" s="13" t="s">
        <v>1327</v>
      </c>
      <c r="F152" s="176">
        <v>46172.0</v>
      </c>
      <c r="G152" s="6" t="s">
        <v>357</v>
      </c>
      <c r="H152" s="6" t="s">
        <v>358</v>
      </c>
      <c r="I152" s="104" t="b">
        <v>0</v>
      </c>
      <c r="J152" s="6" t="s">
        <v>3010</v>
      </c>
      <c r="K152" s="53"/>
      <c r="L152" s="53"/>
      <c r="M152" s="4"/>
      <c r="N152" s="4"/>
      <c r="O152" s="4"/>
      <c r="P152" s="4"/>
      <c r="Q152" s="4"/>
      <c r="R152" s="4"/>
      <c r="S152" s="4"/>
      <c r="T152" s="4"/>
    </row>
    <row r="153">
      <c r="A153" s="30" t="s">
        <v>22</v>
      </c>
      <c r="B153" s="9" t="s">
        <v>3011</v>
      </c>
      <c r="C153" s="13">
        <v>9.361406822E9</v>
      </c>
      <c r="D153" s="6" t="s">
        <v>38</v>
      </c>
      <c r="E153" s="9" t="s">
        <v>3012</v>
      </c>
      <c r="F153" s="176">
        <v>46172.0</v>
      </c>
      <c r="G153" s="6" t="s">
        <v>431</v>
      </c>
      <c r="H153" s="6" t="s">
        <v>432</v>
      </c>
      <c r="I153" s="104" t="b">
        <v>0</v>
      </c>
      <c r="J153" s="7" t="s">
        <v>3013</v>
      </c>
      <c r="K153" s="53"/>
      <c r="L153" s="53"/>
      <c r="M153" s="4"/>
      <c r="N153" s="4"/>
      <c r="O153" s="4"/>
      <c r="P153" s="4"/>
      <c r="Q153" s="4"/>
      <c r="R153" s="4"/>
      <c r="S153" s="4"/>
      <c r="T153" s="4"/>
    </row>
    <row r="154">
      <c r="A154" s="30" t="s">
        <v>22</v>
      </c>
      <c r="B154" s="9" t="s">
        <v>3014</v>
      </c>
      <c r="C154" s="13">
        <v>9.080511288E9</v>
      </c>
      <c r="D154" s="6" t="s">
        <v>108</v>
      </c>
      <c r="E154" s="9" t="s">
        <v>465</v>
      </c>
      <c r="F154" s="176">
        <v>46169.0</v>
      </c>
      <c r="G154" s="6" t="s">
        <v>357</v>
      </c>
      <c r="H154" s="6" t="s">
        <v>358</v>
      </c>
      <c r="I154" s="104" t="b">
        <v>0</v>
      </c>
      <c r="J154" s="6" t="s">
        <v>3015</v>
      </c>
      <c r="K154" s="53"/>
      <c r="L154" s="53"/>
      <c r="M154" s="4"/>
      <c r="N154" s="4"/>
      <c r="O154" s="4"/>
      <c r="P154" s="4"/>
      <c r="Q154" s="4"/>
      <c r="R154" s="4"/>
      <c r="S154" s="4"/>
      <c r="T154" s="4"/>
    </row>
    <row r="155">
      <c r="A155" s="30" t="s">
        <v>22</v>
      </c>
      <c r="B155" s="9" t="s">
        <v>3016</v>
      </c>
      <c r="C155" s="13">
        <v>9.360190153E9</v>
      </c>
      <c r="D155" s="6" t="s">
        <v>38</v>
      </c>
      <c r="E155" s="9" t="s">
        <v>409</v>
      </c>
      <c r="F155" s="176">
        <v>46171.0</v>
      </c>
      <c r="G155" s="6" t="s">
        <v>431</v>
      </c>
      <c r="H155" s="6" t="s">
        <v>432</v>
      </c>
      <c r="I155" s="57" t="b">
        <v>1</v>
      </c>
      <c r="J155" s="6" t="s">
        <v>3017</v>
      </c>
      <c r="K155" s="6" t="s">
        <v>431</v>
      </c>
      <c r="L155" s="6" t="s">
        <v>432</v>
      </c>
      <c r="M155" s="9" t="s">
        <v>3018</v>
      </c>
      <c r="N155" s="4"/>
      <c r="O155" s="4"/>
      <c r="P155" s="4"/>
      <c r="Q155" s="4"/>
      <c r="R155" s="4"/>
      <c r="S155" s="4"/>
      <c r="T155" s="4"/>
    </row>
    <row r="156">
      <c r="A156" s="30" t="s">
        <v>22</v>
      </c>
      <c r="B156" s="9" t="s">
        <v>3019</v>
      </c>
      <c r="C156" s="13">
        <v>9.787473477E9</v>
      </c>
      <c r="D156" s="6" t="s">
        <v>38</v>
      </c>
      <c r="E156" s="9" t="s">
        <v>409</v>
      </c>
      <c r="F156" s="176">
        <v>46172.0</v>
      </c>
      <c r="G156" s="6" t="s">
        <v>431</v>
      </c>
      <c r="H156" s="6" t="s">
        <v>432</v>
      </c>
      <c r="I156" s="57" t="b">
        <v>1</v>
      </c>
      <c r="J156" s="6" t="s">
        <v>3020</v>
      </c>
      <c r="K156" s="53"/>
      <c r="L156" s="53"/>
      <c r="M156" s="4"/>
      <c r="N156" s="4"/>
      <c r="O156" s="4"/>
      <c r="P156" s="4"/>
      <c r="Q156" s="4"/>
      <c r="R156" s="4"/>
      <c r="S156" s="4"/>
      <c r="T156" s="4"/>
    </row>
    <row r="157">
      <c r="A157" s="30" t="s">
        <v>22</v>
      </c>
      <c r="B157" s="9" t="s">
        <v>3021</v>
      </c>
      <c r="C157" s="13">
        <v>7.305397633E9</v>
      </c>
      <c r="D157" s="6" t="s">
        <v>38</v>
      </c>
      <c r="E157" s="9" t="s">
        <v>409</v>
      </c>
      <c r="F157" s="176">
        <v>46171.0</v>
      </c>
      <c r="G157" s="6" t="s">
        <v>431</v>
      </c>
      <c r="H157" s="6" t="s">
        <v>432</v>
      </c>
      <c r="I157" s="57" t="b">
        <v>1</v>
      </c>
      <c r="J157" s="6" t="s">
        <v>3022</v>
      </c>
      <c r="K157" s="6" t="s">
        <v>361</v>
      </c>
      <c r="L157" s="6" t="s">
        <v>362</v>
      </c>
      <c r="M157" s="13" t="s">
        <v>2950</v>
      </c>
      <c r="N157" s="4"/>
      <c r="O157" s="4"/>
      <c r="P157" s="4"/>
      <c r="Q157" s="4"/>
      <c r="R157" s="4"/>
      <c r="S157" s="4"/>
      <c r="T157" s="4"/>
    </row>
    <row r="158">
      <c r="A158" s="30" t="s">
        <v>22</v>
      </c>
      <c r="B158" s="9" t="s">
        <v>3023</v>
      </c>
      <c r="C158" s="13">
        <v>7.010854206E9</v>
      </c>
      <c r="D158" s="6" t="s">
        <v>38</v>
      </c>
      <c r="E158" s="9" t="s">
        <v>3024</v>
      </c>
      <c r="F158" s="176">
        <v>46171.0</v>
      </c>
      <c r="G158" s="6" t="s">
        <v>431</v>
      </c>
      <c r="H158" s="6" t="s">
        <v>432</v>
      </c>
      <c r="I158" s="57" t="b">
        <v>1</v>
      </c>
      <c r="J158" s="6" t="s">
        <v>3025</v>
      </c>
      <c r="K158" s="6" t="s">
        <v>361</v>
      </c>
      <c r="L158" s="6" t="s">
        <v>362</v>
      </c>
      <c r="M158" s="13" t="s">
        <v>2950</v>
      </c>
      <c r="N158" s="4"/>
      <c r="O158" s="4"/>
      <c r="P158" s="4"/>
      <c r="Q158" s="4"/>
      <c r="R158" s="4"/>
      <c r="S158" s="4"/>
      <c r="T158" s="4"/>
    </row>
    <row r="159">
      <c r="A159" s="30" t="s">
        <v>22</v>
      </c>
      <c r="B159" s="9" t="s">
        <v>3026</v>
      </c>
      <c r="C159" s="13">
        <v>9.344507808E9</v>
      </c>
      <c r="D159" s="6" t="s">
        <v>1924</v>
      </c>
      <c r="E159" s="9" t="s">
        <v>409</v>
      </c>
      <c r="F159" s="176">
        <v>46171.0</v>
      </c>
      <c r="G159" s="6" t="s">
        <v>357</v>
      </c>
      <c r="H159" s="6" t="s">
        <v>358</v>
      </c>
      <c r="I159" s="54" t="b">
        <v>1</v>
      </c>
      <c r="J159" s="6" t="s">
        <v>3027</v>
      </c>
      <c r="K159" s="6" t="s">
        <v>357</v>
      </c>
      <c r="L159" s="6" t="s">
        <v>358</v>
      </c>
      <c r="M159" s="9" t="s">
        <v>3028</v>
      </c>
      <c r="N159" s="4"/>
      <c r="O159" s="4"/>
      <c r="P159" s="4"/>
      <c r="Q159" s="4"/>
      <c r="R159" s="4"/>
      <c r="S159" s="4"/>
      <c r="T159" s="4"/>
    </row>
    <row r="160">
      <c r="A160" s="30" t="s">
        <v>22</v>
      </c>
      <c r="B160" s="9" t="s">
        <v>3029</v>
      </c>
      <c r="C160" s="13">
        <v>9.363873665E9</v>
      </c>
      <c r="D160" s="6" t="s">
        <v>38</v>
      </c>
      <c r="E160" s="9" t="s">
        <v>409</v>
      </c>
      <c r="F160" s="176">
        <v>46171.0</v>
      </c>
      <c r="G160" s="6" t="s">
        <v>357</v>
      </c>
      <c r="H160" s="6" t="s">
        <v>358</v>
      </c>
      <c r="I160" s="54" t="b">
        <v>1</v>
      </c>
      <c r="J160" s="6" t="s">
        <v>3030</v>
      </c>
      <c r="K160" s="6" t="s">
        <v>684</v>
      </c>
      <c r="L160" s="6" t="s">
        <v>358</v>
      </c>
      <c r="M160" s="9" t="s">
        <v>3031</v>
      </c>
      <c r="N160" s="4"/>
      <c r="O160" s="4"/>
      <c r="P160" s="4"/>
      <c r="Q160" s="4"/>
      <c r="R160" s="4"/>
      <c r="S160" s="4"/>
      <c r="T160" s="4"/>
    </row>
    <row r="161">
      <c r="A161" s="30" t="s">
        <v>22</v>
      </c>
      <c r="B161" s="9" t="s">
        <v>3032</v>
      </c>
      <c r="C161" s="13">
        <v>8.77880938E9</v>
      </c>
      <c r="D161" s="6"/>
      <c r="E161" s="9" t="s">
        <v>1064</v>
      </c>
      <c r="F161" s="176">
        <v>46172.0</v>
      </c>
      <c r="G161" s="6" t="s">
        <v>1055</v>
      </c>
      <c r="H161" s="6" t="s">
        <v>362</v>
      </c>
      <c r="I161" s="104" t="b">
        <v>0</v>
      </c>
      <c r="J161" s="6" t="s">
        <v>3033</v>
      </c>
      <c r="K161" s="53"/>
      <c r="L161" s="53"/>
      <c r="M161" s="4"/>
      <c r="N161" s="4"/>
      <c r="O161" s="4"/>
      <c r="P161" s="4"/>
      <c r="Q161" s="4"/>
      <c r="R161" s="4"/>
      <c r="S161" s="4"/>
      <c r="T161" s="4"/>
    </row>
    <row r="162">
      <c r="A162" s="30" t="s">
        <v>22</v>
      </c>
      <c r="B162" s="9" t="s">
        <v>3034</v>
      </c>
      <c r="C162" s="13">
        <v>8.220483417E9</v>
      </c>
      <c r="D162" s="6" t="s">
        <v>103</v>
      </c>
      <c r="E162" s="9" t="s">
        <v>3035</v>
      </c>
      <c r="F162" s="176">
        <v>46171.0</v>
      </c>
      <c r="G162" s="6" t="s">
        <v>431</v>
      </c>
      <c r="H162" s="6" t="s">
        <v>432</v>
      </c>
      <c r="I162" s="57" t="b">
        <v>1</v>
      </c>
      <c r="J162" s="6" t="s">
        <v>3036</v>
      </c>
      <c r="K162" s="6" t="s">
        <v>2770</v>
      </c>
      <c r="L162" s="6" t="s">
        <v>362</v>
      </c>
      <c r="M162" s="9" t="s">
        <v>3037</v>
      </c>
      <c r="N162" s="4"/>
      <c r="O162" s="4"/>
      <c r="P162" s="4"/>
      <c r="Q162" s="4"/>
      <c r="R162" s="4"/>
      <c r="S162" s="4"/>
      <c r="T162" s="4"/>
    </row>
    <row r="163">
      <c r="A163" s="30" t="s">
        <v>22</v>
      </c>
      <c r="B163" s="9" t="s">
        <v>3038</v>
      </c>
      <c r="C163" s="13">
        <v>8.489827508E9</v>
      </c>
      <c r="D163" s="6" t="s">
        <v>38</v>
      </c>
      <c r="E163" s="158" t="s">
        <v>465</v>
      </c>
      <c r="F163" s="176">
        <v>46171.0</v>
      </c>
      <c r="G163" s="6" t="s">
        <v>431</v>
      </c>
      <c r="H163" s="6" t="s">
        <v>432</v>
      </c>
      <c r="I163" s="57" t="b">
        <v>1</v>
      </c>
      <c r="J163" s="9" t="s">
        <v>3039</v>
      </c>
      <c r="K163" s="6" t="s">
        <v>431</v>
      </c>
      <c r="L163" s="6" t="s">
        <v>432</v>
      </c>
      <c r="M163" s="9" t="s">
        <v>3040</v>
      </c>
      <c r="N163" s="4"/>
      <c r="O163" s="4"/>
      <c r="P163" s="4"/>
      <c r="Q163" s="4"/>
      <c r="R163" s="4"/>
      <c r="S163" s="4"/>
      <c r="T163" s="4"/>
    </row>
    <row r="164">
      <c r="A164" s="30" t="s">
        <v>22</v>
      </c>
      <c r="B164" s="9" t="s">
        <v>3041</v>
      </c>
      <c r="C164" s="13">
        <v>6.380479365E9</v>
      </c>
      <c r="D164" s="6" t="s">
        <v>38</v>
      </c>
      <c r="E164" s="9" t="s">
        <v>542</v>
      </c>
      <c r="F164" s="176">
        <v>46170.0</v>
      </c>
      <c r="G164" s="6" t="s">
        <v>431</v>
      </c>
      <c r="H164" s="6" t="s">
        <v>432</v>
      </c>
      <c r="I164" s="57" t="b">
        <v>1</v>
      </c>
      <c r="J164" s="6" t="s">
        <v>3042</v>
      </c>
      <c r="K164" s="53"/>
      <c r="L164" s="53"/>
      <c r="M164" s="4"/>
      <c r="N164" s="4"/>
      <c r="O164" s="4"/>
      <c r="P164" s="4"/>
      <c r="Q164" s="4"/>
      <c r="R164" s="4"/>
      <c r="S164" s="4"/>
      <c r="T164" s="4"/>
    </row>
    <row r="165">
      <c r="A165" s="30" t="s">
        <v>22</v>
      </c>
      <c r="B165" s="9" t="s">
        <v>3043</v>
      </c>
      <c r="C165" s="13">
        <v>9.389622638E9</v>
      </c>
      <c r="D165" s="6" t="s">
        <v>38</v>
      </c>
      <c r="E165" s="9" t="s">
        <v>2978</v>
      </c>
      <c r="F165" s="176">
        <v>46170.0</v>
      </c>
      <c r="G165" s="6" t="s">
        <v>431</v>
      </c>
      <c r="H165" s="6" t="s">
        <v>432</v>
      </c>
      <c r="I165" s="57" t="b">
        <v>1</v>
      </c>
      <c r="J165" s="6" t="s">
        <v>3044</v>
      </c>
      <c r="K165" s="53"/>
      <c r="L165" s="53"/>
      <c r="M165" s="4"/>
      <c r="N165" s="4"/>
      <c r="O165" s="4"/>
      <c r="P165" s="4"/>
      <c r="Q165" s="4"/>
      <c r="R165" s="4"/>
      <c r="S165" s="4"/>
      <c r="T165" s="4"/>
    </row>
    <row r="166">
      <c r="A166" s="30" t="s">
        <v>22</v>
      </c>
      <c r="B166" s="9" t="s">
        <v>3045</v>
      </c>
      <c r="C166" s="13">
        <v>8.072537012E9</v>
      </c>
      <c r="D166" s="6"/>
      <c r="E166" s="9" t="s">
        <v>1069</v>
      </c>
      <c r="F166" s="176">
        <v>46172.0</v>
      </c>
      <c r="G166" s="6" t="s">
        <v>357</v>
      </c>
      <c r="H166" s="6" t="s">
        <v>358</v>
      </c>
      <c r="I166" s="104" t="b">
        <v>0</v>
      </c>
      <c r="J166" s="6" t="s">
        <v>3046</v>
      </c>
      <c r="K166" s="53"/>
      <c r="L166" s="53"/>
      <c r="M166" s="4"/>
      <c r="N166" s="4"/>
      <c r="O166" s="4"/>
      <c r="P166" s="4"/>
      <c r="Q166" s="4"/>
      <c r="R166" s="4"/>
      <c r="S166" s="4"/>
      <c r="T166" s="4"/>
    </row>
    <row r="167">
      <c r="A167" s="30" t="s">
        <v>22</v>
      </c>
      <c r="B167" s="9" t="s">
        <v>3047</v>
      </c>
      <c r="C167" s="13">
        <v>9.952424438E9</v>
      </c>
      <c r="D167" s="6" t="s">
        <v>26</v>
      </c>
      <c r="E167" s="9" t="s">
        <v>3048</v>
      </c>
      <c r="F167" s="176">
        <v>46170.0</v>
      </c>
      <c r="G167" s="6" t="s">
        <v>431</v>
      </c>
      <c r="H167" s="6" t="s">
        <v>432</v>
      </c>
      <c r="I167" s="57" t="b">
        <v>1</v>
      </c>
      <c r="J167" s="6" t="s">
        <v>3049</v>
      </c>
      <c r="K167" s="53"/>
      <c r="L167" s="53"/>
      <c r="M167" s="4"/>
      <c r="N167" s="4"/>
      <c r="O167" s="4"/>
      <c r="P167" s="4"/>
      <c r="Q167" s="4"/>
      <c r="R167" s="4"/>
      <c r="S167" s="4"/>
      <c r="T167" s="4"/>
    </row>
    <row r="168">
      <c r="A168" s="30" t="s">
        <v>22</v>
      </c>
      <c r="B168" s="9" t="s">
        <v>3050</v>
      </c>
      <c r="C168" s="13">
        <v>7.539971452E9</v>
      </c>
      <c r="D168" s="6"/>
      <c r="E168" s="9" t="s">
        <v>409</v>
      </c>
      <c r="F168" s="176">
        <v>46172.0</v>
      </c>
      <c r="G168" s="6" t="s">
        <v>361</v>
      </c>
      <c r="H168" s="6" t="s">
        <v>362</v>
      </c>
      <c r="I168" s="104" t="b">
        <v>0</v>
      </c>
      <c r="J168" s="6" t="s">
        <v>3051</v>
      </c>
      <c r="K168" s="53"/>
      <c r="L168" s="53"/>
      <c r="M168" s="4"/>
      <c r="N168" s="4"/>
      <c r="O168" s="4"/>
      <c r="P168" s="4"/>
      <c r="Q168" s="4"/>
      <c r="R168" s="4"/>
      <c r="S168" s="4"/>
      <c r="T168" s="4"/>
    </row>
    <row r="169">
      <c r="A169" s="30" t="s">
        <v>22</v>
      </c>
      <c r="B169" s="9" t="s">
        <v>3052</v>
      </c>
      <c r="C169" s="13">
        <v>9.597018169E9</v>
      </c>
      <c r="D169" s="6" t="s">
        <v>38</v>
      </c>
      <c r="E169" s="9" t="s">
        <v>704</v>
      </c>
      <c r="F169" s="176">
        <v>46170.0</v>
      </c>
      <c r="G169" s="6" t="s">
        <v>431</v>
      </c>
      <c r="H169" s="6" t="s">
        <v>432</v>
      </c>
      <c r="I169" s="57" t="b">
        <v>1</v>
      </c>
      <c r="J169" s="6" t="s">
        <v>3053</v>
      </c>
      <c r="K169" s="53"/>
      <c r="L169" s="53"/>
      <c r="M169" s="4"/>
      <c r="N169" s="4"/>
      <c r="O169" s="4"/>
      <c r="P169" s="4"/>
      <c r="Q169" s="4"/>
      <c r="R169" s="4"/>
      <c r="S169" s="4"/>
      <c r="T169" s="4"/>
    </row>
    <row r="170">
      <c r="A170" s="30" t="s">
        <v>22</v>
      </c>
      <c r="B170" s="9" t="s">
        <v>3054</v>
      </c>
      <c r="C170" s="13">
        <v>8.438983606E9</v>
      </c>
      <c r="D170" s="6" t="s">
        <v>1924</v>
      </c>
      <c r="E170" s="9" t="s">
        <v>3055</v>
      </c>
      <c r="F170" s="176">
        <v>46170.0</v>
      </c>
      <c r="G170" s="6" t="s">
        <v>357</v>
      </c>
      <c r="H170" s="6" t="s">
        <v>358</v>
      </c>
      <c r="I170" s="104" t="b">
        <v>0</v>
      </c>
      <c r="J170" s="6" t="s">
        <v>3056</v>
      </c>
      <c r="K170" s="53"/>
      <c r="L170" s="53"/>
      <c r="M170" s="4"/>
      <c r="N170" s="4"/>
      <c r="O170" s="4"/>
      <c r="P170" s="4"/>
      <c r="Q170" s="4"/>
      <c r="R170" s="4"/>
      <c r="S170" s="4"/>
      <c r="T170" s="4"/>
    </row>
    <row r="171">
      <c r="A171" s="30" t="s">
        <v>22</v>
      </c>
      <c r="B171" s="9" t="s">
        <v>3057</v>
      </c>
      <c r="C171" s="13">
        <v>7.904543015E9</v>
      </c>
      <c r="D171" s="6" t="s">
        <v>38</v>
      </c>
      <c r="E171" s="9" t="s">
        <v>465</v>
      </c>
      <c r="F171" s="176">
        <v>46171.0</v>
      </c>
      <c r="G171" s="6" t="s">
        <v>431</v>
      </c>
      <c r="H171" s="6" t="s">
        <v>432</v>
      </c>
      <c r="I171" s="57" t="b">
        <v>1</v>
      </c>
      <c r="J171" s="6" t="s">
        <v>3058</v>
      </c>
      <c r="K171" s="53"/>
      <c r="L171" s="53"/>
      <c r="M171" s="4"/>
      <c r="N171" s="4"/>
      <c r="O171" s="4"/>
      <c r="P171" s="4"/>
      <c r="Q171" s="4"/>
      <c r="R171" s="4"/>
      <c r="S171" s="4"/>
      <c r="T171" s="4"/>
    </row>
    <row r="172">
      <c r="A172" s="30" t="s">
        <v>22</v>
      </c>
      <c r="B172" s="9" t="s">
        <v>3059</v>
      </c>
      <c r="C172" s="13">
        <v>9.597264559E9</v>
      </c>
      <c r="D172" s="6" t="s">
        <v>38</v>
      </c>
      <c r="E172" s="9" t="s">
        <v>485</v>
      </c>
      <c r="F172" s="176">
        <v>46172.0</v>
      </c>
      <c r="G172" s="6" t="s">
        <v>431</v>
      </c>
      <c r="H172" s="6" t="s">
        <v>432</v>
      </c>
      <c r="I172" s="57" t="b">
        <v>1</v>
      </c>
      <c r="J172" s="6" t="s">
        <v>3060</v>
      </c>
      <c r="K172" s="53"/>
      <c r="L172" s="53"/>
      <c r="M172" s="4"/>
      <c r="N172" s="4"/>
      <c r="O172" s="4"/>
      <c r="P172" s="4"/>
      <c r="Q172" s="4"/>
      <c r="R172" s="4"/>
      <c r="S172" s="4"/>
      <c r="T172" s="4"/>
    </row>
    <row r="173">
      <c r="A173" s="30" t="s">
        <v>22</v>
      </c>
      <c r="B173" s="9" t="s">
        <v>3061</v>
      </c>
      <c r="C173" s="13">
        <v>8.637655504E9</v>
      </c>
      <c r="D173" s="6" t="s">
        <v>38</v>
      </c>
      <c r="E173" s="9" t="s">
        <v>3062</v>
      </c>
      <c r="F173" s="176">
        <v>46171.0</v>
      </c>
      <c r="G173" s="6" t="s">
        <v>431</v>
      </c>
      <c r="H173" s="6" t="s">
        <v>432</v>
      </c>
      <c r="I173" s="57" t="b">
        <v>1</v>
      </c>
      <c r="J173" s="6" t="s">
        <v>3063</v>
      </c>
      <c r="K173" s="53"/>
      <c r="L173" s="53"/>
      <c r="M173" s="4"/>
      <c r="N173" s="4"/>
      <c r="O173" s="4"/>
      <c r="P173" s="4"/>
      <c r="Q173" s="4"/>
      <c r="R173" s="4"/>
      <c r="S173" s="4"/>
      <c r="T173" s="4"/>
    </row>
    <row r="174">
      <c r="A174" s="30" t="s">
        <v>22</v>
      </c>
      <c r="B174" s="9" t="s">
        <v>3064</v>
      </c>
      <c r="C174" s="13">
        <v>7.010323632E9</v>
      </c>
      <c r="D174" s="6"/>
      <c r="E174" s="9" t="s">
        <v>3065</v>
      </c>
      <c r="F174" s="176">
        <v>46172.0</v>
      </c>
      <c r="G174" s="6" t="s">
        <v>361</v>
      </c>
      <c r="H174" s="6" t="s">
        <v>362</v>
      </c>
      <c r="I174" s="104" t="b">
        <v>0</v>
      </c>
      <c r="J174" s="6" t="s">
        <v>3066</v>
      </c>
      <c r="K174" s="53"/>
      <c r="L174" s="53"/>
      <c r="M174" s="4"/>
      <c r="N174" s="4"/>
      <c r="O174" s="4"/>
      <c r="P174" s="4"/>
      <c r="Q174" s="4"/>
      <c r="R174" s="4"/>
      <c r="S174" s="4"/>
      <c r="T174" s="4"/>
    </row>
    <row r="175">
      <c r="A175" s="30" t="s">
        <v>22</v>
      </c>
      <c r="B175" s="9" t="s">
        <v>3067</v>
      </c>
      <c r="C175" s="13">
        <v>8.428690881E9</v>
      </c>
      <c r="D175" s="6"/>
      <c r="E175" s="9" t="s">
        <v>654</v>
      </c>
      <c r="F175" s="176">
        <v>46172.0</v>
      </c>
      <c r="G175" s="6" t="s">
        <v>361</v>
      </c>
      <c r="H175" s="6" t="s">
        <v>362</v>
      </c>
      <c r="I175" s="104" t="b">
        <v>0</v>
      </c>
      <c r="J175" s="6" t="s">
        <v>3068</v>
      </c>
      <c r="K175" s="53"/>
      <c r="L175" s="53"/>
      <c r="M175" s="4"/>
      <c r="N175" s="4"/>
      <c r="O175" s="4"/>
      <c r="P175" s="4"/>
      <c r="Q175" s="4"/>
      <c r="R175" s="4"/>
      <c r="S175" s="4"/>
      <c r="T175" s="4"/>
    </row>
    <row r="176">
      <c r="A176" s="30" t="s">
        <v>22</v>
      </c>
      <c r="B176" s="9" t="s">
        <v>3069</v>
      </c>
      <c r="C176" s="13">
        <v>9.840896247E9</v>
      </c>
      <c r="D176" s="6"/>
      <c r="E176" s="9" t="s">
        <v>704</v>
      </c>
      <c r="F176" s="176">
        <v>46172.0</v>
      </c>
      <c r="G176" s="6" t="s">
        <v>1055</v>
      </c>
      <c r="H176" s="6" t="s">
        <v>362</v>
      </c>
      <c r="I176" s="104" t="b">
        <v>0</v>
      </c>
      <c r="J176" s="6" t="s">
        <v>3070</v>
      </c>
      <c r="K176" s="53"/>
      <c r="L176" s="53"/>
      <c r="M176" s="4"/>
      <c r="N176" s="4"/>
      <c r="O176" s="4"/>
      <c r="P176" s="4"/>
      <c r="Q176" s="4"/>
      <c r="R176" s="4"/>
      <c r="S176" s="4"/>
      <c r="T176" s="4"/>
    </row>
    <row r="177">
      <c r="A177" s="30" t="s">
        <v>22</v>
      </c>
      <c r="B177" s="9" t="s">
        <v>3071</v>
      </c>
      <c r="C177" s="13">
        <v>6.380237273E9</v>
      </c>
      <c r="D177" s="6" t="s">
        <v>38</v>
      </c>
      <c r="E177" s="9" t="s">
        <v>3024</v>
      </c>
      <c r="F177" s="176">
        <v>46171.0</v>
      </c>
      <c r="G177" s="6" t="s">
        <v>431</v>
      </c>
      <c r="H177" s="6" t="s">
        <v>432</v>
      </c>
      <c r="I177" s="57" t="b">
        <v>1</v>
      </c>
      <c r="J177" s="6" t="s">
        <v>3072</v>
      </c>
      <c r="K177" s="53"/>
      <c r="L177" s="53"/>
      <c r="M177" s="4"/>
      <c r="N177" s="4"/>
      <c r="O177" s="4"/>
      <c r="P177" s="4"/>
      <c r="Q177" s="4"/>
      <c r="R177" s="4"/>
      <c r="S177" s="4"/>
      <c r="T177" s="4"/>
    </row>
    <row r="178">
      <c r="A178" s="30" t="s">
        <v>22</v>
      </c>
      <c r="B178" s="9" t="s">
        <v>3073</v>
      </c>
      <c r="C178" s="13">
        <v>7.639351523E9</v>
      </c>
      <c r="D178" s="6" t="s">
        <v>1924</v>
      </c>
      <c r="E178" s="9" t="s">
        <v>414</v>
      </c>
      <c r="F178" s="176">
        <v>46171.0</v>
      </c>
      <c r="G178" s="6" t="s">
        <v>357</v>
      </c>
      <c r="H178" s="6" t="s">
        <v>358</v>
      </c>
      <c r="I178" s="104" t="b">
        <v>0</v>
      </c>
      <c r="J178" s="6" t="s">
        <v>3074</v>
      </c>
      <c r="K178" s="53"/>
      <c r="L178" s="53"/>
      <c r="M178" s="4"/>
      <c r="N178" s="4"/>
      <c r="O178" s="4"/>
      <c r="P178" s="4"/>
      <c r="Q178" s="4"/>
      <c r="R178" s="4"/>
      <c r="S178" s="4"/>
      <c r="T178" s="4"/>
    </row>
    <row r="179">
      <c r="A179" s="30" t="s">
        <v>22</v>
      </c>
      <c r="B179" s="9" t="s">
        <v>3075</v>
      </c>
      <c r="C179" s="13">
        <v>7.845878106E9</v>
      </c>
      <c r="D179" s="6" t="s">
        <v>38</v>
      </c>
      <c r="E179" s="9" t="s">
        <v>409</v>
      </c>
      <c r="F179" s="176">
        <v>46174.0</v>
      </c>
      <c r="G179" s="6" t="s">
        <v>431</v>
      </c>
      <c r="H179" s="6" t="s">
        <v>432</v>
      </c>
      <c r="I179" s="57" t="b">
        <v>1</v>
      </c>
      <c r="J179" s="6" t="s">
        <v>3076</v>
      </c>
      <c r="K179" s="6" t="s">
        <v>361</v>
      </c>
      <c r="L179" s="6" t="s">
        <v>362</v>
      </c>
      <c r="M179" s="13" t="s">
        <v>3077</v>
      </c>
      <c r="N179" s="4"/>
      <c r="O179" s="4"/>
      <c r="P179" s="4"/>
      <c r="Q179" s="4"/>
      <c r="R179" s="4"/>
      <c r="S179" s="4"/>
      <c r="T179" s="4"/>
    </row>
    <row r="180">
      <c r="A180" s="30" t="s">
        <v>22</v>
      </c>
      <c r="B180" s="9" t="s">
        <v>3078</v>
      </c>
      <c r="C180" s="13">
        <v>9.994316075E9</v>
      </c>
      <c r="D180" s="6" t="s">
        <v>38</v>
      </c>
      <c r="E180" s="9" t="s">
        <v>1064</v>
      </c>
      <c r="F180" s="176">
        <v>46172.0</v>
      </c>
      <c r="G180" s="6" t="s">
        <v>431</v>
      </c>
      <c r="H180" s="6" t="s">
        <v>432</v>
      </c>
      <c r="I180" s="57" t="b">
        <v>1</v>
      </c>
      <c r="J180" s="6" t="s">
        <v>3079</v>
      </c>
      <c r="K180" s="53"/>
      <c r="L180" s="53"/>
      <c r="M180" s="4"/>
      <c r="N180" s="4"/>
      <c r="O180" s="4"/>
      <c r="P180" s="4"/>
      <c r="Q180" s="4"/>
      <c r="R180" s="4"/>
      <c r="S180" s="4"/>
      <c r="T180" s="4"/>
    </row>
    <row r="181">
      <c r="A181" s="30" t="s">
        <v>22</v>
      </c>
      <c r="B181" s="4"/>
      <c r="C181" s="13">
        <v>8.43840274E9</v>
      </c>
      <c r="D181" s="6"/>
      <c r="E181" s="9" t="s">
        <v>414</v>
      </c>
      <c r="F181" s="176">
        <v>46172.0</v>
      </c>
      <c r="G181" s="6" t="s">
        <v>357</v>
      </c>
      <c r="H181" s="6" t="s">
        <v>358</v>
      </c>
      <c r="I181" s="104" t="b">
        <v>0</v>
      </c>
      <c r="J181" s="6" t="s">
        <v>3080</v>
      </c>
      <c r="K181" s="53"/>
      <c r="L181" s="53"/>
      <c r="M181" s="4"/>
      <c r="N181" s="4"/>
      <c r="O181" s="4"/>
      <c r="P181" s="4"/>
      <c r="Q181" s="4"/>
      <c r="R181" s="4"/>
      <c r="S181" s="4"/>
      <c r="T181" s="4"/>
    </row>
    <row r="182">
      <c r="A182" s="30" t="s">
        <v>22</v>
      </c>
      <c r="B182" s="9" t="s">
        <v>3081</v>
      </c>
      <c r="C182" s="13">
        <v>7.550084887E9</v>
      </c>
      <c r="D182" s="6" t="s">
        <v>26</v>
      </c>
      <c r="E182" s="9" t="s">
        <v>409</v>
      </c>
      <c r="F182" s="176">
        <v>46172.0</v>
      </c>
      <c r="G182" s="6" t="s">
        <v>431</v>
      </c>
      <c r="H182" s="6" t="s">
        <v>432</v>
      </c>
      <c r="I182" s="57" t="b">
        <v>1</v>
      </c>
      <c r="J182" s="6" t="s">
        <v>3082</v>
      </c>
      <c r="K182" s="53"/>
      <c r="L182" s="53"/>
      <c r="M182" s="4"/>
      <c r="N182" s="4"/>
      <c r="O182" s="4"/>
      <c r="P182" s="4"/>
      <c r="Q182" s="4"/>
      <c r="R182" s="4"/>
      <c r="S182" s="4"/>
      <c r="T182" s="4"/>
    </row>
    <row r="183">
      <c r="A183" s="30" t="s">
        <v>22</v>
      </c>
      <c r="B183" s="9" t="s">
        <v>1880</v>
      </c>
      <c r="C183" s="13">
        <v>9.344995036E9</v>
      </c>
      <c r="D183" s="6"/>
      <c r="E183" s="9" t="s">
        <v>3083</v>
      </c>
      <c r="F183" s="176">
        <v>46172.0</v>
      </c>
      <c r="G183" s="6" t="s">
        <v>361</v>
      </c>
      <c r="H183" s="6" t="s">
        <v>362</v>
      </c>
      <c r="I183" s="104" t="b">
        <v>0</v>
      </c>
      <c r="J183" s="6" t="s">
        <v>3084</v>
      </c>
      <c r="K183" s="53"/>
      <c r="L183" s="53"/>
      <c r="M183" s="4"/>
      <c r="N183" s="4"/>
      <c r="O183" s="4"/>
      <c r="P183" s="4"/>
      <c r="Q183" s="4"/>
      <c r="R183" s="4"/>
      <c r="S183" s="4"/>
      <c r="T183" s="4"/>
    </row>
    <row r="184">
      <c r="A184" s="30" t="s">
        <v>22</v>
      </c>
      <c r="B184" s="9" t="s">
        <v>3085</v>
      </c>
      <c r="C184" s="13">
        <v>7.418529827E9</v>
      </c>
      <c r="D184" s="6" t="s">
        <v>38</v>
      </c>
      <c r="E184" s="9" t="s">
        <v>768</v>
      </c>
      <c r="F184" s="176">
        <v>46172.0</v>
      </c>
      <c r="G184" s="6" t="s">
        <v>431</v>
      </c>
      <c r="H184" s="6" t="s">
        <v>432</v>
      </c>
      <c r="I184" s="57" t="b">
        <v>1</v>
      </c>
      <c r="J184" s="6" t="s">
        <v>3086</v>
      </c>
      <c r="K184" s="53"/>
      <c r="L184" s="53"/>
      <c r="M184" s="4"/>
      <c r="N184" s="4"/>
      <c r="O184" s="4"/>
      <c r="P184" s="4"/>
      <c r="Q184" s="4"/>
      <c r="R184" s="4"/>
      <c r="S184" s="4"/>
      <c r="T184" s="4"/>
    </row>
    <row r="185">
      <c r="A185" s="30" t="s">
        <v>22</v>
      </c>
      <c r="B185" s="9" t="s">
        <v>1415</v>
      </c>
      <c r="C185" s="13">
        <v>7.200575246E9</v>
      </c>
      <c r="D185" s="6"/>
      <c r="E185" s="9" t="s">
        <v>409</v>
      </c>
      <c r="F185" s="176">
        <v>46172.0</v>
      </c>
      <c r="G185" s="6" t="s">
        <v>361</v>
      </c>
      <c r="H185" s="6" t="s">
        <v>362</v>
      </c>
      <c r="I185" s="104" t="b">
        <v>0</v>
      </c>
      <c r="J185" s="6" t="s">
        <v>3084</v>
      </c>
      <c r="K185" s="53"/>
      <c r="L185" s="53"/>
      <c r="M185" s="4"/>
      <c r="N185" s="4"/>
      <c r="O185" s="4"/>
      <c r="P185" s="4"/>
      <c r="Q185" s="4"/>
      <c r="R185" s="4"/>
      <c r="S185" s="4"/>
      <c r="T185" s="4"/>
    </row>
    <row r="186">
      <c r="A186" s="30" t="s">
        <v>22</v>
      </c>
      <c r="B186" s="9" t="s">
        <v>377</v>
      </c>
      <c r="C186" s="13">
        <v>8.056117552E9</v>
      </c>
      <c r="D186" s="6" t="s">
        <v>1924</v>
      </c>
      <c r="E186" s="9" t="s">
        <v>409</v>
      </c>
      <c r="F186" s="176">
        <v>46172.0</v>
      </c>
      <c r="G186" s="6" t="s">
        <v>357</v>
      </c>
      <c r="H186" s="6" t="s">
        <v>358</v>
      </c>
      <c r="I186" s="104" t="b">
        <v>0</v>
      </c>
      <c r="J186" s="6" t="s">
        <v>3087</v>
      </c>
      <c r="K186" s="53"/>
      <c r="L186" s="53"/>
      <c r="M186" s="4"/>
      <c r="N186" s="4"/>
      <c r="O186" s="4"/>
      <c r="P186" s="4"/>
      <c r="Q186" s="4"/>
      <c r="R186" s="4"/>
      <c r="S186" s="4"/>
      <c r="T186" s="4"/>
    </row>
    <row r="187">
      <c r="A187" s="30" t="s">
        <v>22</v>
      </c>
      <c r="B187" s="9" t="s">
        <v>3088</v>
      </c>
      <c r="C187" s="13">
        <v>8.015537749E9</v>
      </c>
      <c r="D187" s="6" t="s">
        <v>38</v>
      </c>
      <c r="E187" s="4"/>
      <c r="F187" s="176">
        <v>46172.0</v>
      </c>
      <c r="G187" s="6" t="s">
        <v>431</v>
      </c>
      <c r="H187" s="6" t="s">
        <v>432</v>
      </c>
      <c r="I187" s="57" t="b">
        <v>1</v>
      </c>
      <c r="J187" s="6" t="s">
        <v>3089</v>
      </c>
      <c r="K187" s="53"/>
      <c r="L187" s="53"/>
      <c r="M187" s="4"/>
      <c r="N187" s="4"/>
      <c r="O187" s="4"/>
      <c r="P187" s="4"/>
      <c r="Q187" s="4"/>
      <c r="R187" s="4"/>
      <c r="S187" s="4"/>
      <c r="T187" s="4"/>
    </row>
    <row r="188">
      <c r="A188" s="30" t="s">
        <v>22</v>
      </c>
      <c r="B188" s="9" t="s">
        <v>1888</v>
      </c>
      <c r="C188" s="13">
        <v>9.025101745E9</v>
      </c>
      <c r="D188" s="6" t="s">
        <v>38</v>
      </c>
      <c r="E188" s="9" t="s">
        <v>409</v>
      </c>
      <c r="F188" s="176">
        <v>46172.0</v>
      </c>
      <c r="G188" s="6" t="s">
        <v>431</v>
      </c>
      <c r="H188" s="6" t="s">
        <v>432</v>
      </c>
      <c r="I188" s="57" t="b">
        <v>1</v>
      </c>
      <c r="J188" s="6" t="s">
        <v>3090</v>
      </c>
      <c r="K188" s="53"/>
      <c r="L188" s="53"/>
      <c r="M188" s="4"/>
      <c r="N188" s="4"/>
      <c r="O188" s="4"/>
      <c r="P188" s="4"/>
      <c r="Q188" s="4"/>
      <c r="R188" s="4"/>
      <c r="S188" s="4"/>
      <c r="T188" s="4"/>
    </row>
    <row r="189">
      <c r="A189" s="30" t="s">
        <v>22</v>
      </c>
      <c r="B189" s="9" t="s">
        <v>3091</v>
      </c>
      <c r="C189" s="13">
        <v>6.381563329E9</v>
      </c>
      <c r="D189" s="6"/>
      <c r="E189" s="9" t="s">
        <v>465</v>
      </c>
      <c r="F189" s="176">
        <v>46172.0</v>
      </c>
      <c r="G189" s="6" t="s">
        <v>3092</v>
      </c>
      <c r="H189" s="6" t="s">
        <v>405</v>
      </c>
      <c r="I189" s="104" t="b">
        <v>0</v>
      </c>
      <c r="J189" s="6" t="s">
        <v>3093</v>
      </c>
      <c r="K189" s="53"/>
      <c r="L189" s="53"/>
      <c r="M189" s="4"/>
      <c r="N189" s="4"/>
      <c r="O189" s="4"/>
      <c r="P189" s="4"/>
      <c r="Q189" s="4"/>
      <c r="R189" s="4"/>
      <c r="S189" s="4"/>
      <c r="T189" s="4"/>
    </row>
    <row r="190">
      <c r="A190" s="30" t="s">
        <v>22</v>
      </c>
      <c r="B190" s="9" t="s">
        <v>3094</v>
      </c>
      <c r="C190" s="13">
        <v>6.380710321E9</v>
      </c>
      <c r="D190" s="6" t="s">
        <v>180</v>
      </c>
      <c r="E190" s="9" t="s">
        <v>2811</v>
      </c>
      <c r="F190" s="176">
        <v>46172.0</v>
      </c>
      <c r="G190" s="6" t="s">
        <v>431</v>
      </c>
      <c r="H190" s="6" t="s">
        <v>432</v>
      </c>
      <c r="I190" s="57" t="b">
        <v>1</v>
      </c>
      <c r="J190" s="6" t="s">
        <v>3095</v>
      </c>
      <c r="K190" s="53"/>
      <c r="L190" s="53"/>
      <c r="M190" s="4"/>
      <c r="N190" s="4"/>
      <c r="O190" s="4"/>
      <c r="P190" s="4"/>
      <c r="Q190" s="4"/>
      <c r="R190" s="4"/>
      <c r="S190" s="4"/>
      <c r="T190" s="4"/>
    </row>
    <row r="191">
      <c r="A191" s="30" t="s">
        <v>22</v>
      </c>
      <c r="B191" s="9" t="s">
        <v>2177</v>
      </c>
      <c r="C191" s="13">
        <v>9.363954312E9</v>
      </c>
      <c r="D191" s="6" t="s">
        <v>1924</v>
      </c>
      <c r="E191" s="9" t="s">
        <v>2945</v>
      </c>
      <c r="F191" s="176">
        <v>46172.0</v>
      </c>
      <c r="G191" s="6" t="s">
        <v>357</v>
      </c>
      <c r="H191" s="6" t="s">
        <v>358</v>
      </c>
      <c r="I191" s="104" t="b">
        <v>0</v>
      </c>
      <c r="J191" s="6" t="s">
        <v>3096</v>
      </c>
      <c r="K191" s="53"/>
      <c r="L191" s="53"/>
      <c r="M191" s="4"/>
      <c r="N191" s="4"/>
      <c r="O191" s="4"/>
      <c r="P191" s="4"/>
      <c r="Q191" s="4"/>
      <c r="R191" s="4"/>
      <c r="S191" s="4"/>
      <c r="T191" s="4"/>
    </row>
    <row r="192">
      <c r="A192" s="30" t="s">
        <v>22</v>
      </c>
      <c r="B192" s="9" t="s">
        <v>3097</v>
      </c>
      <c r="C192" s="13">
        <v>7.397493204E9</v>
      </c>
      <c r="D192" s="6"/>
      <c r="E192" s="9" t="s">
        <v>409</v>
      </c>
      <c r="F192" s="176">
        <v>46172.0</v>
      </c>
      <c r="G192" s="6" t="s">
        <v>361</v>
      </c>
      <c r="H192" s="6" t="s">
        <v>362</v>
      </c>
      <c r="I192" s="104" t="b">
        <v>0</v>
      </c>
      <c r="J192" s="6" t="s">
        <v>3084</v>
      </c>
      <c r="K192" s="53"/>
      <c r="L192" s="53"/>
      <c r="M192" s="4"/>
      <c r="N192" s="4"/>
      <c r="O192" s="4"/>
      <c r="P192" s="4"/>
      <c r="Q192" s="4"/>
      <c r="R192" s="4"/>
      <c r="S192" s="4"/>
      <c r="T192" s="4"/>
    </row>
    <row r="193">
      <c r="A193" s="30" t="s">
        <v>22</v>
      </c>
      <c r="B193" s="9" t="s">
        <v>1950</v>
      </c>
      <c r="C193" s="13">
        <v>6.374337512E9</v>
      </c>
      <c r="D193" s="6"/>
      <c r="E193" s="9" t="s">
        <v>510</v>
      </c>
      <c r="F193" s="176">
        <v>46172.0</v>
      </c>
      <c r="G193" s="6" t="s">
        <v>361</v>
      </c>
      <c r="H193" s="6" t="s">
        <v>362</v>
      </c>
      <c r="I193" s="104" t="b">
        <v>0</v>
      </c>
      <c r="J193" s="6" t="s">
        <v>3084</v>
      </c>
      <c r="K193" s="53"/>
      <c r="L193" s="53"/>
      <c r="M193" s="4"/>
      <c r="N193" s="4"/>
      <c r="O193" s="4"/>
      <c r="P193" s="4"/>
      <c r="Q193" s="4"/>
      <c r="R193" s="4"/>
      <c r="S193" s="4"/>
      <c r="T193" s="4"/>
    </row>
    <row r="205">
      <c r="A205" s="4"/>
      <c r="B205" s="4"/>
      <c r="C205" s="93"/>
      <c r="D205" s="4"/>
      <c r="E205" s="4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93"/>
      <c r="D206" s="4"/>
      <c r="E206" s="4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93"/>
      <c r="D207" s="4"/>
      <c r="E207" s="4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93"/>
      <c r="D208" s="4"/>
      <c r="E208" s="4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93"/>
      <c r="D209" s="4"/>
      <c r="E209" s="4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93"/>
      <c r="D210" s="4"/>
      <c r="E210" s="4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93"/>
      <c r="D211" s="4"/>
      <c r="E211" s="4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93"/>
      <c r="D212" s="4"/>
      <c r="E212" s="4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93"/>
      <c r="D213" s="4"/>
      <c r="E213" s="4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93"/>
      <c r="D214" s="4"/>
      <c r="E214" s="4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93"/>
      <c r="D215" s="4"/>
      <c r="E215" s="4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93"/>
      <c r="D216" s="4"/>
      <c r="E216" s="4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93"/>
      <c r="D217" s="4"/>
      <c r="E217" s="4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93"/>
      <c r="D218" s="4"/>
      <c r="E218" s="4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93"/>
      <c r="D219" s="4"/>
      <c r="E219" s="4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93"/>
      <c r="D220" s="4"/>
      <c r="E220" s="4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93"/>
      <c r="D221" s="4"/>
      <c r="E221" s="4"/>
      <c r="F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93"/>
      <c r="D222" s="4"/>
      <c r="E222" s="4"/>
      <c r="F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93"/>
      <c r="D223" s="4"/>
      <c r="E223" s="4"/>
      <c r="F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93"/>
      <c r="D224" s="4"/>
      <c r="E224" s="4"/>
      <c r="F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93"/>
      <c r="D225" s="4"/>
      <c r="E225" s="4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93"/>
      <c r="D226" s="4"/>
      <c r="E226" s="4"/>
      <c r="F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93"/>
      <c r="D227" s="4"/>
      <c r="E227" s="4"/>
      <c r="F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93"/>
      <c r="D228" s="4"/>
      <c r="E228" s="4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93"/>
      <c r="D229" s="4"/>
      <c r="E229" s="4"/>
      <c r="F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93"/>
      <c r="D230" s="4"/>
      <c r="E230" s="4"/>
      <c r="F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93"/>
      <c r="D231" s="4"/>
      <c r="E231" s="4"/>
      <c r="F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93"/>
      <c r="D232" s="4"/>
      <c r="E232" s="4"/>
      <c r="F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93"/>
      <c r="D233" s="4"/>
      <c r="E233" s="4"/>
      <c r="F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93"/>
      <c r="D234" s="4"/>
      <c r="E234" s="4"/>
      <c r="F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93"/>
      <c r="D235" s="4"/>
      <c r="E235" s="4"/>
      <c r="F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93"/>
      <c r="D236" s="4"/>
      <c r="E236" s="4"/>
      <c r="F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93"/>
      <c r="D237" s="4"/>
      <c r="E237" s="4"/>
      <c r="F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93"/>
      <c r="D238" s="4"/>
      <c r="E238" s="4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93"/>
      <c r="D239" s="4"/>
      <c r="E239" s="4"/>
      <c r="F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93"/>
      <c r="D240" s="4"/>
      <c r="E240" s="4"/>
      <c r="F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93"/>
      <c r="D241" s="4"/>
      <c r="E241" s="4"/>
      <c r="F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93"/>
      <c r="D242" s="4"/>
      <c r="E242" s="4"/>
      <c r="F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93"/>
      <c r="D243" s="4"/>
      <c r="E243" s="4"/>
      <c r="F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93"/>
      <c r="D244" s="4"/>
      <c r="E244" s="4"/>
      <c r="F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93"/>
      <c r="D245" s="4"/>
      <c r="E245" s="4"/>
      <c r="F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93"/>
      <c r="D246" s="4"/>
      <c r="E246" s="4"/>
      <c r="F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93"/>
      <c r="D247" s="4"/>
      <c r="E247" s="4"/>
      <c r="F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93"/>
      <c r="D248" s="4"/>
      <c r="E248" s="4"/>
      <c r="F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93"/>
      <c r="D249" s="4"/>
      <c r="E249" s="4"/>
      <c r="F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93"/>
      <c r="D250" s="4"/>
      <c r="E250" s="4"/>
      <c r="F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93"/>
      <c r="D251" s="4"/>
      <c r="E251" s="4"/>
      <c r="F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93"/>
      <c r="D252" s="4"/>
      <c r="E252" s="4"/>
      <c r="F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93"/>
      <c r="D253" s="4"/>
      <c r="E253" s="4"/>
      <c r="F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93"/>
      <c r="D254" s="4"/>
      <c r="E254" s="4"/>
      <c r="F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93"/>
      <c r="D255" s="4"/>
      <c r="E255" s="4"/>
      <c r="F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93"/>
      <c r="D256" s="4"/>
      <c r="E256" s="4"/>
      <c r="F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93"/>
      <c r="D257" s="4"/>
      <c r="E257" s="4"/>
      <c r="F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93"/>
      <c r="D258" s="4"/>
      <c r="E258" s="4"/>
      <c r="F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93"/>
      <c r="D259" s="4"/>
      <c r="E259" s="4"/>
      <c r="F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93"/>
      <c r="D260" s="4"/>
      <c r="E260" s="4"/>
      <c r="F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93"/>
      <c r="D261" s="4"/>
      <c r="E261" s="4"/>
      <c r="F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93"/>
      <c r="D262" s="4"/>
      <c r="E262" s="4"/>
      <c r="F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93"/>
      <c r="D263" s="4"/>
      <c r="E263" s="4"/>
      <c r="F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93"/>
      <c r="D264" s="4"/>
      <c r="E264" s="4"/>
      <c r="F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93"/>
      <c r="D265" s="4"/>
      <c r="E265" s="4"/>
      <c r="F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93"/>
      <c r="D266" s="4"/>
      <c r="E266" s="4"/>
      <c r="F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93"/>
      <c r="D267" s="4"/>
      <c r="E267" s="4"/>
      <c r="F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93"/>
      <c r="D268" s="4"/>
      <c r="E268" s="4"/>
      <c r="F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93"/>
      <c r="D269" s="4"/>
      <c r="E269" s="4"/>
      <c r="F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93"/>
      <c r="D270" s="4"/>
      <c r="E270" s="4"/>
      <c r="F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93"/>
      <c r="D271" s="4"/>
      <c r="E271" s="4"/>
      <c r="F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93"/>
      <c r="D272" s="4"/>
      <c r="E272" s="4"/>
      <c r="F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93"/>
      <c r="D273" s="4"/>
      <c r="E273" s="4"/>
      <c r="F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93"/>
      <c r="D274" s="4"/>
      <c r="E274" s="4"/>
      <c r="F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93"/>
      <c r="D275" s="4"/>
      <c r="E275" s="4"/>
      <c r="F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93"/>
      <c r="D276" s="4"/>
      <c r="E276" s="4"/>
      <c r="F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93"/>
      <c r="D277" s="4"/>
      <c r="E277" s="4"/>
      <c r="F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93"/>
      <c r="D278" s="4"/>
      <c r="E278" s="4"/>
      <c r="F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93"/>
      <c r="D279" s="4"/>
      <c r="E279" s="4"/>
      <c r="F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93"/>
      <c r="D280" s="4"/>
      <c r="E280" s="4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93"/>
      <c r="D281" s="4"/>
      <c r="E281" s="4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93"/>
      <c r="D282" s="4"/>
      <c r="E282" s="4"/>
      <c r="F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93"/>
      <c r="D283" s="4"/>
      <c r="E283" s="4"/>
      <c r="F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93"/>
      <c r="D284" s="4"/>
      <c r="E284" s="4"/>
      <c r="F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93"/>
      <c r="D285" s="4"/>
      <c r="E285" s="4"/>
      <c r="F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93"/>
      <c r="D286" s="4"/>
      <c r="E286" s="4"/>
      <c r="F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93"/>
      <c r="D287" s="4"/>
      <c r="E287" s="4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93"/>
      <c r="D288" s="4"/>
      <c r="E288" s="4"/>
      <c r="F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93"/>
      <c r="D289" s="4"/>
      <c r="E289" s="4"/>
      <c r="F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93"/>
      <c r="D290" s="4"/>
      <c r="E290" s="4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93"/>
      <c r="D291" s="4"/>
      <c r="E291" s="4"/>
      <c r="F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93"/>
      <c r="D292" s="4"/>
      <c r="E292" s="4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93"/>
      <c r="D293" s="4"/>
      <c r="E293" s="4"/>
      <c r="F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93"/>
      <c r="D294" s="4"/>
      <c r="E294" s="4"/>
      <c r="F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93"/>
      <c r="D295" s="4"/>
      <c r="E295" s="4"/>
      <c r="F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93"/>
      <c r="D296" s="4"/>
      <c r="E296" s="4"/>
      <c r="F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93"/>
      <c r="D297" s="4"/>
      <c r="E297" s="4"/>
      <c r="F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93"/>
      <c r="D298" s="4"/>
      <c r="E298" s="4"/>
      <c r="F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93"/>
      <c r="D299" s="4"/>
      <c r="E299" s="4"/>
      <c r="F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93"/>
      <c r="D300" s="4"/>
      <c r="E300" s="4"/>
      <c r="F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93"/>
      <c r="D301" s="4"/>
      <c r="E301" s="4"/>
      <c r="F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93"/>
      <c r="D302" s="4"/>
      <c r="E302" s="4"/>
      <c r="F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93"/>
      <c r="D303" s="4"/>
      <c r="E303" s="4"/>
      <c r="F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93"/>
      <c r="D304" s="4"/>
      <c r="E304" s="4"/>
      <c r="F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93"/>
      <c r="D305" s="4"/>
      <c r="E305" s="4"/>
      <c r="F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93"/>
      <c r="D306" s="4"/>
      <c r="E306" s="4"/>
      <c r="F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93"/>
      <c r="D307" s="4"/>
      <c r="E307" s="4"/>
      <c r="F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93"/>
      <c r="D308" s="4"/>
      <c r="E308" s="4"/>
      <c r="F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93"/>
      <c r="D309" s="4"/>
      <c r="E309" s="4"/>
      <c r="F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93"/>
      <c r="D310" s="4"/>
      <c r="E310" s="4"/>
      <c r="F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93"/>
      <c r="D311" s="4"/>
      <c r="E311" s="4"/>
      <c r="F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93"/>
      <c r="D312" s="4"/>
      <c r="E312" s="4"/>
      <c r="F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93"/>
      <c r="D313" s="4"/>
      <c r="E313" s="4"/>
      <c r="F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93"/>
      <c r="D314" s="4"/>
      <c r="E314" s="4"/>
      <c r="F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93"/>
      <c r="D315" s="4"/>
      <c r="E315" s="4"/>
      <c r="F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93"/>
      <c r="D316" s="4"/>
      <c r="E316" s="4"/>
      <c r="F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93"/>
      <c r="D317" s="4"/>
      <c r="E317" s="4"/>
      <c r="F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93"/>
      <c r="D318" s="4"/>
      <c r="E318" s="4"/>
      <c r="F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93"/>
      <c r="D319" s="4"/>
      <c r="E319" s="4"/>
      <c r="F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93"/>
      <c r="D320" s="4"/>
      <c r="E320" s="4"/>
      <c r="F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93"/>
      <c r="D321" s="4"/>
      <c r="E321" s="4"/>
      <c r="F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93"/>
      <c r="D322" s="4"/>
      <c r="E322" s="4"/>
      <c r="F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93"/>
      <c r="D323" s="4"/>
      <c r="E323" s="4"/>
      <c r="F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93"/>
      <c r="D324" s="4"/>
      <c r="E324" s="4"/>
      <c r="F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93"/>
      <c r="D325" s="4"/>
      <c r="E325" s="4"/>
      <c r="F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93"/>
      <c r="D326" s="4"/>
      <c r="E326" s="4"/>
      <c r="F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93"/>
      <c r="D327" s="4"/>
      <c r="E327" s="4"/>
      <c r="F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93"/>
      <c r="D328" s="4"/>
      <c r="E328" s="4"/>
      <c r="F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93"/>
      <c r="D329" s="4"/>
      <c r="E329" s="4"/>
      <c r="F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93"/>
      <c r="D330" s="4"/>
      <c r="E330" s="4"/>
      <c r="F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93"/>
      <c r="D331" s="4"/>
      <c r="E331" s="4"/>
      <c r="F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93"/>
      <c r="D332" s="4"/>
      <c r="E332" s="4"/>
      <c r="F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93"/>
      <c r="D333" s="4"/>
      <c r="E333" s="4"/>
      <c r="F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93"/>
      <c r="D334" s="4"/>
      <c r="E334" s="4"/>
      <c r="F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93"/>
      <c r="D335" s="4"/>
      <c r="E335" s="4"/>
      <c r="F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93"/>
      <c r="D336" s="4"/>
      <c r="E336" s="4"/>
      <c r="F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93"/>
      <c r="D337" s="4"/>
      <c r="E337" s="4"/>
      <c r="F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93"/>
      <c r="D338" s="4"/>
      <c r="E338" s="4"/>
      <c r="F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93"/>
      <c r="D339" s="4"/>
      <c r="E339" s="4"/>
      <c r="F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93"/>
      <c r="D340" s="4"/>
      <c r="E340" s="4"/>
      <c r="F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93"/>
      <c r="D341" s="4"/>
      <c r="E341" s="4"/>
      <c r="F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93"/>
      <c r="D342" s="4"/>
      <c r="E342" s="4"/>
      <c r="F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93"/>
      <c r="D343" s="4"/>
      <c r="E343" s="4"/>
      <c r="F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93"/>
      <c r="D344" s="4"/>
      <c r="E344" s="4"/>
      <c r="F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93"/>
      <c r="D345" s="4"/>
      <c r="E345" s="4"/>
      <c r="F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93"/>
      <c r="D346" s="4"/>
      <c r="E346" s="4"/>
      <c r="F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93"/>
      <c r="D347" s="4"/>
      <c r="E347" s="4"/>
      <c r="F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93"/>
      <c r="D348" s="4"/>
      <c r="E348" s="4"/>
      <c r="F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93"/>
      <c r="D349" s="4"/>
      <c r="E349" s="4"/>
      <c r="F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93"/>
      <c r="D350" s="4"/>
      <c r="E350" s="4"/>
      <c r="F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93"/>
      <c r="D351" s="4"/>
      <c r="E351" s="4"/>
      <c r="F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93"/>
      <c r="D352" s="4"/>
      <c r="E352" s="4"/>
      <c r="F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93"/>
      <c r="D353" s="4"/>
      <c r="E353" s="4"/>
      <c r="F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93"/>
      <c r="D354" s="4"/>
      <c r="E354" s="4"/>
      <c r="F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93"/>
      <c r="D355" s="4"/>
      <c r="E355" s="4"/>
      <c r="F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93"/>
      <c r="D356" s="4"/>
      <c r="E356" s="4"/>
      <c r="F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93"/>
      <c r="D357" s="4"/>
      <c r="E357" s="4"/>
      <c r="F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93"/>
      <c r="D358" s="4"/>
      <c r="E358" s="4"/>
      <c r="F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93"/>
      <c r="D359" s="4"/>
      <c r="E359" s="4"/>
      <c r="F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93"/>
      <c r="D360" s="4"/>
      <c r="E360" s="4"/>
      <c r="F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93"/>
      <c r="D361" s="4"/>
      <c r="E361" s="4"/>
      <c r="F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93"/>
      <c r="D362" s="4"/>
      <c r="E362" s="4"/>
      <c r="F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93"/>
      <c r="D363" s="4"/>
      <c r="E363" s="4"/>
      <c r="F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93"/>
      <c r="D364" s="4"/>
      <c r="E364" s="4"/>
      <c r="F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93"/>
      <c r="D365" s="4"/>
      <c r="E365" s="4"/>
      <c r="F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93"/>
      <c r="D366" s="4"/>
      <c r="E366" s="4"/>
      <c r="F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93"/>
      <c r="D367" s="4"/>
      <c r="E367" s="4"/>
      <c r="F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93"/>
      <c r="D368" s="4"/>
      <c r="E368" s="4"/>
      <c r="F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93"/>
      <c r="D369" s="4"/>
      <c r="E369" s="4"/>
      <c r="F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93"/>
      <c r="D370" s="4"/>
      <c r="E370" s="4"/>
      <c r="F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93"/>
      <c r="D371" s="4"/>
      <c r="E371" s="4"/>
      <c r="F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93"/>
      <c r="D372" s="4"/>
      <c r="E372" s="4"/>
      <c r="F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93"/>
      <c r="D373" s="4"/>
      <c r="E373" s="4"/>
      <c r="F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93"/>
      <c r="D374" s="4"/>
      <c r="E374" s="4"/>
      <c r="F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93"/>
      <c r="D375" s="4"/>
      <c r="E375" s="4"/>
      <c r="F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93"/>
      <c r="D376" s="4"/>
      <c r="E376" s="4"/>
      <c r="F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93"/>
      <c r="D377" s="4"/>
      <c r="E377" s="4"/>
      <c r="F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93"/>
      <c r="D378" s="4"/>
      <c r="E378" s="4"/>
      <c r="F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93"/>
      <c r="D379" s="4"/>
      <c r="E379" s="4"/>
      <c r="F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93"/>
      <c r="D380" s="4"/>
      <c r="E380" s="4"/>
      <c r="F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93"/>
      <c r="D381" s="4"/>
      <c r="E381" s="4"/>
      <c r="F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93"/>
      <c r="D382" s="4"/>
      <c r="E382" s="4"/>
      <c r="F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93"/>
      <c r="D383" s="4"/>
      <c r="E383" s="4"/>
      <c r="F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93"/>
      <c r="D384" s="4"/>
      <c r="E384" s="4"/>
      <c r="F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93"/>
      <c r="D385" s="4"/>
      <c r="E385" s="4"/>
      <c r="F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93"/>
      <c r="D386" s="4"/>
      <c r="E386" s="4"/>
      <c r="F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93"/>
      <c r="D387" s="4"/>
      <c r="E387" s="4"/>
      <c r="F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93"/>
      <c r="D388" s="4"/>
      <c r="E388" s="4"/>
      <c r="F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93"/>
      <c r="D389" s="4"/>
      <c r="E389" s="4"/>
      <c r="F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93"/>
      <c r="D390" s="4"/>
      <c r="E390" s="4"/>
      <c r="F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93"/>
      <c r="D391" s="4"/>
      <c r="E391" s="4"/>
      <c r="F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93"/>
      <c r="D392" s="4"/>
      <c r="E392" s="4"/>
      <c r="F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93"/>
      <c r="D393" s="4"/>
      <c r="E393" s="4"/>
      <c r="F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93"/>
      <c r="D394" s="4"/>
      <c r="E394" s="4"/>
      <c r="F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93"/>
      <c r="D395" s="4"/>
      <c r="E395" s="4"/>
      <c r="F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93"/>
      <c r="D396" s="4"/>
      <c r="E396" s="4"/>
      <c r="F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93"/>
      <c r="D397" s="4"/>
      <c r="E397" s="4"/>
      <c r="F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93"/>
      <c r="D398" s="4"/>
      <c r="E398" s="4"/>
      <c r="F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93"/>
      <c r="D399" s="4"/>
      <c r="E399" s="4"/>
      <c r="F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93"/>
      <c r="D400" s="4"/>
      <c r="E400" s="4"/>
      <c r="F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93"/>
      <c r="D401" s="4"/>
      <c r="E401" s="4"/>
      <c r="F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93"/>
      <c r="D402" s="4"/>
      <c r="E402" s="4"/>
      <c r="F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93"/>
      <c r="D403" s="4"/>
      <c r="E403" s="4"/>
      <c r="F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93"/>
      <c r="D404" s="4"/>
      <c r="E404" s="4"/>
      <c r="F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93"/>
      <c r="D405" s="4"/>
      <c r="E405" s="4"/>
      <c r="F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93"/>
      <c r="D406" s="4"/>
      <c r="E406" s="4"/>
      <c r="F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93"/>
      <c r="D407" s="4"/>
      <c r="E407" s="4"/>
      <c r="F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93"/>
      <c r="D408" s="4"/>
      <c r="E408" s="4"/>
      <c r="F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93"/>
      <c r="D409" s="4"/>
      <c r="E409" s="4"/>
      <c r="F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93"/>
      <c r="D410" s="4"/>
      <c r="E410" s="4"/>
      <c r="F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93"/>
      <c r="D411" s="4"/>
      <c r="E411" s="4"/>
      <c r="F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93"/>
      <c r="D412" s="4"/>
      <c r="E412" s="4"/>
      <c r="F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93"/>
      <c r="D413" s="4"/>
      <c r="E413" s="4"/>
      <c r="F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93"/>
      <c r="D414" s="4"/>
      <c r="E414" s="4"/>
      <c r="F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93"/>
      <c r="D415" s="4"/>
      <c r="E415" s="4"/>
      <c r="F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93"/>
      <c r="D416" s="4"/>
      <c r="E416" s="4"/>
      <c r="F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93"/>
      <c r="D417" s="4"/>
      <c r="E417" s="4"/>
      <c r="F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93"/>
      <c r="D418" s="4"/>
      <c r="E418" s="4"/>
      <c r="F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93"/>
      <c r="D419" s="4"/>
      <c r="E419" s="4"/>
      <c r="F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93"/>
      <c r="D420" s="4"/>
      <c r="E420" s="4"/>
      <c r="F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93"/>
      <c r="D421" s="4"/>
      <c r="E421" s="4"/>
      <c r="F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93"/>
      <c r="D422" s="4"/>
      <c r="E422" s="4"/>
      <c r="F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93"/>
      <c r="D423" s="4"/>
      <c r="E423" s="4"/>
      <c r="F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93"/>
      <c r="D424" s="4"/>
      <c r="E424" s="4"/>
      <c r="F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93"/>
      <c r="D425" s="4"/>
      <c r="E425" s="4"/>
      <c r="F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93"/>
      <c r="D426" s="4"/>
      <c r="E426" s="4"/>
      <c r="F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93"/>
      <c r="D427" s="4"/>
      <c r="E427" s="4"/>
      <c r="F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93"/>
      <c r="D428" s="4"/>
      <c r="E428" s="4"/>
      <c r="F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93"/>
      <c r="D429" s="4"/>
      <c r="E429" s="4"/>
      <c r="F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93"/>
      <c r="D430" s="4"/>
      <c r="E430" s="4"/>
      <c r="F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93"/>
      <c r="D431" s="4"/>
      <c r="E431" s="4"/>
      <c r="F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93"/>
      <c r="D432" s="4"/>
      <c r="E432" s="4"/>
      <c r="F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93"/>
      <c r="D433" s="4"/>
      <c r="E433" s="4"/>
      <c r="F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93"/>
      <c r="D434" s="4"/>
      <c r="E434" s="4"/>
      <c r="F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93"/>
      <c r="D435" s="4"/>
      <c r="E435" s="4"/>
      <c r="F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93"/>
      <c r="D436" s="4"/>
      <c r="E436" s="4"/>
      <c r="F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93"/>
      <c r="D437" s="4"/>
      <c r="E437" s="4"/>
      <c r="F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93"/>
      <c r="D438" s="4"/>
      <c r="E438" s="4"/>
      <c r="F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93"/>
      <c r="D439" s="4"/>
      <c r="E439" s="4"/>
      <c r="F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93"/>
      <c r="D440" s="4"/>
      <c r="E440" s="4"/>
      <c r="F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93"/>
      <c r="D441" s="4"/>
      <c r="E441" s="4"/>
      <c r="F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93"/>
      <c r="D442" s="4"/>
      <c r="E442" s="4"/>
      <c r="F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93"/>
      <c r="D443" s="4"/>
      <c r="E443" s="4"/>
      <c r="F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93"/>
      <c r="D444" s="4"/>
      <c r="E444" s="4"/>
      <c r="F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93"/>
      <c r="D445" s="4"/>
      <c r="E445" s="4"/>
      <c r="F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93"/>
      <c r="D446" s="4"/>
      <c r="E446" s="4"/>
      <c r="F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93"/>
      <c r="D447" s="4"/>
      <c r="E447" s="4"/>
      <c r="F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93"/>
      <c r="D448" s="4"/>
      <c r="E448" s="4"/>
      <c r="F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93"/>
      <c r="D449" s="4"/>
      <c r="E449" s="4"/>
      <c r="F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93"/>
      <c r="D450" s="4"/>
      <c r="E450" s="4"/>
      <c r="F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93"/>
      <c r="D451" s="4"/>
      <c r="E451" s="4"/>
      <c r="F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93"/>
      <c r="D452" s="4"/>
      <c r="E452" s="4"/>
      <c r="F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93"/>
      <c r="D453" s="4"/>
      <c r="E453" s="4"/>
      <c r="F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93"/>
      <c r="D454" s="4"/>
      <c r="E454" s="4"/>
      <c r="F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93"/>
      <c r="D455" s="4"/>
      <c r="E455" s="4"/>
      <c r="F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93"/>
      <c r="D456" s="4"/>
      <c r="E456" s="4"/>
      <c r="F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93"/>
      <c r="D457" s="4"/>
      <c r="E457" s="4"/>
      <c r="F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93"/>
      <c r="D458" s="4"/>
      <c r="E458" s="4"/>
      <c r="F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93"/>
      <c r="D459" s="4"/>
      <c r="E459" s="4"/>
      <c r="F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93"/>
      <c r="D460" s="4"/>
      <c r="E460" s="4"/>
      <c r="F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93"/>
      <c r="D461" s="4"/>
      <c r="E461" s="4"/>
      <c r="F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93"/>
      <c r="D462" s="4"/>
      <c r="E462" s="4"/>
      <c r="F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93"/>
      <c r="D463" s="4"/>
      <c r="E463" s="4"/>
      <c r="F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93"/>
      <c r="D464" s="4"/>
      <c r="E464" s="4"/>
      <c r="F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93"/>
      <c r="D465" s="4"/>
      <c r="E465" s="4"/>
      <c r="F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93"/>
      <c r="D466" s="4"/>
      <c r="E466" s="4"/>
      <c r="F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93"/>
      <c r="D467" s="4"/>
      <c r="E467" s="4"/>
      <c r="F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93"/>
      <c r="D468" s="4"/>
      <c r="E468" s="4"/>
      <c r="F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93"/>
      <c r="D469" s="4"/>
      <c r="E469" s="4"/>
      <c r="F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93"/>
      <c r="D470" s="4"/>
      <c r="E470" s="4"/>
      <c r="F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93"/>
      <c r="D471" s="4"/>
      <c r="E471" s="4"/>
      <c r="F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93"/>
      <c r="D472" s="4"/>
      <c r="E472" s="4"/>
      <c r="F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93"/>
      <c r="D473" s="4"/>
      <c r="E473" s="4"/>
      <c r="F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93"/>
      <c r="D474" s="4"/>
      <c r="E474" s="4"/>
      <c r="F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93"/>
      <c r="D475" s="4"/>
      <c r="E475" s="4"/>
      <c r="F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93"/>
      <c r="D476" s="4"/>
      <c r="E476" s="4"/>
      <c r="F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93"/>
      <c r="D477" s="4"/>
      <c r="E477" s="4"/>
      <c r="F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93"/>
      <c r="D478" s="4"/>
      <c r="E478" s="4"/>
      <c r="F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93"/>
      <c r="D479" s="4"/>
      <c r="E479" s="4"/>
      <c r="F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93"/>
      <c r="D480" s="4"/>
      <c r="E480" s="4"/>
      <c r="F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93"/>
      <c r="D481" s="4"/>
      <c r="E481" s="4"/>
      <c r="F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93"/>
      <c r="D482" s="4"/>
      <c r="E482" s="4"/>
      <c r="F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93"/>
      <c r="D483" s="4"/>
      <c r="E483" s="4"/>
      <c r="F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93"/>
      <c r="D484" s="4"/>
      <c r="E484" s="4"/>
      <c r="F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93"/>
      <c r="D485" s="4"/>
      <c r="E485" s="4"/>
      <c r="F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93"/>
      <c r="D486" s="4"/>
      <c r="E486" s="4"/>
      <c r="F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93"/>
      <c r="D487" s="4"/>
      <c r="E487" s="4"/>
      <c r="F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93"/>
      <c r="D488" s="4"/>
      <c r="E488" s="4"/>
      <c r="F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93"/>
      <c r="D489" s="4"/>
      <c r="E489" s="4"/>
      <c r="F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93"/>
      <c r="D490" s="4"/>
      <c r="E490" s="4"/>
      <c r="F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93"/>
      <c r="D491" s="4"/>
      <c r="E491" s="4"/>
      <c r="F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93"/>
      <c r="D492" s="4"/>
      <c r="E492" s="4"/>
      <c r="F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93"/>
      <c r="D493" s="4"/>
      <c r="E493" s="4"/>
      <c r="F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93"/>
      <c r="D494" s="4"/>
      <c r="E494" s="4"/>
      <c r="F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93"/>
      <c r="D495" s="4"/>
      <c r="E495" s="4"/>
      <c r="F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93"/>
      <c r="D496" s="4"/>
      <c r="E496" s="4"/>
      <c r="F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93"/>
      <c r="D497" s="4"/>
      <c r="E497" s="4"/>
      <c r="F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93"/>
      <c r="D498" s="4"/>
      <c r="E498" s="4"/>
      <c r="F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93"/>
      <c r="D499" s="4"/>
      <c r="E499" s="4"/>
      <c r="F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93"/>
      <c r="D500" s="4"/>
      <c r="E500" s="4"/>
      <c r="F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93"/>
      <c r="D501" s="4"/>
      <c r="E501" s="4"/>
      <c r="F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93"/>
      <c r="D502" s="4"/>
      <c r="E502" s="4"/>
      <c r="F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93"/>
      <c r="D503" s="4"/>
      <c r="E503" s="4"/>
      <c r="F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93"/>
      <c r="D504" s="4"/>
      <c r="E504" s="4"/>
      <c r="F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93"/>
      <c r="D505" s="4"/>
      <c r="E505" s="4"/>
      <c r="F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93"/>
      <c r="D506" s="4"/>
      <c r="E506" s="4"/>
      <c r="F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93"/>
      <c r="D507" s="4"/>
      <c r="E507" s="4"/>
      <c r="F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93"/>
      <c r="D508" s="4"/>
      <c r="E508" s="4"/>
      <c r="F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93"/>
      <c r="D509" s="4"/>
      <c r="E509" s="4"/>
      <c r="F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93"/>
      <c r="D510" s="4"/>
      <c r="E510" s="4"/>
      <c r="F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93"/>
      <c r="D511" s="4"/>
      <c r="E511" s="4"/>
      <c r="F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93"/>
      <c r="D512" s="4"/>
      <c r="E512" s="4"/>
      <c r="F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93"/>
      <c r="D513" s="4"/>
      <c r="E513" s="4"/>
      <c r="F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93"/>
      <c r="D514" s="4"/>
      <c r="E514" s="4"/>
      <c r="F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93"/>
      <c r="D515" s="4"/>
      <c r="E515" s="4"/>
      <c r="F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93"/>
      <c r="D516" s="4"/>
      <c r="E516" s="4"/>
      <c r="F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93"/>
      <c r="D517" s="4"/>
      <c r="E517" s="4"/>
      <c r="F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93"/>
      <c r="D518" s="4"/>
      <c r="E518" s="4"/>
      <c r="F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93"/>
      <c r="D519" s="4"/>
      <c r="E519" s="4"/>
      <c r="F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93"/>
      <c r="D520" s="4"/>
      <c r="E520" s="4"/>
      <c r="F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93"/>
      <c r="D521" s="4"/>
      <c r="E521" s="4"/>
      <c r="F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93"/>
      <c r="D522" s="4"/>
      <c r="E522" s="4"/>
      <c r="F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93"/>
      <c r="D523" s="4"/>
      <c r="E523" s="4"/>
      <c r="F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93"/>
      <c r="D524" s="4"/>
      <c r="E524" s="4"/>
      <c r="F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93"/>
      <c r="D525" s="4"/>
      <c r="E525" s="4"/>
      <c r="F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93"/>
      <c r="D526" s="4"/>
      <c r="E526" s="4"/>
      <c r="F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93"/>
      <c r="D527" s="4"/>
      <c r="E527" s="4"/>
      <c r="F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93"/>
      <c r="D528" s="4"/>
      <c r="E528" s="4"/>
      <c r="F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93"/>
      <c r="D529" s="4"/>
      <c r="E529" s="4"/>
      <c r="F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93"/>
      <c r="D530" s="4"/>
      <c r="E530" s="4"/>
      <c r="F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93"/>
      <c r="D531" s="4"/>
      <c r="E531" s="4"/>
      <c r="F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93"/>
      <c r="D532" s="4"/>
      <c r="E532" s="4"/>
      <c r="F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93"/>
      <c r="D533" s="4"/>
      <c r="E533" s="4"/>
      <c r="F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93"/>
      <c r="D534" s="4"/>
      <c r="E534" s="4"/>
      <c r="F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93"/>
      <c r="D535" s="4"/>
      <c r="E535" s="4"/>
      <c r="F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93"/>
      <c r="D536" s="4"/>
      <c r="E536" s="4"/>
      <c r="F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93"/>
      <c r="D537" s="4"/>
      <c r="E537" s="4"/>
      <c r="F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93"/>
      <c r="D538" s="4"/>
      <c r="E538" s="4"/>
      <c r="F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93"/>
      <c r="D539" s="4"/>
      <c r="E539" s="4"/>
      <c r="F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93"/>
      <c r="D540" s="4"/>
      <c r="E540" s="4"/>
      <c r="F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93"/>
      <c r="D541" s="4"/>
      <c r="E541" s="4"/>
      <c r="F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93"/>
      <c r="D542" s="4"/>
      <c r="E542" s="4"/>
      <c r="F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93"/>
      <c r="D543" s="4"/>
      <c r="E543" s="4"/>
      <c r="F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93"/>
      <c r="D544" s="4"/>
      <c r="E544" s="4"/>
      <c r="F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93"/>
      <c r="D545" s="4"/>
      <c r="E545" s="4"/>
      <c r="F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93"/>
      <c r="D546" s="4"/>
      <c r="E546" s="4"/>
      <c r="F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93"/>
      <c r="D547" s="4"/>
      <c r="E547" s="4"/>
      <c r="F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93"/>
      <c r="D548" s="4"/>
      <c r="E548" s="4"/>
      <c r="F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93"/>
      <c r="D549" s="4"/>
      <c r="E549" s="4"/>
      <c r="F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93"/>
      <c r="D550" s="4"/>
      <c r="E550" s="4"/>
      <c r="F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93"/>
      <c r="D551" s="4"/>
      <c r="E551" s="4"/>
      <c r="F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93"/>
      <c r="D552" s="4"/>
      <c r="E552" s="4"/>
      <c r="F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93"/>
      <c r="D553" s="4"/>
      <c r="E553" s="4"/>
      <c r="F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93"/>
      <c r="D554" s="4"/>
      <c r="E554" s="4"/>
      <c r="F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93"/>
      <c r="D555" s="4"/>
      <c r="E555" s="4"/>
      <c r="F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93"/>
      <c r="D556" s="4"/>
      <c r="E556" s="4"/>
      <c r="F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93"/>
      <c r="D557" s="4"/>
      <c r="E557" s="4"/>
      <c r="F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93"/>
      <c r="D558" s="4"/>
      <c r="E558" s="4"/>
      <c r="F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93"/>
      <c r="D559" s="4"/>
      <c r="E559" s="4"/>
      <c r="F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93"/>
      <c r="D560" s="4"/>
      <c r="E560" s="4"/>
      <c r="F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93"/>
      <c r="D561" s="4"/>
      <c r="E561" s="4"/>
      <c r="F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93"/>
      <c r="D562" s="4"/>
      <c r="E562" s="4"/>
      <c r="F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93"/>
      <c r="D563" s="4"/>
      <c r="E563" s="4"/>
      <c r="F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93"/>
      <c r="D564" s="4"/>
      <c r="E564" s="4"/>
      <c r="F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93"/>
      <c r="D565" s="4"/>
      <c r="E565" s="4"/>
      <c r="F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93"/>
      <c r="D566" s="4"/>
      <c r="E566" s="4"/>
      <c r="F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93"/>
      <c r="D567" s="4"/>
      <c r="E567" s="4"/>
      <c r="F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93"/>
      <c r="D568" s="4"/>
      <c r="E568" s="4"/>
      <c r="F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93"/>
      <c r="D569" s="4"/>
      <c r="E569" s="4"/>
      <c r="F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93"/>
      <c r="D570" s="4"/>
      <c r="E570" s="4"/>
      <c r="F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93"/>
      <c r="D571" s="4"/>
      <c r="E571" s="4"/>
      <c r="F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93"/>
      <c r="D572" s="4"/>
      <c r="E572" s="4"/>
      <c r="F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93"/>
      <c r="D573" s="4"/>
      <c r="E573" s="4"/>
      <c r="F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93"/>
      <c r="D574" s="4"/>
      <c r="E574" s="4"/>
      <c r="F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93"/>
      <c r="D575" s="4"/>
      <c r="E575" s="4"/>
      <c r="F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93"/>
      <c r="D576" s="4"/>
      <c r="E576" s="4"/>
      <c r="F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93"/>
      <c r="D577" s="4"/>
      <c r="E577" s="4"/>
      <c r="F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93"/>
      <c r="D578" s="4"/>
      <c r="E578" s="4"/>
      <c r="F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93"/>
      <c r="D579" s="4"/>
      <c r="E579" s="4"/>
      <c r="F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93"/>
      <c r="D580" s="4"/>
      <c r="E580" s="4"/>
      <c r="F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93"/>
      <c r="D581" s="4"/>
      <c r="E581" s="4"/>
      <c r="F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93"/>
      <c r="D582" s="4"/>
      <c r="E582" s="4"/>
      <c r="F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93"/>
      <c r="D583" s="4"/>
      <c r="E583" s="4"/>
      <c r="F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93"/>
      <c r="D584" s="4"/>
      <c r="E584" s="4"/>
      <c r="F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93"/>
      <c r="D585" s="4"/>
      <c r="E585" s="4"/>
      <c r="F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93"/>
      <c r="D586" s="4"/>
      <c r="E586" s="4"/>
      <c r="F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93"/>
      <c r="D587" s="4"/>
      <c r="E587" s="4"/>
      <c r="F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93"/>
      <c r="D588" s="4"/>
      <c r="E588" s="4"/>
      <c r="F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93"/>
      <c r="D589" s="4"/>
      <c r="E589" s="4"/>
      <c r="F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93"/>
      <c r="D590" s="4"/>
      <c r="E590" s="4"/>
      <c r="F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93"/>
      <c r="D591" s="4"/>
      <c r="E591" s="4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93"/>
      <c r="D592" s="4"/>
      <c r="E592" s="4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93"/>
      <c r="D593" s="4"/>
      <c r="E593" s="4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93"/>
      <c r="D594" s="4"/>
      <c r="E594" s="4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93"/>
      <c r="D595" s="4"/>
      <c r="E595" s="4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93"/>
      <c r="D596" s="4"/>
      <c r="E596" s="4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93"/>
      <c r="D597" s="4"/>
      <c r="E597" s="4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93"/>
      <c r="D598" s="4"/>
      <c r="E598" s="4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93"/>
      <c r="D599" s="4"/>
      <c r="E599" s="4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93"/>
      <c r="D600" s="4"/>
      <c r="E600" s="4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93"/>
      <c r="D601" s="4"/>
      <c r="E601" s="4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93"/>
      <c r="D602" s="4"/>
      <c r="E602" s="4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93"/>
      <c r="D603" s="4"/>
      <c r="E603" s="4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93"/>
      <c r="D604" s="4"/>
      <c r="E604" s="4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93"/>
      <c r="D605" s="4"/>
      <c r="E605" s="4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93"/>
      <c r="D606" s="4"/>
      <c r="E606" s="4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93"/>
      <c r="D607" s="4"/>
      <c r="E607" s="4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93"/>
      <c r="D608" s="4"/>
      <c r="E608" s="4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93"/>
      <c r="D609" s="4"/>
      <c r="E609" s="4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93"/>
      <c r="D610" s="4"/>
      <c r="E610" s="4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93"/>
      <c r="D611" s="4"/>
      <c r="E611" s="4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93"/>
      <c r="D612" s="4"/>
      <c r="E612" s="4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93"/>
      <c r="D613" s="4"/>
      <c r="E613" s="4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93"/>
      <c r="D614" s="4"/>
      <c r="E614" s="4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93"/>
      <c r="D615" s="4"/>
      <c r="E615" s="4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93"/>
      <c r="D616" s="4"/>
      <c r="E616" s="4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93"/>
      <c r="D617" s="4"/>
      <c r="E617" s="4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93"/>
      <c r="D618" s="4"/>
      <c r="E618" s="4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93"/>
      <c r="D619" s="4"/>
      <c r="E619" s="4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93"/>
      <c r="D620" s="4"/>
      <c r="E620" s="4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93"/>
      <c r="D621" s="4"/>
      <c r="E621" s="4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93"/>
      <c r="D622" s="4"/>
      <c r="E622" s="4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93"/>
      <c r="D623" s="4"/>
      <c r="E623" s="4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93"/>
      <c r="D624" s="4"/>
      <c r="E624" s="4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93"/>
      <c r="D625" s="4"/>
      <c r="E625" s="4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93"/>
      <c r="D626" s="4"/>
      <c r="E626" s="4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93"/>
      <c r="D627" s="4"/>
      <c r="E627" s="4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93"/>
      <c r="D628" s="4"/>
      <c r="E628" s="4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93"/>
      <c r="D629" s="4"/>
      <c r="E629" s="4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93"/>
      <c r="D630" s="4"/>
      <c r="E630" s="4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93"/>
      <c r="D631" s="4"/>
      <c r="E631" s="4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93"/>
      <c r="D632" s="4"/>
      <c r="E632" s="4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93"/>
      <c r="D633" s="4"/>
      <c r="E633" s="4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93"/>
      <c r="D634" s="4"/>
      <c r="E634" s="4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93"/>
      <c r="D635" s="4"/>
      <c r="E635" s="4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93"/>
      <c r="D636" s="4"/>
      <c r="E636" s="4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93"/>
      <c r="D637" s="4"/>
      <c r="E637" s="4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93"/>
      <c r="D638" s="4"/>
      <c r="E638" s="4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93"/>
      <c r="D639" s="4"/>
      <c r="E639" s="4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93"/>
      <c r="D640" s="4"/>
      <c r="E640" s="4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93"/>
      <c r="D641" s="4"/>
      <c r="E641" s="4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93"/>
      <c r="D642" s="4"/>
      <c r="E642" s="4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93"/>
      <c r="D643" s="4"/>
      <c r="E643" s="4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93"/>
      <c r="D644" s="4"/>
      <c r="E644" s="4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93"/>
      <c r="D645" s="4"/>
      <c r="E645" s="4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93"/>
      <c r="D646" s="4"/>
      <c r="E646" s="4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93"/>
      <c r="D647" s="4"/>
      <c r="E647" s="4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93"/>
      <c r="D648" s="4"/>
      <c r="E648" s="4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93"/>
      <c r="D649" s="4"/>
      <c r="E649" s="4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93"/>
      <c r="D650" s="4"/>
      <c r="E650" s="4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93"/>
      <c r="D651" s="4"/>
      <c r="E651" s="4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93"/>
      <c r="D652" s="4"/>
      <c r="E652" s="4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93"/>
      <c r="D653" s="4"/>
      <c r="E653" s="4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93"/>
      <c r="D654" s="4"/>
      <c r="E654" s="4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93"/>
      <c r="D655" s="4"/>
      <c r="E655" s="4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93"/>
      <c r="D656" s="4"/>
      <c r="E656" s="4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93"/>
      <c r="D657" s="4"/>
      <c r="E657" s="4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93"/>
      <c r="D658" s="4"/>
      <c r="E658" s="4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93"/>
      <c r="D659" s="4"/>
      <c r="E659" s="4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93"/>
      <c r="D660" s="4"/>
      <c r="E660" s="4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93"/>
      <c r="D661" s="4"/>
      <c r="E661" s="4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93"/>
      <c r="D662" s="4"/>
      <c r="E662" s="4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93"/>
      <c r="D663" s="4"/>
      <c r="E663" s="4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93"/>
      <c r="D664" s="4"/>
      <c r="E664" s="4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93"/>
      <c r="D665" s="4"/>
      <c r="E665" s="4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93"/>
      <c r="D666" s="4"/>
      <c r="E666" s="4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93"/>
      <c r="D667" s="4"/>
      <c r="E667" s="4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93"/>
      <c r="D668" s="4"/>
      <c r="E668" s="4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93"/>
      <c r="D669" s="4"/>
      <c r="E669" s="4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93"/>
      <c r="D670" s="4"/>
      <c r="E670" s="4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93"/>
      <c r="D671" s="4"/>
      <c r="E671" s="4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93"/>
      <c r="D672" s="4"/>
      <c r="E672" s="4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93"/>
      <c r="D673" s="4"/>
      <c r="E673" s="4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93"/>
      <c r="D674" s="4"/>
      <c r="E674" s="4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93"/>
      <c r="D675" s="4"/>
      <c r="E675" s="4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93"/>
      <c r="D676" s="4"/>
      <c r="E676" s="4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93"/>
      <c r="D677" s="4"/>
      <c r="E677" s="4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93"/>
      <c r="D678" s="4"/>
      <c r="E678" s="4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93"/>
      <c r="D679" s="4"/>
      <c r="E679" s="4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93"/>
      <c r="D680" s="4"/>
      <c r="E680" s="4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93"/>
      <c r="D681" s="4"/>
      <c r="E681" s="4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93"/>
      <c r="D682" s="4"/>
      <c r="E682" s="4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93"/>
      <c r="D683" s="4"/>
      <c r="E683" s="4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93"/>
      <c r="D684" s="4"/>
      <c r="E684" s="4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93"/>
      <c r="D685" s="4"/>
      <c r="E685" s="4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93"/>
      <c r="D686" s="4"/>
      <c r="E686" s="4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93"/>
      <c r="D687" s="4"/>
      <c r="E687" s="4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93"/>
      <c r="D688" s="4"/>
      <c r="E688" s="4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93"/>
      <c r="D689" s="4"/>
      <c r="E689" s="4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93"/>
      <c r="D690" s="4"/>
      <c r="E690" s="4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93"/>
      <c r="D691" s="4"/>
      <c r="E691" s="4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93"/>
      <c r="D692" s="4"/>
      <c r="E692" s="4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93"/>
      <c r="D693" s="4"/>
      <c r="E693" s="4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93"/>
      <c r="D694" s="4"/>
      <c r="E694" s="4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93"/>
      <c r="D695" s="4"/>
      <c r="E695" s="4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93"/>
      <c r="D696" s="4"/>
      <c r="E696" s="4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93"/>
      <c r="D697" s="4"/>
      <c r="E697" s="4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93"/>
      <c r="D698" s="4"/>
      <c r="E698" s="4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93"/>
      <c r="D699" s="4"/>
      <c r="E699" s="4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93"/>
      <c r="D700" s="4"/>
      <c r="E700" s="4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93"/>
      <c r="D701" s="4"/>
      <c r="E701" s="4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93"/>
      <c r="D702" s="4"/>
      <c r="E702" s="4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93"/>
      <c r="D703" s="4"/>
      <c r="E703" s="4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93"/>
      <c r="D704" s="4"/>
      <c r="E704" s="4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93"/>
      <c r="D705" s="4"/>
      <c r="E705" s="4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93"/>
      <c r="D706" s="4"/>
      <c r="E706" s="4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93"/>
      <c r="D707" s="4"/>
      <c r="E707" s="4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93"/>
      <c r="D708" s="4"/>
      <c r="E708" s="4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93"/>
      <c r="D709" s="4"/>
      <c r="E709" s="4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93"/>
      <c r="D710" s="4"/>
      <c r="E710" s="4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93"/>
      <c r="D711" s="4"/>
      <c r="E711" s="4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93"/>
      <c r="D712" s="4"/>
      <c r="E712" s="4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93"/>
      <c r="D713" s="4"/>
      <c r="E713" s="4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93"/>
      <c r="D714" s="4"/>
      <c r="E714" s="4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93"/>
      <c r="D715" s="4"/>
      <c r="E715" s="4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93"/>
      <c r="D716" s="4"/>
      <c r="E716" s="4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93"/>
      <c r="D717" s="4"/>
      <c r="E717" s="4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93"/>
      <c r="D718" s="4"/>
      <c r="E718" s="4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93"/>
      <c r="D719" s="4"/>
      <c r="E719" s="4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93"/>
      <c r="D720" s="4"/>
      <c r="E720" s="4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93"/>
      <c r="D721" s="4"/>
      <c r="E721" s="4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93"/>
      <c r="D722" s="4"/>
      <c r="E722" s="4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93"/>
      <c r="D723" s="4"/>
      <c r="E723" s="4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93"/>
      <c r="D724" s="4"/>
      <c r="E724" s="4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93"/>
      <c r="D725" s="4"/>
      <c r="E725" s="4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93"/>
      <c r="D726" s="4"/>
      <c r="E726" s="4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93"/>
      <c r="D727" s="4"/>
      <c r="E727" s="4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93"/>
      <c r="D728" s="4"/>
      <c r="E728" s="4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93"/>
      <c r="D729" s="4"/>
      <c r="E729" s="4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93"/>
      <c r="D730" s="4"/>
      <c r="E730" s="4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93"/>
      <c r="D731" s="4"/>
      <c r="E731" s="4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93"/>
      <c r="D732" s="4"/>
      <c r="E732" s="4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93"/>
      <c r="D733" s="4"/>
      <c r="E733" s="4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93"/>
      <c r="D734" s="4"/>
      <c r="E734" s="4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93"/>
      <c r="D735" s="4"/>
      <c r="E735" s="4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93"/>
      <c r="D736" s="4"/>
      <c r="E736" s="4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93"/>
      <c r="D737" s="4"/>
      <c r="E737" s="4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93"/>
      <c r="D738" s="4"/>
      <c r="E738" s="4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93"/>
      <c r="D739" s="4"/>
      <c r="E739" s="4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93"/>
      <c r="D740" s="4"/>
      <c r="E740" s="4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93"/>
      <c r="D741" s="4"/>
      <c r="E741" s="4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93"/>
      <c r="D742" s="4"/>
      <c r="E742" s="4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93"/>
      <c r="D743" s="4"/>
      <c r="E743" s="4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93"/>
      <c r="D744" s="4"/>
      <c r="E744" s="4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93"/>
      <c r="D745" s="4"/>
      <c r="E745" s="4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93"/>
      <c r="D746" s="4"/>
      <c r="E746" s="4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93"/>
      <c r="D747" s="4"/>
      <c r="E747" s="4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93"/>
      <c r="D748" s="4"/>
      <c r="E748" s="4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93"/>
      <c r="D749" s="4"/>
      <c r="E749" s="4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93"/>
      <c r="D750" s="4"/>
      <c r="E750" s="4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93"/>
      <c r="D751" s="4"/>
      <c r="E751" s="4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93"/>
      <c r="D752" s="4"/>
      <c r="E752" s="4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93"/>
      <c r="D753" s="4"/>
      <c r="E753" s="4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93"/>
      <c r="D754" s="4"/>
      <c r="E754" s="4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93"/>
      <c r="D755" s="4"/>
      <c r="E755" s="4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93"/>
      <c r="D756" s="4"/>
      <c r="E756" s="4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93"/>
      <c r="D757" s="4"/>
      <c r="E757" s="4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93"/>
      <c r="D758" s="4"/>
      <c r="E758" s="4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93"/>
      <c r="D759" s="4"/>
      <c r="E759" s="4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93"/>
      <c r="D760" s="4"/>
      <c r="E760" s="4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93"/>
      <c r="D761" s="4"/>
      <c r="E761" s="4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93"/>
      <c r="D762" s="4"/>
      <c r="E762" s="4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93"/>
      <c r="D763" s="4"/>
      <c r="E763" s="4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93"/>
      <c r="D764" s="4"/>
      <c r="E764" s="4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93"/>
      <c r="D765" s="4"/>
      <c r="E765" s="4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93"/>
      <c r="D766" s="4"/>
      <c r="E766" s="4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93"/>
      <c r="D767" s="4"/>
      <c r="E767" s="4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93"/>
      <c r="D768" s="4"/>
      <c r="E768" s="4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93"/>
      <c r="D769" s="4"/>
      <c r="E769" s="4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93"/>
      <c r="D770" s="4"/>
      <c r="E770" s="4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93"/>
      <c r="D771" s="4"/>
      <c r="E771" s="4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93"/>
      <c r="D772" s="4"/>
      <c r="E772" s="4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93"/>
      <c r="D773" s="4"/>
      <c r="E773" s="4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93"/>
      <c r="D774" s="4"/>
      <c r="E774" s="4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93"/>
      <c r="D775" s="4"/>
      <c r="E775" s="4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93"/>
      <c r="D776" s="4"/>
      <c r="E776" s="4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93"/>
      <c r="D777" s="4"/>
      <c r="E777" s="4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93"/>
      <c r="D778" s="4"/>
      <c r="E778" s="4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93"/>
      <c r="D779" s="4"/>
      <c r="E779" s="4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93"/>
      <c r="D780" s="4"/>
      <c r="E780" s="4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93"/>
      <c r="D781" s="4"/>
      <c r="E781" s="4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93"/>
      <c r="D782" s="4"/>
      <c r="E782" s="4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93"/>
      <c r="D783" s="4"/>
      <c r="E783" s="4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93"/>
      <c r="D784" s="4"/>
      <c r="E784" s="4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93"/>
      <c r="D785" s="4"/>
      <c r="E785" s="4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93"/>
      <c r="D786" s="4"/>
      <c r="E786" s="4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93"/>
      <c r="D787" s="4"/>
      <c r="E787" s="4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93"/>
      <c r="D788" s="4"/>
      <c r="E788" s="4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93"/>
      <c r="D789" s="4"/>
      <c r="E789" s="4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93"/>
      <c r="D790" s="4"/>
      <c r="E790" s="4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93"/>
      <c r="D791" s="4"/>
      <c r="E791" s="4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93"/>
      <c r="D792" s="4"/>
      <c r="E792" s="4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93"/>
      <c r="D793" s="4"/>
      <c r="E793" s="4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93"/>
      <c r="D794" s="4"/>
      <c r="E794" s="4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93"/>
      <c r="D795" s="4"/>
      <c r="E795" s="4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93"/>
      <c r="D796" s="4"/>
      <c r="E796" s="4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93"/>
      <c r="D797" s="4"/>
      <c r="E797" s="4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93"/>
      <c r="D798" s="4"/>
      <c r="E798" s="4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93"/>
      <c r="D799" s="4"/>
      <c r="E799" s="4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93"/>
      <c r="D800" s="4"/>
      <c r="E800" s="4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93"/>
      <c r="D801" s="4"/>
      <c r="E801" s="4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93"/>
      <c r="D802" s="4"/>
      <c r="E802" s="4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93"/>
      <c r="D803" s="4"/>
      <c r="E803" s="4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93"/>
      <c r="D804" s="4"/>
      <c r="E804" s="4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93"/>
      <c r="D805" s="4"/>
      <c r="E805" s="4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93"/>
      <c r="D806" s="4"/>
      <c r="E806" s="4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93"/>
      <c r="D807" s="4"/>
      <c r="E807" s="4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93"/>
      <c r="D808" s="4"/>
      <c r="E808" s="4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93"/>
      <c r="D809" s="4"/>
      <c r="E809" s="4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93"/>
      <c r="D810" s="4"/>
      <c r="E810" s="4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93"/>
      <c r="D811" s="4"/>
      <c r="E811" s="4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93"/>
      <c r="D812" s="4"/>
      <c r="E812" s="4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93"/>
      <c r="D813" s="4"/>
      <c r="E813" s="4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93"/>
      <c r="D814" s="4"/>
      <c r="E814" s="4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93"/>
      <c r="D815" s="4"/>
      <c r="E815" s="4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93"/>
      <c r="D816" s="4"/>
      <c r="E816" s="4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93"/>
      <c r="D817" s="4"/>
      <c r="E817" s="4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93"/>
      <c r="D818" s="4"/>
      <c r="E818" s="4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93"/>
      <c r="D819" s="4"/>
      <c r="E819" s="4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93"/>
      <c r="D820" s="4"/>
      <c r="E820" s="4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93"/>
      <c r="D821" s="4"/>
      <c r="E821" s="4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93"/>
      <c r="D822" s="4"/>
      <c r="E822" s="4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93"/>
      <c r="D823" s="4"/>
      <c r="E823" s="4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93"/>
      <c r="D824" s="4"/>
      <c r="E824" s="4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93"/>
      <c r="D825" s="4"/>
      <c r="E825" s="4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93"/>
      <c r="D826" s="4"/>
      <c r="E826" s="4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93"/>
      <c r="D827" s="4"/>
      <c r="E827" s="4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93"/>
      <c r="D828" s="4"/>
      <c r="E828" s="4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93"/>
      <c r="D829" s="4"/>
      <c r="E829" s="4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93"/>
      <c r="D830" s="4"/>
      <c r="E830" s="4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93"/>
      <c r="D831" s="4"/>
      <c r="E831" s="4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93"/>
      <c r="D832" s="4"/>
      <c r="E832" s="4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93"/>
      <c r="D833" s="4"/>
      <c r="E833" s="4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93"/>
      <c r="D834" s="4"/>
      <c r="E834" s="4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93"/>
      <c r="D835" s="4"/>
      <c r="E835" s="4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93"/>
      <c r="D836" s="4"/>
      <c r="E836" s="4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93"/>
      <c r="D837" s="4"/>
      <c r="E837" s="4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93"/>
      <c r="D838" s="4"/>
      <c r="E838" s="4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93"/>
      <c r="D839" s="4"/>
      <c r="E839" s="4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93"/>
      <c r="D840" s="4"/>
      <c r="E840" s="4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93"/>
      <c r="D841" s="4"/>
      <c r="E841" s="4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93"/>
      <c r="D842" s="4"/>
      <c r="E842" s="4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93"/>
      <c r="D843" s="4"/>
      <c r="E843" s="4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93"/>
      <c r="D844" s="4"/>
      <c r="E844" s="4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93"/>
      <c r="D845" s="4"/>
      <c r="E845" s="4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93"/>
      <c r="D846" s="4"/>
      <c r="E846" s="4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93"/>
      <c r="D847" s="4"/>
      <c r="E847" s="4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93"/>
      <c r="D848" s="4"/>
      <c r="E848" s="4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93"/>
      <c r="D849" s="4"/>
      <c r="E849" s="4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93"/>
      <c r="D850" s="4"/>
      <c r="E850" s="4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93"/>
      <c r="D851" s="4"/>
      <c r="E851" s="4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93"/>
      <c r="D852" s="4"/>
      <c r="E852" s="4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93"/>
      <c r="D853" s="4"/>
      <c r="E853" s="4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93"/>
      <c r="D854" s="4"/>
      <c r="E854" s="4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93"/>
      <c r="D855" s="4"/>
      <c r="E855" s="4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93"/>
      <c r="D856" s="4"/>
      <c r="E856" s="4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93"/>
      <c r="D857" s="4"/>
      <c r="E857" s="4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93"/>
      <c r="D858" s="4"/>
      <c r="E858" s="4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93"/>
      <c r="D859" s="4"/>
      <c r="E859" s="4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93"/>
      <c r="D860" s="4"/>
      <c r="E860" s="4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93"/>
      <c r="D861" s="4"/>
      <c r="E861" s="4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93"/>
      <c r="D862" s="4"/>
      <c r="E862" s="4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93"/>
      <c r="D863" s="4"/>
      <c r="E863" s="4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93"/>
      <c r="D864" s="4"/>
      <c r="E864" s="4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93"/>
      <c r="D865" s="4"/>
      <c r="E865" s="4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93"/>
      <c r="D866" s="4"/>
      <c r="E866" s="4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93"/>
      <c r="D867" s="4"/>
      <c r="E867" s="4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93"/>
      <c r="D868" s="4"/>
      <c r="E868" s="4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93"/>
      <c r="D869" s="4"/>
      <c r="E869" s="4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93"/>
      <c r="D870" s="4"/>
      <c r="E870" s="4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93"/>
      <c r="D871" s="4"/>
      <c r="E871" s="4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93"/>
      <c r="D872" s="4"/>
      <c r="E872" s="4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93"/>
      <c r="D873" s="4"/>
      <c r="E873" s="4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93"/>
      <c r="D874" s="4"/>
      <c r="E874" s="4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93"/>
      <c r="D875" s="4"/>
      <c r="E875" s="4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93"/>
      <c r="D876" s="4"/>
      <c r="E876" s="4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93"/>
      <c r="D877" s="4"/>
      <c r="E877" s="4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93"/>
      <c r="D878" s="4"/>
      <c r="E878" s="4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93"/>
      <c r="D879" s="4"/>
      <c r="E879" s="4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93"/>
      <c r="D880" s="4"/>
      <c r="E880" s="4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93"/>
      <c r="D881" s="4"/>
      <c r="E881" s="4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93"/>
      <c r="D882" s="4"/>
      <c r="E882" s="4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93"/>
      <c r="D883" s="4"/>
      <c r="E883" s="4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93"/>
      <c r="D884" s="4"/>
      <c r="E884" s="4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93"/>
      <c r="D885" s="4"/>
      <c r="E885" s="4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93"/>
      <c r="D886" s="4"/>
      <c r="E886" s="4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93"/>
      <c r="D887" s="4"/>
      <c r="E887" s="4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93"/>
      <c r="D888" s="4"/>
      <c r="E888" s="4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93"/>
      <c r="D889" s="4"/>
      <c r="E889" s="4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93"/>
      <c r="D890" s="4"/>
      <c r="E890" s="4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93"/>
      <c r="D891" s="4"/>
      <c r="E891" s="4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93"/>
      <c r="D892" s="4"/>
      <c r="E892" s="4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93"/>
      <c r="D893" s="4"/>
      <c r="E893" s="4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93"/>
      <c r="D894" s="4"/>
      <c r="E894" s="4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93"/>
      <c r="D895" s="4"/>
      <c r="E895" s="4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93"/>
      <c r="D896" s="4"/>
      <c r="E896" s="4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93"/>
      <c r="D897" s="4"/>
      <c r="E897" s="4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93"/>
      <c r="D898" s="4"/>
      <c r="E898" s="4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93"/>
      <c r="D899" s="4"/>
      <c r="E899" s="4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93"/>
      <c r="D900" s="4"/>
      <c r="E900" s="4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93"/>
      <c r="D901" s="4"/>
      <c r="E901" s="4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93"/>
      <c r="D902" s="4"/>
      <c r="E902" s="4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93"/>
      <c r="D903" s="4"/>
      <c r="E903" s="4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93"/>
      <c r="D904" s="4"/>
      <c r="E904" s="4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93"/>
      <c r="D905" s="4"/>
      <c r="E905" s="4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93"/>
      <c r="D906" s="4"/>
      <c r="E906" s="4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93"/>
      <c r="D907" s="4"/>
      <c r="E907" s="4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93"/>
      <c r="D908" s="4"/>
      <c r="E908" s="4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93"/>
      <c r="D909" s="4"/>
      <c r="E909" s="4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93"/>
      <c r="D910" s="4"/>
      <c r="E910" s="4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93"/>
      <c r="D911" s="4"/>
      <c r="E911" s="4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93"/>
      <c r="D912" s="4"/>
      <c r="E912" s="4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93"/>
      <c r="D913" s="4"/>
      <c r="E913" s="4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93"/>
      <c r="D914" s="4"/>
      <c r="E914" s="4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93"/>
      <c r="D915" s="4"/>
      <c r="E915" s="4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93"/>
      <c r="D916" s="4"/>
      <c r="E916" s="4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93"/>
      <c r="D917" s="4"/>
      <c r="E917" s="4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93"/>
      <c r="D918" s="4"/>
      <c r="E918" s="4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93"/>
      <c r="D919" s="4"/>
      <c r="E919" s="4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93"/>
      <c r="D920" s="4"/>
      <c r="E920" s="4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93"/>
      <c r="D921" s="4"/>
      <c r="E921" s="4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93"/>
      <c r="D922" s="4"/>
      <c r="E922" s="4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93"/>
      <c r="D923" s="4"/>
      <c r="E923" s="4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93"/>
      <c r="D924" s="4"/>
      <c r="E924" s="4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93"/>
      <c r="D925" s="4"/>
      <c r="E925" s="4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93"/>
      <c r="D926" s="4"/>
      <c r="E926" s="4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93"/>
      <c r="D927" s="4"/>
      <c r="E927" s="4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93"/>
      <c r="D928" s="4"/>
      <c r="E928" s="4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93"/>
      <c r="D929" s="4"/>
      <c r="E929" s="4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93"/>
      <c r="D930" s="4"/>
      <c r="E930" s="4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93"/>
      <c r="D931" s="4"/>
      <c r="E931" s="4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93"/>
      <c r="D932" s="4"/>
      <c r="E932" s="4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93"/>
      <c r="D933" s="4"/>
      <c r="E933" s="4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93"/>
      <c r="D934" s="4"/>
      <c r="E934" s="4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93"/>
      <c r="D935" s="4"/>
      <c r="E935" s="4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93"/>
      <c r="D936" s="4"/>
      <c r="E936" s="4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93"/>
      <c r="D937" s="4"/>
      <c r="E937" s="4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93"/>
      <c r="D938" s="4"/>
      <c r="E938" s="4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93"/>
      <c r="D939" s="4"/>
      <c r="E939" s="4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93"/>
      <c r="D940" s="4"/>
      <c r="E940" s="4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93"/>
      <c r="D941" s="4"/>
      <c r="E941" s="4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93"/>
      <c r="D942" s="4"/>
      <c r="E942" s="4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93"/>
      <c r="D943" s="4"/>
      <c r="E943" s="4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93"/>
      <c r="D944" s="4"/>
      <c r="E944" s="4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93"/>
      <c r="D945" s="4"/>
      <c r="E945" s="4"/>
      <c r="F945" s="1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93"/>
      <c r="D946" s="4"/>
      <c r="E946" s="4"/>
      <c r="F946" s="1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93"/>
      <c r="D947" s="4"/>
      <c r="E947" s="4"/>
      <c r="F947" s="1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93"/>
      <c r="D948" s="4"/>
      <c r="E948" s="4"/>
      <c r="F948" s="1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93"/>
      <c r="D949" s="4"/>
      <c r="E949" s="4"/>
      <c r="F949" s="1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93"/>
      <c r="D950" s="4"/>
      <c r="E950" s="4"/>
      <c r="F950" s="1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93"/>
      <c r="D951" s="4"/>
      <c r="E951" s="4"/>
      <c r="F951" s="1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93"/>
      <c r="D952" s="4"/>
      <c r="E952" s="4"/>
      <c r="F952" s="1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93"/>
      <c r="D953" s="4"/>
      <c r="E953" s="4"/>
      <c r="F953" s="1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93"/>
      <c r="D954" s="4"/>
      <c r="E954" s="4"/>
      <c r="F954" s="1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93"/>
      <c r="D955" s="4"/>
      <c r="E955" s="4"/>
      <c r="F955" s="1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93"/>
      <c r="D956" s="4"/>
      <c r="E956" s="4"/>
      <c r="F956" s="1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93"/>
      <c r="D957" s="4"/>
      <c r="E957" s="4"/>
      <c r="F957" s="1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93"/>
      <c r="D958" s="4"/>
      <c r="E958" s="4"/>
      <c r="F958" s="1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93"/>
      <c r="D959" s="4"/>
      <c r="E959" s="4"/>
      <c r="F959" s="1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93"/>
      <c r="D960" s="4"/>
      <c r="E960" s="4"/>
      <c r="F960" s="1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93"/>
      <c r="D961" s="4"/>
      <c r="E961" s="4"/>
      <c r="F961" s="1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93"/>
      <c r="D962" s="4"/>
      <c r="E962" s="4"/>
      <c r="F962" s="1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93"/>
      <c r="D963" s="4"/>
      <c r="E963" s="4"/>
      <c r="F963" s="1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93"/>
      <c r="D964" s="4"/>
      <c r="E964" s="4"/>
      <c r="F964" s="1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93"/>
      <c r="D965" s="4"/>
      <c r="E965" s="4"/>
      <c r="F965" s="1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93"/>
      <c r="D966" s="4"/>
      <c r="E966" s="4"/>
      <c r="F966" s="1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93"/>
      <c r="D967" s="4"/>
      <c r="E967" s="4"/>
      <c r="F967" s="1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93"/>
      <c r="D968" s="4"/>
      <c r="E968" s="4"/>
      <c r="F968" s="1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93"/>
      <c r="D969" s="4"/>
      <c r="E969" s="4"/>
      <c r="F969" s="1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93"/>
      <c r="D970" s="4"/>
      <c r="E970" s="4"/>
      <c r="F970" s="1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93"/>
      <c r="D971" s="4"/>
      <c r="E971" s="4"/>
      <c r="F971" s="1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93"/>
      <c r="D972" s="4"/>
      <c r="E972" s="4"/>
      <c r="F972" s="1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93"/>
      <c r="D973" s="4"/>
      <c r="E973" s="4"/>
      <c r="F973" s="1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93"/>
      <c r="D974" s="4"/>
      <c r="E974" s="4"/>
      <c r="F974" s="1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93"/>
      <c r="D975" s="4"/>
      <c r="E975" s="4"/>
      <c r="F975" s="1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93"/>
      <c r="D976" s="4"/>
      <c r="E976" s="4"/>
      <c r="F976" s="1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93"/>
      <c r="D977" s="4"/>
      <c r="E977" s="4"/>
      <c r="F977" s="1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93"/>
      <c r="D978" s="4"/>
      <c r="E978" s="4"/>
      <c r="F978" s="1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93"/>
      <c r="D979" s="4"/>
      <c r="E979" s="4"/>
      <c r="F979" s="1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93"/>
      <c r="D980" s="4"/>
      <c r="E980" s="4"/>
      <c r="F980" s="1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93"/>
      <c r="D981" s="4"/>
      <c r="E981" s="4"/>
      <c r="F981" s="1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93"/>
      <c r="D982" s="4"/>
      <c r="E982" s="4"/>
      <c r="F982" s="1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93"/>
      <c r="D983" s="4"/>
      <c r="E983" s="4"/>
      <c r="F983" s="1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93"/>
      <c r="D984" s="4"/>
      <c r="E984" s="4"/>
      <c r="F984" s="1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93"/>
      <c r="D985" s="4"/>
      <c r="E985" s="4"/>
      <c r="F985" s="1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93"/>
      <c r="D986" s="4"/>
      <c r="E986" s="4"/>
      <c r="F986" s="1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</sheetData>
  <dataValidations>
    <dataValidation type="list" allowBlank="1" showErrorMessage="1" sqref="D2:D193">
      <formula1>"Mech Combo,AutoCAD,CATIA,CREO,SOLIDWORKS,CIVIL ,DA,P-FSD,J-FSD,DM,DS,DADS,ST,CYBER-S,Others,Job,UIUX,AIML"</formula1>
    </dataValidation>
    <dataValidation type="list" allowBlank="1" showErrorMessage="1" sqref="K2:K193">
      <formula1>"EMI doc shared,EMI Rejected,Interested,Enrolled,Not Interested, Not Interested_Fees High,Plan Dropped,Joined Elsewhere,EMI Approved,FPL,Not Answering,Gone Cold,Switchedoff,Not Reachable,Disconnecting the call,EMI Applied,Doc Pending,Call Busy,Call back re"&amp;"quested"</formula1>
    </dataValidation>
    <dataValidation type="list" allowBlank="1" showErrorMessage="1" sqref="A2:A193">
      <formula1>"Sasi,Brindha,Dustin,Lakshmanan,Nithish"</formula1>
    </dataValidation>
    <dataValidation type="list" allowBlank="1" showErrorMessage="1" sqref="H2:H193 L2:L193">
      <formula1>"Cold,Warm,Hot,Super Hot,Lost,Not Connected,Won,Connected,Approved,Rejected"</formula1>
    </dataValidation>
    <dataValidation type="list" allowBlank="1" showErrorMessage="1" sqref="G2:G193">
      <formula1>"Not Answering,Not Interested,Interested,Demo Scheduled,Demo Completed,Enrolled,EMI Rejected,Interested_DNP,Wrong Number,Not Reachable,Joined Elsewhere,Followup,Call Back Requested,Call Busy,Future Prospect Leads,Disconnecting the call,Switchedoff,Looking "&amp;"for job,No Incoming,EMI Process"</formula1>
    </dataValidation>
    <dataValidation type="custom" allowBlank="1" showDropDown="1" sqref="F2:F193">
      <formula1>OR(NOT(ISERROR(DATEVALUE(F2))), AND(ISNUMBER(F2), LEFT(CELL("format", F2))="D"))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25"/>
    <col customWidth="1" min="6" max="6" width="8.88"/>
    <col customWidth="1" min="9" max="9" width="2.63"/>
  </cols>
  <sheetData>
    <row r="1">
      <c r="A1" s="99" t="s">
        <v>0</v>
      </c>
      <c r="B1" s="99" t="s">
        <v>157</v>
      </c>
      <c r="C1" s="99" t="s">
        <v>1505</v>
      </c>
      <c r="D1" s="101" t="s">
        <v>335</v>
      </c>
      <c r="E1" s="99" t="s">
        <v>337</v>
      </c>
      <c r="F1" s="99" t="s">
        <v>341</v>
      </c>
      <c r="G1" s="99" t="s">
        <v>1017</v>
      </c>
      <c r="H1" s="102" t="s">
        <v>342</v>
      </c>
      <c r="I1" s="99" t="s">
        <v>343</v>
      </c>
      <c r="J1" s="102" t="s">
        <v>344</v>
      </c>
      <c r="K1" s="102" t="s">
        <v>345</v>
      </c>
      <c r="L1" s="99" t="s">
        <v>342</v>
      </c>
      <c r="M1" s="99" t="s">
        <v>346</v>
      </c>
      <c r="N1" s="105"/>
      <c r="O1" s="105"/>
      <c r="P1" s="105"/>
      <c r="Q1" s="105"/>
      <c r="R1" s="105"/>
      <c r="S1" s="105"/>
      <c r="T1" s="105"/>
    </row>
    <row r="2">
      <c r="A2" s="30" t="s">
        <v>22</v>
      </c>
      <c r="B2" s="9" t="s">
        <v>3098</v>
      </c>
      <c r="C2" s="13">
        <v>8.508652166E9</v>
      </c>
      <c r="D2" s="6" t="s">
        <v>38</v>
      </c>
      <c r="E2" s="9" t="s">
        <v>3099</v>
      </c>
      <c r="F2" s="176">
        <v>46174.0</v>
      </c>
      <c r="G2" s="6" t="s">
        <v>431</v>
      </c>
      <c r="H2" s="6" t="s">
        <v>432</v>
      </c>
      <c r="I2" s="104" t="b">
        <v>0</v>
      </c>
      <c r="J2" s="6" t="s">
        <v>3100</v>
      </c>
      <c r="K2" s="53"/>
      <c r="L2" s="53"/>
      <c r="M2" s="4"/>
      <c r="N2" s="4"/>
      <c r="O2" s="4"/>
      <c r="P2" s="4"/>
      <c r="Q2" s="4"/>
      <c r="R2" s="4"/>
      <c r="S2" s="4"/>
      <c r="T2" s="4"/>
    </row>
    <row r="3">
      <c r="A3" s="30" t="s">
        <v>22</v>
      </c>
      <c r="B3" s="9" t="s">
        <v>3101</v>
      </c>
      <c r="C3" s="13">
        <v>9.715921394E9</v>
      </c>
      <c r="D3" s="6" t="s">
        <v>45</v>
      </c>
      <c r="E3" s="9" t="s">
        <v>659</v>
      </c>
      <c r="F3" s="176">
        <v>46174.0</v>
      </c>
      <c r="G3" s="6" t="s">
        <v>431</v>
      </c>
      <c r="H3" s="6" t="s">
        <v>432</v>
      </c>
      <c r="I3" s="104" t="b">
        <v>0</v>
      </c>
      <c r="J3" s="6" t="s">
        <v>3102</v>
      </c>
      <c r="K3" s="53"/>
      <c r="L3" s="53"/>
      <c r="M3" s="4"/>
      <c r="N3" s="4"/>
      <c r="O3" s="4"/>
      <c r="P3" s="4"/>
      <c r="Q3" s="4"/>
      <c r="R3" s="4"/>
      <c r="S3" s="4"/>
      <c r="T3" s="4"/>
    </row>
    <row r="4">
      <c r="A4" s="30" t="s">
        <v>22</v>
      </c>
      <c r="B4" s="9" t="s">
        <v>3103</v>
      </c>
      <c r="C4" s="13">
        <v>9.047108282E9</v>
      </c>
      <c r="D4" s="6" t="s">
        <v>38</v>
      </c>
      <c r="E4" s="9" t="s">
        <v>409</v>
      </c>
      <c r="F4" s="176">
        <v>46174.0</v>
      </c>
      <c r="G4" s="6" t="s">
        <v>431</v>
      </c>
      <c r="H4" s="6" t="s">
        <v>432</v>
      </c>
      <c r="I4" s="104" t="b">
        <v>0</v>
      </c>
      <c r="J4" s="6" t="s">
        <v>3104</v>
      </c>
      <c r="K4" s="53"/>
      <c r="L4" s="53"/>
      <c r="M4" s="4"/>
      <c r="N4" s="4"/>
      <c r="O4" s="4"/>
      <c r="P4" s="4"/>
      <c r="Q4" s="4"/>
      <c r="R4" s="4"/>
      <c r="S4" s="4"/>
      <c r="T4" s="4"/>
    </row>
    <row r="5">
      <c r="A5" s="30" t="s">
        <v>22</v>
      </c>
      <c r="B5" s="4"/>
      <c r="C5" s="93"/>
      <c r="D5" s="6"/>
      <c r="E5" s="4"/>
      <c r="F5" s="176"/>
      <c r="G5" s="53"/>
      <c r="H5" s="53"/>
      <c r="I5" s="104" t="b">
        <v>0</v>
      </c>
      <c r="J5" s="53"/>
      <c r="K5" s="53"/>
      <c r="L5" s="53"/>
      <c r="M5" s="4"/>
      <c r="N5" s="4"/>
      <c r="O5" s="4"/>
      <c r="P5" s="4"/>
      <c r="Q5" s="4"/>
      <c r="R5" s="4"/>
      <c r="S5" s="4"/>
      <c r="T5" s="4"/>
    </row>
    <row r="6">
      <c r="A6" s="30" t="s">
        <v>22</v>
      </c>
      <c r="B6" s="4"/>
      <c r="C6" s="93"/>
      <c r="D6" s="6"/>
      <c r="E6" s="4"/>
      <c r="F6" s="176"/>
      <c r="G6" s="53"/>
      <c r="H6" s="53"/>
      <c r="I6" s="104" t="b">
        <v>0</v>
      </c>
      <c r="J6" s="53"/>
      <c r="K6" s="53"/>
      <c r="L6" s="53"/>
      <c r="M6" s="4"/>
      <c r="N6" s="4"/>
      <c r="O6" s="4"/>
      <c r="P6" s="4"/>
      <c r="Q6" s="4"/>
      <c r="R6" s="4"/>
      <c r="S6" s="4"/>
      <c r="T6" s="4"/>
    </row>
    <row r="7">
      <c r="A7" s="30" t="s">
        <v>22</v>
      </c>
      <c r="B7" s="4"/>
      <c r="C7" s="93"/>
      <c r="D7" s="6"/>
      <c r="E7" s="4"/>
      <c r="F7" s="176"/>
      <c r="G7" s="53"/>
      <c r="H7" s="53"/>
      <c r="I7" s="104" t="b">
        <v>0</v>
      </c>
      <c r="J7" s="53"/>
      <c r="K7" s="53"/>
      <c r="L7" s="53"/>
      <c r="M7" s="4"/>
      <c r="N7" s="4"/>
      <c r="O7" s="4"/>
      <c r="P7" s="4"/>
      <c r="Q7" s="4"/>
      <c r="R7" s="4"/>
      <c r="S7" s="4"/>
      <c r="T7" s="4"/>
    </row>
    <row r="8">
      <c r="A8" s="30" t="s">
        <v>22</v>
      </c>
      <c r="B8" s="4"/>
      <c r="C8" s="93"/>
      <c r="D8" s="6"/>
      <c r="E8" s="4"/>
      <c r="F8" s="176"/>
      <c r="G8" s="53"/>
      <c r="H8" s="53"/>
      <c r="I8" s="104" t="b">
        <v>0</v>
      </c>
      <c r="J8" s="53"/>
      <c r="K8" s="53"/>
      <c r="L8" s="53"/>
      <c r="M8" s="4"/>
      <c r="N8" s="4"/>
      <c r="O8" s="4"/>
      <c r="P8" s="4"/>
      <c r="Q8" s="4"/>
      <c r="R8" s="4"/>
      <c r="S8" s="4"/>
      <c r="T8" s="4"/>
    </row>
    <row r="9">
      <c r="A9" s="30" t="s">
        <v>22</v>
      </c>
      <c r="B9" s="4"/>
      <c r="C9" s="93"/>
      <c r="D9" s="6"/>
      <c r="E9" s="4"/>
      <c r="F9" s="176"/>
      <c r="G9" s="53"/>
      <c r="H9" s="53"/>
      <c r="I9" s="104" t="b">
        <v>0</v>
      </c>
      <c r="J9" s="53"/>
      <c r="K9" s="53"/>
      <c r="L9" s="53"/>
      <c r="M9" s="4"/>
      <c r="N9" s="4"/>
      <c r="O9" s="4"/>
      <c r="P9" s="4"/>
      <c r="Q9" s="4"/>
      <c r="R9" s="4"/>
      <c r="S9" s="4"/>
      <c r="T9" s="4"/>
    </row>
    <row r="10">
      <c r="A10" s="30" t="s">
        <v>22</v>
      </c>
      <c r="B10" s="4"/>
      <c r="C10" s="93"/>
      <c r="D10" s="6"/>
      <c r="E10" s="4"/>
      <c r="F10" s="176"/>
      <c r="G10" s="53"/>
      <c r="H10" s="53"/>
      <c r="I10" s="104" t="b">
        <v>0</v>
      </c>
      <c r="J10" s="53"/>
      <c r="K10" s="53"/>
      <c r="L10" s="53"/>
      <c r="M10" s="4"/>
      <c r="N10" s="4"/>
      <c r="O10" s="4"/>
      <c r="P10" s="4"/>
      <c r="Q10" s="4"/>
      <c r="R10" s="4"/>
      <c r="S10" s="4"/>
      <c r="T10" s="4"/>
    </row>
    <row r="11">
      <c r="A11" s="30" t="s">
        <v>22</v>
      </c>
      <c r="B11" s="4"/>
      <c r="C11" s="93"/>
      <c r="D11" s="6"/>
      <c r="E11" s="4"/>
      <c r="F11" s="176"/>
      <c r="G11" s="53"/>
      <c r="H11" s="53"/>
      <c r="I11" s="104" t="b">
        <v>0</v>
      </c>
      <c r="J11" s="53"/>
      <c r="K11" s="53"/>
      <c r="L11" s="53"/>
      <c r="M11" s="4"/>
      <c r="N11" s="4"/>
      <c r="O11" s="4"/>
      <c r="P11" s="4"/>
      <c r="Q11" s="4"/>
      <c r="R11" s="4"/>
      <c r="S11" s="4"/>
      <c r="T11" s="4"/>
    </row>
    <row r="12">
      <c r="A12" s="30" t="s">
        <v>22</v>
      </c>
      <c r="B12" s="4"/>
      <c r="C12" s="93"/>
      <c r="D12" s="6"/>
      <c r="E12" s="4"/>
      <c r="F12" s="176"/>
      <c r="G12" s="53"/>
      <c r="H12" s="53"/>
      <c r="I12" s="104" t="b">
        <v>0</v>
      </c>
      <c r="J12" s="53"/>
      <c r="K12" s="53"/>
      <c r="L12" s="53"/>
      <c r="M12" s="4"/>
      <c r="N12" s="4"/>
      <c r="O12" s="4"/>
      <c r="P12" s="4"/>
      <c r="Q12" s="4"/>
      <c r="R12" s="4"/>
      <c r="S12" s="4"/>
      <c r="T12" s="4"/>
    </row>
    <row r="13">
      <c r="A13" s="5" t="s">
        <v>22</v>
      </c>
      <c r="B13" s="105"/>
      <c r="C13" s="105"/>
      <c r="D13" s="105"/>
      <c r="E13" s="105"/>
      <c r="F13" s="177"/>
      <c r="G13" s="105"/>
      <c r="H13" s="105"/>
      <c r="I13" s="104" t="b">
        <v>0</v>
      </c>
      <c r="J13" s="105"/>
      <c r="K13" s="105"/>
      <c r="L13" s="105"/>
      <c r="M13" s="105"/>
    </row>
    <row r="14">
      <c r="A14" s="5" t="s">
        <v>22</v>
      </c>
      <c r="B14" s="105"/>
      <c r="C14" s="105"/>
      <c r="D14" s="105"/>
      <c r="E14" s="105"/>
      <c r="F14" s="177"/>
      <c r="G14" s="105"/>
      <c r="H14" s="105"/>
      <c r="I14" s="104" t="b">
        <v>0</v>
      </c>
      <c r="J14" s="105"/>
      <c r="K14" s="105"/>
      <c r="L14" s="105"/>
      <c r="M14" s="105"/>
    </row>
    <row r="15">
      <c r="A15" s="5" t="s">
        <v>22</v>
      </c>
      <c r="B15" s="105"/>
      <c r="C15" s="105"/>
      <c r="D15" s="105"/>
      <c r="E15" s="105"/>
      <c r="F15" s="177"/>
      <c r="G15" s="105"/>
      <c r="H15" s="105"/>
      <c r="I15" s="104" t="b">
        <v>0</v>
      </c>
      <c r="J15" s="105"/>
      <c r="K15" s="105"/>
      <c r="L15" s="105"/>
      <c r="M15" s="105"/>
    </row>
    <row r="16">
      <c r="A16" s="5" t="s">
        <v>22</v>
      </c>
      <c r="B16" s="105"/>
      <c r="C16" s="105"/>
      <c r="D16" s="105"/>
      <c r="E16" s="105"/>
      <c r="F16" s="177"/>
      <c r="G16" s="105"/>
      <c r="H16" s="105"/>
      <c r="I16" s="104" t="b">
        <v>0</v>
      </c>
      <c r="J16" s="105"/>
      <c r="K16" s="105"/>
      <c r="L16" s="105"/>
      <c r="M16" s="105"/>
    </row>
    <row r="17">
      <c r="A17" s="5" t="s">
        <v>22</v>
      </c>
      <c r="B17" s="105"/>
      <c r="C17" s="105"/>
      <c r="D17" s="105"/>
      <c r="E17" s="105"/>
      <c r="F17" s="177"/>
      <c r="G17" s="105"/>
      <c r="H17" s="105"/>
      <c r="I17" s="104" t="b">
        <v>0</v>
      </c>
      <c r="J17" s="105"/>
      <c r="K17" s="105"/>
      <c r="L17" s="105"/>
      <c r="M17" s="105"/>
    </row>
    <row r="18">
      <c r="A18" s="5" t="s">
        <v>22</v>
      </c>
      <c r="B18" s="105"/>
      <c r="C18" s="105"/>
      <c r="D18" s="105"/>
      <c r="E18" s="105"/>
      <c r="F18" s="177"/>
      <c r="G18" s="105"/>
      <c r="H18" s="105"/>
      <c r="I18" s="104" t="b">
        <v>0</v>
      </c>
      <c r="J18" s="105"/>
      <c r="K18" s="105"/>
      <c r="L18" s="105"/>
      <c r="M18" s="105"/>
    </row>
    <row r="19">
      <c r="A19" s="5" t="s">
        <v>22</v>
      </c>
      <c r="B19" s="105"/>
      <c r="C19" s="105"/>
      <c r="D19" s="105"/>
      <c r="E19" s="105"/>
      <c r="F19" s="177"/>
      <c r="G19" s="105"/>
      <c r="H19" s="105"/>
      <c r="I19" s="104" t="b">
        <v>0</v>
      </c>
      <c r="J19" s="105"/>
      <c r="K19" s="105"/>
      <c r="L19" s="105"/>
      <c r="M19" s="105"/>
    </row>
    <row r="20">
      <c r="A20" s="5" t="s">
        <v>22</v>
      </c>
      <c r="B20" s="105"/>
      <c r="C20" s="105"/>
      <c r="D20" s="105"/>
      <c r="E20" s="105"/>
      <c r="F20" s="177"/>
      <c r="G20" s="105"/>
      <c r="H20" s="105"/>
      <c r="I20" s="104" t="b">
        <v>0</v>
      </c>
      <c r="J20" s="105"/>
      <c r="K20" s="105"/>
      <c r="L20" s="105"/>
      <c r="M20" s="105"/>
    </row>
    <row r="21">
      <c r="A21" s="5" t="s">
        <v>22</v>
      </c>
      <c r="B21" s="105"/>
      <c r="C21" s="105"/>
      <c r="D21" s="105"/>
      <c r="E21" s="105"/>
      <c r="F21" s="177"/>
      <c r="G21" s="105"/>
      <c r="H21" s="105"/>
      <c r="I21" s="104" t="b">
        <v>0</v>
      </c>
      <c r="J21" s="105"/>
      <c r="K21" s="105"/>
      <c r="L21" s="105"/>
      <c r="M21" s="105"/>
    </row>
    <row r="22">
      <c r="A22" s="5" t="s">
        <v>22</v>
      </c>
      <c r="B22" s="105"/>
      <c r="C22" s="105"/>
      <c r="D22" s="105"/>
      <c r="E22" s="105"/>
      <c r="F22" s="177"/>
      <c r="G22" s="105"/>
      <c r="H22" s="105"/>
      <c r="I22" s="104" t="b">
        <v>0</v>
      </c>
      <c r="J22" s="105"/>
      <c r="K22" s="105"/>
      <c r="L22" s="105"/>
      <c r="M22" s="105"/>
    </row>
    <row r="23">
      <c r="A23" s="5" t="s">
        <v>22</v>
      </c>
      <c r="B23" s="105"/>
      <c r="C23" s="105"/>
      <c r="D23" s="105"/>
      <c r="E23" s="105"/>
      <c r="F23" s="177"/>
      <c r="G23" s="105"/>
      <c r="H23" s="105"/>
      <c r="I23" s="104" t="b">
        <v>0</v>
      </c>
      <c r="J23" s="105"/>
      <c r="K23" s="105"/>
      <c r="L23" s="105"/>
      <c r="M23" s="105"/>
    </row>
    <row r="24">
      <c r="A24" s="5" t="s">
        <v>22</v>
      </c>
      <c r="B24" s="105"/>
      <c r="C24" s="105"/>
      <c r="D24" s="105"/>
      <c r="E24" s="105"/>
      <c r="F24" s="177"/>
      <c r="G24" s="105"/>
      <c r="H24" s="105"/>
      <c r="I24" s="104" t="b">
        <v>0</v>
      </c>
      <c r="J24" s="105"/>
      <c r="K24" s="105"/>
      <c r="L24" s="105"/>
      <c r="M24" s="105"/>
    </row>
    <row r="25">
      <c r="A25" s="5" t="s">
        <v>22</v>
      </c>
      <c r="B25" s="105"/>
      <c r="C25" s="105"/>
      <c r="D25" s="105"/>
      <c r="E25" s="105"/>
      <c r="F25" s="177"/>
      <c r="G25" s="105"/>
      <c r="H25" s="105"/>
      <c r="I25" s="104" t="b">
        <v>0</v>
      </c>
      <c r="J25" s="105"/>
      <c r="K25" s="105"/>
      <c r="L25" s="105"/>
      <c r="M25" s="105"/>
    </row>
    <row r="26">
      <c r="A26" s="5" t="s">
        <v>22</v>
      </c>
      <c r="B26" s="105"/>
      <c r="C26" s="105"/>
      <c r="D26" s="105"/>
      <c r="E26" s="105"/>
      <c r="F26" s="177"/>
      <c r="G26" s="105"/>
      <c r="H26" s="105"/>
      <c r="I26" s="104" t="b">
        <v>0</v>
      </c>
      <c r="J26" s="105"/>
      <c r="K26" s="105"/>
      <c r="L26" s="105"/>
      <c r="M26" s="105"/>
    </row>
    <row r="27">
      <c r="A27" s="5" t="s">
        <v>22</v>
      </c>
      <c r="B27" s="105"/>
      <c r="C27" s="105"/>
      <c r="D27" s="105"/>
      <c r="E27" s="105"/>
      <c r="F27" s="177"/>
      <c r="G27" s="105"/>
      <c r="H27" s="105"/>
      <c r="I27" s="104" t="b">
        <v>0</v>
      </c>
      <c r="J27" s="105"/>
      <c r="K27" s="105"/>
      <c r="L27" s="105"/>
      <c r="M27" s="105"/>
    </row>
    <row r="28">
      <c r="A28" s="5" t="s">
        <v>22</v>
      </c>
      <c r="B28" s="105"/>
      <c r="C28" s="105"/>
      <c r="D28" s="105"/>
      <c r="E28" s="105"/>
      <c r="F28" s="177"/>
      <c r="G28" s="105"/>
      <c r="H28" s="105"/>
      <c r="I28" s="104" t="b">
        <v>0</v>
      </c>
      <c r="J28" s="105"/>
      <c r="K28" s="105"/>
      <c r="L28" s="105"/>
      <c r="M28" s="105"/>
    </row>
    <row r="29">
      <c r="A29" s="5" t="s">
        <v>22</v>
      </c>
      <c r="B29" s="105"/>
      <c r="C29" s="105"/>
      <c r="D29" s="105"/>
      <c r="E29" s="105"/>
      <c r="F29" s="177"/>
      <c r="G29" s="105"/>
      <c r="H29" s="105"/>
      <c r="I29" s="104" t="b">
        <v>0</v>
      </c>
      <c r="J29" s="105"/>
      <c r="K29" s="105"/>
      <c r="L29" s="105"/>
      <c r="M29" s="105"/>
    </row>
    <row r="30">
      <c r="A30" s="5" t="s">
        <v>22</v>
      </c>
      <c r="B30" s="105"/>
      <c r="C30" s="105"/>
      <c r="D30" s="105"/>
      <c r="E30" s="105"/>
      <c r="F30" s="177"/>
      <c r="G30" s="105"/>
      <c r="H30" s="105"/>
      <c r="I30" s="104" t="b">
        <v>0</v>
      </c>
      <c r="J30" s="105"/>
      <c r="K30" s="105"/>
      <c r="L30" s="105"/>
      <c r="M30" s="105"/>
    </row>
    <row r="31">
      <c r="A31" s="5" t="s">
        <v>22</v>
      </c>
      <c r="B31" s="105"/>
      <c r="C31" s="105"/>
      <c r="D31" s="105"/>
      <c r="E31" s="105"/>
      <c r="F31" s="177"/>
      <c r="G31" s="105"/>
      <c r="H31" s="105"/>
      <c r="I31" s="104" t="b">
        <v>0</v>
      </c>
      <c r="J31" s="105"/>
      <c r="K31" s="105"/>
      <c r="L31" s="105"/>
      <c r="M31" s="105"/>
    </row>
    <row r="32">
      <c r="A32" s="5" t="s">
        <v>22</v>
      </c>
      <c r="B32" s="105"/>
      <c r="C32" s="105"/>
      <c r="D32" s="105"/>
      <c r="E32" s="105"/>
      <c r="F32" s="177"/>
      <c r="G32" s="105"/>
      <c r="H32" s="105"/>
      <c r="I32" s="104" t="b">
        <v>0</v>
      </c>
      <c r="J32" s="105"/>
      <c r="K32" s="105"/>
      <c r="L32" s="105"/>
      <c r="M32" s="105"/>
    </row>
    <row r="33">
      <c r="A33" s="5" t="s">
        <v>22</v>
      </c>
      <c r="B33" s="105"/>
      <c r="C33" s="105"/>
      <c r="D33" s="105"/>
      <c r="E33" s="105"/>
      <c r="F33" s="177"/>
      <c r="G33" s="105"/>
      <c r="H33" s="105"/>
      <c r="I33" s="104" t="b">
        <v>0</v>
      </c>
      <c r="J33" s="105"/>
      <c r="K33" s="105"/>
      <c r="L33" s="105"/>
      <c r="M33" s="105"/>
    </row>
    <row r="34">
      <c r="A34" s="5" t="s">
        <v>22</v>
      </c>
      <c r="B34" s="105"/>
      <c r="C34" s="105"/>
      <c r="D34" s="105"/>
      <c r="E34" s="105"/>
      <c r="F34" s="177"/>
      <c r="G34" s="105"/>
      <c r="H34" s="105"/>
      <c r="I34" s="104" t="b">
        <v>0</v>
      </c>
      <c r="J34" s="105"/>
      <c r="K34" s="105"/>
      <c r="L34" s="105"/>
      <c r="M34" s="105"/>
    </row>
    <row r="35">
      <c r="A35" s="5" t="s">
        <v>22</v>
      </c>
      <c r="B35" s="105"/>
      <c r="C35" s="105"/>
      <c r="D35" s="105"/>
      <c r="E35" s="105"/>
      <c r="F35" s="177"/>
      <c r="G35" s="105"/>
      <c r="H35" s="105"/>
      <c r="I35" s="104" t="b">
        <v>0</v>
      </c>
      <c r="J35" s="105"/>
      <c r="K35" s="105"/>
      <c r="L35" s="105"/>
      <c r="M35" s="105"/>
    </row>
    <row r="36">
      <c r="A36" s="5" t="s">
        <v>22</v>
      </c>
      <c r="B36" s="105"/>
      <c r="C36" s="105"/>
      <c r="D36" s="105"/>
      <c r="E36" s="105"/>
      <c r="F36" s="177"/>
      <c r="G36" s="105"/>
      <c r="H36" s="105"/>
      <c r="I36" s="104" t="b">
        <v>0</v>
      </c>
      <c r="J36" s="105"/>
      <c r="K36" s="105"/>
      <c r="L36" s="105"/>
      <c r="M36" s="105"/>
    </row>
    <row r="37">
      <c r="A37" s="5" t="s">
        <v>22</v>
      </c>
      <c r="B37" s="105"/>
      <c r="C37" s="105"/>
      <c r="D37" s="105"/>
      <c r="E37" s="105"/>
      <c r="F37" s="177"/>
      <c r="G37" s="105"/>
      <c r="H37" s="105"/>
      <c r="I37" s="104" t="b">
        <v>0</v>
      </c>
      <c r="J37" s="105"/>
      <c r="K37" s="105"/>
      <c r="L37" s="105"/>
      <c r="M37" s="105"/>
    </row>
    <row r="38">
      <c r="A38" s="5" t="s">
        <v>22</v>
      </c>
      <c r="B38" s="105"/>
      <c r="C38" s="105"/>
      <c r="D38" s="105"/>
      <c r="E38" s="105"/>
      <c r="F38" s="177"/>
      <c r="G38" s="105"/>
      <c r="H38" s="105"/>
      <c r="I38" s="104" t="b">
        <v>0</v>
      </c>
      <c r="J38" s="105"/>
      <c r="K38" s="105"/>
      <c r="L38" s="105"/>
      <c r="M38" s="105"/>
    </row>
    <row r="39">
      <c r="A39" s="5" t="s">
        <v>22</v>
      </c>
      <c r="B39" s="105"/>
      <c r="C39" s="105"/>
      <c r="D39" s="105"/>
      <c r="E39" s="105"/>
      <c r="F39" s="177"/>
      <c r="G39" s="105"/>
      <c r="H39" s="105"/>
      <c r="I39" s="104" t="b">
        <v>0</v>
      </c>
      <c r="J39" s="105"/>
      <c r="K39" s="105"/>
      <c r="L39" s="105"/>
      <c r="M39" s="105"/>
    </row>
    <row r="40">
      <c r="A40" s="5" t="s">
        <v>22</v>
      </c>
      <c r="B40" s="105"/>
      <c r="C40" s="105"/>
      <c r="D40" s="105"/>
      <c r="E40" s="105"/>
      <c r="F40" s="177"/>
      <c r="G40" s="105"/>
      <c r="H40" s="105"/>
      <c r="I40" s="104" t="b">
        <v>0</v>
      </c>
      <c r="J40" s="105"/>
      <c r="K40" s="105"/>
      <c r="L40" s="105"/>
      <c r="M40" s="105"/>
    </row>
    <row r="41">
      <c r="A41" s="5" t="s">
        <v>22</v>
      </c>
      <c r="B41" s="105"/>
      <c r="C41" s="105"/>
      <c r="D41" s="105"/>
      <c r="E41" s="105"/>
      <c r="F41" s="177"/>
      <c r="G41" s="105"/>
      <c r="H41" s="105"/>
      <c r="I41" s="104" t="b">
        <v>0</v>
      </c>
      <c r="J41" s="105"/>
      <c r="K41" s="105"/>
      <c r="L41" s="105"/>
      <c r="M41" s="105"/>
    </row>
    <row r="42">
      <c r="A42" s="5" t="s">
        <v>22</v>
      </c>
      <c r="B42" s="105"/>
      <c r="C42" s="105"/>
      <c r="D42" s="105"/>
      <c r="E42" s="105"/>
      <c r="F42" s="177"/>
      <c r="G42" s="105"/>
      <c r="H42" s="105"/>
      <c r="I42" s="104" t="b">
        <v>0</v>
      </c>
      <c r="J42" s="105"/>
      <c r="K42" s="105"/>
      <c r="L42" s="105"/>
      <c r="M42" s="105"/>
    </row>
    <row r="43">
      <c r="A43" s="5" t="s">
        <v>22</v>
      </c>
      <c r="B43" s="105"/>
      <c r="C43" s="105"/>
      <c r="D43" s="105"/>
      <c r="E43" s="105"/>
      <c r="F43" s="177"/>
      <c r="G43" s="105"/>
      <c r="H43" s="105"/>
      <c r="I43" s="104" t="b">
        <v>0</v>
      </c>
      <c r="J43" s="105"/>
      <c r="K43" s="105"/>
      <c r="L43" s="105"/>
      <c r="M43" s="105"/>
    </row>
    <row r="44">
      <c r="A44" s="5" t="s">
        <v>22</v>
      </c>
      <c r="B44" s="105"/>
      <c r="C44" s="105"/>
      <c r="D44" s="105"/>
      <c r="E44" s="105"/>
      <c r="F44" s="177"/>
      <c r="G44" s="105"/>
      <c r="H44" s="105"/>
      <c r="I44" s="104" t="b">
        <v>0</v>
      </c>
      <c r="J44" s="105"/>
      <c r="K44" s="105"/>
      <c r="L44" s="105"/>
      <c r="M44" s="105"/>
    </row>
    <row r="45">
      <c r="A45" s="5" t="s">
        <v>22</v>
      </c>
      <c r="B45" s="105"/>
      <c r="C45" s="105"/>
      <c r="D45" s="105"/>
      <c r="E45" s="105"/>
      <c r="F45" s="177"/>
      <c r="G45" s="105"/>
      <c r="H45" s="105"/>
      <c r="I45" s="104" t="b">
        <v>0</v>
      </c>
      <c r="J45" s="105"/>
      <c r="K45" s="105"/>
      <c r="L45" s="105"/>
      <c r="M45" s="105"/>
    </row>
    <row r="46">
      <c r="A46" s="5" t="s">
        <v>22</v>
      </c>
      <c r="B46" s="105"/>
      <c r="C46" s="105"/>
      <c r="D46" s="105"/>
      <c r="E46" s="105"/>
      <c r="F46" s="177"/>
      <c r="G46" s="105"/>
      <c r="H46" s="105"/>
      <c r="I46" s="104" t="b">
        <v>0</v>
      </c>
      <c r="J46" s="105"/>
      <c r="K46" s="105"/>
      <c r="L46" s="105"/>
      <c r="M46" s="105"/>
    </row>
    <row r="47">
      <c r="A47" s="5" t="s">
        <v>22</v>
      </c>
      <c r="B47" s="105"/>
      <c r="C47" s="105"/>
      <c r="D47" s="105"/>
      <c r="E47" s="105"/>
      <c r="F47" s="177"/>
      <c r="G47" s="105"/>
      <c r="H47" s="105"/>
      <c r="I47" s="104" t="b">
        <v>0</v>
      </c>
      <c r="J47" s="105"/>
      <c r="K47" s="105"/>
      <c r="L47" s="105"/>
      <c r="M47" s="105"/>
    </row>
    <row r="48">
      <c r="A48" s="5" t="s">
        <v>22</v>
      </c>
      <c r="B48" s="105"/>
      <c r="C48" s="105"/>
      <c r="D48" s="105"/>
      <c r="E48" s="105"/>
      <c r="F48" s="177"/>
      <c r="G48" s="105"/>
      <c r="H48" s="105"/>
      <c r="I48" s="104" t="b">
        <v>0</v>
      </c>
      <c r="J48" s="105"/>
      <c r="K48" s="105"/>
      <c r="L48" s="105"/>
      <c r="M48" s="105"/>
    </row>
    <row r="49">
      <c r="A49" s="5" t="s">
        <v>22</v>
      </c>
      <c r="B49" s="105"/>
      <c r="C49" s="105"/>
      <c r="D49" s="105"/>
      <c r="E49" s="105"/>
      <c r="F49" s="177"/>
      <c r="G49" s="105"/>
      <c r="H49" s="105"/>
      <c r="I49" s="104" t="b">
        <v>0</v>
      </c>
      <c r="J49" s="105"/>
      <c r="K49" s="105"/>
      <c r="L49" s="105"/>
      <c r="M49" s="105"/>
    </row>
    <row r="50">
      <c r="A50" s="5" t="s">
        <v>22</v>
      </c>
      <c r="B50" s="105"/>
      <c r="C50" s="105"/>
      <c r="D50" s="105"/>
      <c r="E50" s="105"/>
      <c r="F50" s="177"/>
      <c r="G50" s="105"/>
      <c r="H50" s="105"/>
      <c r="I50" s="104" t="b">
        <v>0</v>
      </c>
      <c r="J50" s="105"/>
      <c r="K50" s="105"/>
      <c r="L50" s="105"/>
      <c r="M50" s="105"/>
    </row>
    <row r="51">
      <c r="A51" s="5" t="s">
        <v>22</v>
      </c>
      <c r="B51" s="105"/>
      <c r="C51" s="105"/>
      <c r="D51" s="105"/>
      <c r="E51" s="105"/>
      <c r="F51" s="177"/>
      <c r="G51" s="105"/>
      <c r="H51" s="105"/>
      <c r="I51" s="104" t="b">
        <v>0</v>
      </c>
      <c r="J51" s="105"/>
      <c r="K51" s="105"/>
      <c r="L51" s="105"/>
      <c r="M51" s="105"/>
    </row>
    <row r="52">
      <c r="A52" s="5" t="s">
        <v>22</v>
      </c>
      <c r="B52" s="105"/>
      <c r="C52" s="105"/>
      <c r="D52" s="105"/>
      <c r="E52" s="105"/>
      <c r="F52" s="177"/>
      <c r="G52" s="105"/>
      <c r="H52" s="105"/>
      <c r="I52" s="104" t="b">
        <v>0</v>
      </c>
      <c r="J52" s="105"/>
      <c r="K52" s="105"/>
      <c r="L52" s="105"/>
      <c r="M52" s="105"/>
    </row>
    <row r="53">
      <c r="A53" s="5" t="s">
        <v>22</v>
      </c>
      <c r="B53" s="105"/>
      <c r="C53" s="105"/>
      <c r="D53" s="105"/>
      <c r="E53" s="105"/>
      <c r="F53" s="177"/>
      <c r="G53" s="105"/>
      <c r="H53" s="105"/>
      <c r="I53" s="104" t="b">
        <v>0</v>
      </c>
      <c r="J53" s="105"/>
      <c r="K53" s="105"/>
      <c r="L53" s="105"/>
      <c r="M53" s="105"/>
    </row>
    <row r="54">
      <c r="A54" s="5" t="s">
        <v>22</v>
      </c>
      <c r="B54" s="105"/>
      <c r="C54" s="105"/>
      <c r="D54" s="105"/>
      <c r="E54" s="105"/>
      <c r="F54" s="177"/>
      <c r="G54" s="105"/>
      <c r="H54" s="105"/>
      <c r="I54" s="104" t="b">
        <v>0</v>
      </c>
      <c r="J54" s="105"/>
      <c r="K54" s="105"/>
      <c r="L54" s="105"/>
      <c r="M54" s="105"/>
    </row>
    <row r="55">
      <c r="A55" s="5" t="s">
        <v>22</v>
      </c>
      <c r="B55" s="105"/>
      <c r="C55" s="105"/>
      <c r="D55" s="105"/>
      <c r="E55" s="105"/>
      <c r="F55" s="177"/>
      <c r="G55" s="105"/>
      <c r="H55" s="105"/>
      <c r="I55" s="104" t="b">
        <v>0</v>
      </c>
      <c r="J55" s="105"/>
      <c r="K55" s="105"/>
      <c r="L55" s="105"/>
      <c r="M55" s="105"/>
    </row>
    <row r="56">
      <c r="A56" s="5" t="s">
        <v>22</v>
      </c>
      <c r="B56" s="105"/>
      <c r="C56" s="105"/>
      <c r="D56" s="105"/>
      <c r="E56" s="105"/>
      <c r="F56" s="177"/>
      <c r="G56" s="105"/>
      <c r="H56" s="105"/>
      <c r="I56" s="104" t="b">
        <v>0</v>
      </c>
      <c r="J56" s="105"/>
      <c r="K56" s="105"/>
      <c r="L56" s="105"/>
      <c r="M56" s="105"/>
    </row>
    <row r="57">
      <c r="A57" s="5" t="s">
        <v>22</v>
      </c>
      <c r="B57" s="105"/>
      <c r="C57" s="105"/>
      <c r="D57" s="105"/>
      <c r="E57" s="105"/>
      <c r="F57" s="177"/>
      <c r="G57" s="105"/>
      <c r="H57" s="105"/>
      <c r="I57" s="104" t="b">
        <v>0</v>
      </c>
      <c r="J57" s="105"/>
      <c r="K57" s="105"/>
      <c r="L57" s="105"/>
      <c r="M57" s="105"/>
    </row>
    <row r="58">
      <c r="A58" s="5" t="s">
        <v>22</v>
      </c>
      <c r="B58" s="105"/>
      <c r="C58" s="105"/>
      <c r="D58" s="105"/>
      <c r="E58" s="105"/>
      <c r="F58" s="177"/>
      <c r="G58" s="105"/>
      <c r="H58" s="105"/>
      <c r="I58" s="104" t="b">
        <v>0</v>
      </c>
      <c r="J58" s="105"/>
      <c r="K58" s="105"/>
      <c r="L58" s="105"/>
      <c r="M58" s="105"/>
    </row>
    <row r="59">
      <c r="A59" s="5" t="s">
        <v>22</v>
      </c>
      <c r="B59" s="105"/>
      <c r="C59" s="105"/>
      <c r="D59" s="105"/>
      <c r="E59" s="105"/>
      <c r="F59" s="177"/>
      <c r="G59" s="105"/>
      <c r="H59" s="105"/>
      <c r="I59" s="104" t="b">
        <v>0</v>
      </c>
      <c r="J59" s="105"/>
      <c r="K59" s="105"/>
      <c r="L59" s="105"/>
      <c r="M59" s="105"/>
    </row>
    <row r="60">
      <c r="A60" s="5" t="s">
        <v>22</v>
      </c>
      <c r="B60" s="105"/>
      <c r="C60" s="105"/>
      <c r="D60" s="105"/>
      <c r="E60" s="105"/>
      <c r="F60" s="177"/>
      <c r="G60" s="105"/>
      <c r="H60" s="105"/>
      <c r="I60" s="104" t="b">
        <v>0</v>
      </c>
      <c r="J60" s="105"/>
      <c r="K60" s="105"/>
      <c r="L60" s="105"/>
      <c r="M60" s="105"/>
    </row>
    <row r="61">
      <c r="A61" s="5" t="s">
        <v>22</v>
      </c>
      <c r="B61" s="105"/>
      <c r="C61" s="105"/>
      <c r="D61" s="105"/>
      <c r="E61" s="105"/>
      <c r="F61" s="177"/>
      <c r="G61" s="105"/>
      <c r="H61" s="105"/>
      <c r="I61" s="104" t="b">
        <v>0</v>
      </c>
      <c r="J61" s="105"/>
      <c r="K61" s="105"/>
      <c r="L61" s="105"/>
      <c r="M61" s="105"/>
    </row>
    <row r="62">
      <c r="A62" s="5" t="s">
        <v>22</v>
      </c>
      <c r="B62" s="105"/>
      <c r="C62" s="105"/>
      <c r="D62" s="105"/>
      <c r="E62" s="105"/>
      <c r="F62" s="177"/>
      <c r="G62" s="105"/>
      <c r="H62" s="105"/>
      <c r="I62" s="104" t="b">
        <v>0</v>
      </c>
      <c r="J62" s="105"/>
      <c r="K62" s="105"/>
      <c r="L62" s="105"/>
      <c r="M62" s="105"/>
    </row>
    <row r="63">
      <c r="A63" s="5" t="s">
        <v>22</v>
      </c>
      <c r="B63" s="105"/>
      <c r="C63" s="105"/>
      <c r="D63" s="105"/>
      <c r="E63" s="105"/>
      <c r="F63" s="177"/>
      <c r="G63" s="105"/>
      <c r="H63" s="105"/>
      <c r="I63" s="104" t="b">
        <v>0</v>
      </c>
      <c r="J63" s="105"/>
      <c r="K63" s="105"/>
      <c r="L63" s="105"/>
      <c r="M63" s="105"/>
    </row>
    <row r="64">
      <c r="A64" s="5" t="s">
        <v>22</v>
      </c>
      <c r="B64" s="105"/>
      <c r="C64" s="105"/>
      <c r="D64" s="105"/>
      <c r="E64" s="105"/>
      <c r="F64" s="177"/>
      <c r="G64" s="105"/>
      <c r="H64" s="105"/>
      <c r="I64" s="104" t="b">
        <v>0</v>
      </c>
      <c r="J64" s="105"/>
      <c r="K64" s="105"/>
      <c r="L64" s="105"/>
      <c r="M64" s="105"/>
    </row>
    <row r="65">
      <c r="A65" s="5" t="s">
        <v>22</v>
      </c>
      <c r="B65" s="105"/>
      <c r="C65" s="105"/>
      <c r="D65" s="105"/>
      <c r="E65" s="105"/>
      <c r="F65" s="177"/>
      <c r="G65" s="105"/>
      <c r="H65" s="105"/>
      <c r="I65" s="104" t="b">
        <v>0</v>
      </c>
      <c r="J65" s="105"/>
      <c r="K65" s="105"/>
      <c r="L65" s="105"/>
      <c r="M65" s="105"/>
    </row>
    <row r="66">
      <c r="A66" s="5" t="s">
        <v>22</v>
      </c>
      <c r="B66" s="105"/>
      <c r="C66" s="105"/>
      <c r="D66" s="105"/>
      <c r="E66" s="105"/>
      <c r="F66" s="177"/>
      <c r="G66" s="105"/>
      <c r="H66" s="105"/>
      <c r="I66" s="104" t="b">
        <v>0</v>
      </c>
      <c r="J66" s="105"/>
      <c r="K66" s="105"/>
      <c r="L66" s="105"/>
      <c r="M66" s="105"/>
    </row>
    <row r="67">
      <c r="A67" s="5" t="s">
        <v>22</v>
      </c>
      <c r="B67" s="105"/>
      <c r="C67" s="105"/>
      <c r="D67" s="105"/>
      <c r="E67" s="105"/>
      <c r="F67" s="177"/>
      <c r="G67" s="105"/>
      <c r="H67" s="105"/>
      <c r="I67" s="104" t="b">
        <v>0</v>
      </c>
      <c r="J67" s="105"/>
      <c r="K67" s="105"/>
      <c r="L67" s="105"/>
      <c r="M67" s="105"/>
    </row>
    <row r="68">
      <c r="A68" s="5" t="s">
        <v>22</v>
      </c>
      <c r="B68" s="105"/>
      <c r="C68" s="105"/>
      <c r="D68" s="105"/>
      <c r="E68" s="105"/>
      <c r="F68" s="177"/>
      <c r="G68" s="105"/>
      <c r="H68" s="105"/>
      <c r="I68" s="104" t="b">
        <v>0</v>
      </c>
      <c r="J68" s="105"/>
      <c r="K68" s="105"/>
      <c r="L68" s="105"/>
      <c r="M68" s="105"/>
    </row>
    <row r="69">
      <c r="A69" s="5" t="s">
        <v>22</v>
      </c>
      <c r="B69" s="105"/>
      <c r="C69" s="105"/>
      <c r="D69" s="105"/>
      <c r="E69" s="105"/>
      <c r="F69" s="177"/>
      <c r="G69" s="105"/>
      <c r="H69" s="105"/>
      <c r="I69" s="104" t="b">
        <v>0</v>
      </c>
      <c r="J69" s="105"/>
      <c r="K69" s="105"/>
      <c r="L69" s="105"/>
      <c r="M69" s="105"/>
    </row>
    <row r="70">
      <c r="A70" s="5" t="s">
        <v>22</v>
      </c>
      <c r="B70" s="105"/>
      <c r="C70" s="105"/>
      <c r="D70" s="105"/>
      <c r="E70" s="105"/>
      <c r="F70" s="177"/>
      <c r="G70" s="105"/>
      <c r="H70" s="105"/>
      <c r="I70" s="104" t="b">
        <v>0</v>
      </c>
      <c r="J70" s="105"/>
      <c r="K70" s="105"/>
      <c r="L70" s="105"/>
      <c r="M70" s="105"/>
    </row>
    <row r="71">
      <c r="A71" s="5" t="s">
        <v>22</v>
      </c>
      <c r="B71" s="105"/>
      <c r="C71" s="105"/>
      <c r="D71" s="105"/>
      <c r="E71" s="105"/>
      <c r="F71" s="177"/>
      <c r="G71" s="105"/>
      <c r="H71" s="105"/>
      <c r="I71" s="104" t="b">
        <v>0</v>
      </c>
      <c r="J71" s="105"/>
      <c r="K71" s="105"/>
      <c r="L71" s="105"/>
      <c r="M71" s="105"/>
    </row>
    <row r="72">
      <c r="A72" s="5" t="s">
        <v>22</v>
      </c>
      <c r="B72" s="105"/>
      <c r="C72" s="105"/>
      <c r="D72" s="105"/>
      <c r="E72" s="105"/>
      <c r="F72" s="177"/>
      <c r="G72" s="105"/>
      <c r="H72" s="105"/>
      <c r="I72" s="104" t="b">
        <v>0</v>
      </c>
      <c r="J72" s="105"/>
      <c r="K72" s="105"/>
      <c r="L72" s="105"/>
      <c r="M72" s="105"/>
    </row>
    <row r="73">
      <c r="A73" s="5" t="s">
        <v>22</v>
      </c>
      <c r="B73" s="105"/>
      <c r="C73" s="105"/>
      <c r="D73" s="105"/>
      <c r="E73" s="105"/>
      <c r="F73" s="177"/>
      <c r="G73" s="105"/>
      <c r="H73" s="105"/>
      <c r="I73" s="104" t="b">
        <v>0</v>
      </c>
      <c r="J73" s="105"/>
      <c r="K73" s="105"/>
      <c r="L73" s="105"/>
      <c r="M73" s="105"/>
    </row>
    <row r="74">
      <c r="A74" s="5" t="s">
        <v>22</v>
      </c>
      <c r="B74" s="105"/>
      <c r="C74" s="105"/>
      <c r="D74" s="105"/>
      <c r="E74" s="105"/>
      <c r="F74" s="177"/>
      <c r="G74" s="105"/>
      <c r="H74" s="105"/>
      <c r="I74" s="104" t="b">
        <v>0</v>
      </c>
      <c r="J74" s="105"/>
      <c r="K74" s="105"/>
      <c r="L74" s="105"/>
      <c r="M74" s="105"/>
    </row>
    <row r="75">
      <c r="A75" s="5" t="s">
        <v>22</v>
      </c>
      <c r="B75" s="105"/>
      <c r="C75" s="105"/>
      <c r="D75" s="105"/>
      <c r="E75" s="105"/>
      <c r="F75" s="177"/>
      <c r="G75" s="105"/>
      <c r="H75" s="105"/>
      <c r="I75" s="104" t="b">
        <v>0</v>
      </c>
      <c r="J75" s="105"/>
      <c r="K75" s="105"/>
      <c r="L75" s="105"/>
      <c r="M75" s="105"/>
    </row>
    <row r="76">
      <c r="A76" s="5" t="s">
        <v>22</v>
      </c>
      <c r="B76" s="105"/>
      <c r="C76" s="105"/>
      <c r="D76" s="105"/>
      <c r="E76" s="105"/>
      <c r="F76" s="177"/>
      <c r="G76" s="105"/>
      <c r="H76" s="105"/>
      <c r="I76" s="104" t="b">
        <v>0</v>
      </c>
      <c r="J76" s="105"/>
      <c r="K76" s="105"/>
      <c r="L76" s="105"/>
      <c r="M76" s="105"/>
    </row>
    <row r="77">
      <c r="A77" s="5" t="s">
        <v>22</v>
      </c>
      <c r="B77" s="105"/>
      <c r="C77" s="105"/>
      <c r="D77" s="105"/>
      <c r="E77" s="105"/>
      <c r="F77" s="177"/>
      <c r="G77" s="105"/>
      <c r="H77" s="105"/>
      <c r="I77" s="104" t="b">
        <v>0</v>
      </c>
      <c r="J77" s="105"/>
      <c r="K77" s="105"/>
      <c r="L77" s="105"/>
      <c r="M77" s="105"/>
    </row>
    <row r="78">
      <c r="A78" s="5" t="s">
        <v>22</v>
      </c>
      <c r="B78" s="105"/>
      <c r="C78" s="105"/>
      <c r="D78" s="105"/>
      <c r="E78" s="105"/>
      <c r="F78" s="177"/>
      <c r="G78" s="105"/>
      <c r="H78" s="105"/>
      <c r="I78" s="104" t="b">
        <v>0</v>
      </c>
      <c r="J78" s="105"/>
      <c r="K78" s="105"/>
      <c r="L78" s="105"/>
      <c r="M78" s="105"/>
    </row>
    <row r="79">
      <c r="A79" s="5" t="s">
        <v>22</v>
      </c>
      <c r="B79" s="105"/>
      <c r="C79" s="105"/>
      <c r="D79" s="105"/>
      <c r="E79" s="105"/>
      <c r="F79" s="177"/>
      <c r="G79" s="105"/>
      <c r="H79" s="105"/>
      <c r="I79" s="104" t="b">
        <v>0</v>
      </c>
      <c r="J79" s="105"/>
      <c r="K79" s="105"/>
      <c r="L79" s="105"/>
      <c r="M79" s="105"/>
    </row>
    <row r="80">
      <c r="A80" s="5" t="s">
        <v>22</v>
      </c>
      <c r="B80" s="105"/>
      <c r="C80" s="105"/>
      <c r="D80" s="105"/>
      <c r="E80" s="105"/>
      <c r="F80" s="177"/>
      <c r="G80" s="105"/>
      <c r="H80" s="105"/>
      <c r="I80" s="104" t="b">
        <v>0</v>
      </c>
      <c r="J80" s="105"/>
      <c r="K80" s="105"/>
      <c r="L80" s="105"/>
      <c r="M80" s="105"/>
    </row>
    <row r="81">
      <c r="A81" s="5" t="s">
        <v>22</v>
      </c>
      <c r="B81" s="105"/>
      <c r="C81" s="105"/>
      <c r="D81" s="105"/>
      <c r="E81" s="105"/>
      <c r="F81" s="177"/>
      <c r="G81" s="105"/>
      <c r="H81" s="105"/>
      <c r="I81" s="104" t="b">
        <v>0</v>
      </c>
      <c r="J81" s="105"/>
      <c r="K81" s="105"/>
      <c r="L81" s="105"/>
      <c r="M81" s="105"/>
    </row>
    <row r="82">
      <c r="A82" s="5" t="s">
        <v>22</v>
      </c>
      <c r="B82" s="105"/>
      <c r="C82" s="105"/>
      <c r="D82" s="105"/>
      <c r="E82" s="105"/>
      <c r="F82" s="177"/>
      <c r="G82" s="105"/>
      <c r="H82" s="105"/>
      <c r="I82" s="104" t="b">
        <v>0</v>
      </c>
      <c r="J82" s="105"/>
      <c r="K82" s="105"/>
      <c r="L82" s="105"/>
      <c r="M82" s="105"/>
    </row>
    <row r="83">
      <c r="A83" s="5" t="s">
        <v>22</v>
      </c>
      <c r="B83" s="105"/>
      <c r="C83" s="105"/>
      <c r="D83" s="105"/>
      <c r="E83" s="105"/>
      <c r="F83" s="177"/>
      <c r="G83" s="105"/>
      <c r="H83" s="105"/>
      <c r="I83" s="104" t="b">
        <v>0</v>
      </c>
      <c r="J83" s="105"/>
      <c r="K83" s="105"/>
      <c r="L83" s="105"/>
      <c r="M83" s="105"/>
    </row>
    <row r="84">
      <c r="A84" s="5" t="s">
        <v>22</v>
      </c>
      <c r="B84" s="105"/>
      <c r="C84" s="105"/>
      <c r="D84" s="105"/>
      <c r="E84" s="105"/>
      <c r="F84" s="177"/>
      <c r="G84" s="105"/>
      <c r="H84" s="105"/>
      <c r="I84" s="104" t="b">
        <v>0</v>
      </c>
      <c r="J84" s="105"/>
      <c r="K84" s="105"/>
      <c r="L84" s="105"/>
      <c r="M84" s="105"/>
    </row>
  </sheetData>
  <dataValidations>
    <dataValidation type="list" allowBlank="1" showErrorMessage="1" sqref="D2:D84">
      <formula1>"Mech Combo,AutoCAD,CATIA,CREO,SOLIDWORKS,CIVIL ,DA,P-FSD,J-FSD,DM,DS,DADS,ST,CYBER-S,Others,Job,UIUX,AIML"</formula1>
    </dataValidation>
    <dataValidation type="list" allowBlank="1" showErrorMessage="1" sqref="K2:K84">
      <formula1>"EMI doc shared,EMI Rejected,Interested,Enrolled,Not Interested, Not Interested_Fees High,Plan Dropped,Joined Elsewhere,EMI Approved,FPL,Not Answering,Gone Cold,Switchedoff,Not Reachable,Disconnecting the call,EMI Applied,Doc Pending,Call Busy,Call back re"&amp;"quested"</formula1>
    </dataValidation>
    <dataValidation type="list" allowBlank="1" showErrorMessage="1" sqref="A2:A84">
      <formula1>"Sasi,Brindha,Dustin,Lakshmanan,Nithish"</formula1>
    </dataValidation>
    <dataValidation type="list" allowBlank="1" showErrorMessage="1" sqref="H2:H84 L2:L84">
      <formula1>"Cold,Warm,Hot,Super Hot,Lost,Not Connected,Won,Connected,Approved,Rejected"</formula1>
    </dataValidation>
    <dataValidation type="list" allowBlank="1" showErrorMessage="1" sqref="G2:G84">
      <formula1>"Not Answering,Not Interested,Interested,Demo Scheduled,Demo Completed,Enrolled,EMI Rejected,Interested_DNP,Wrong Number,Not Reachable,Joined Elsewhere,Followup,Call Back Requested,Call Busy,Future Prospect Leads,Disconnecting the call,Switchedoff,Looking "&amp;"for job,No Incoming,EMI Process"</formula1>
    </dataValidation>
    <dataValidation type="custom" allowBlank="1" showDropDown="1" sqref="F2:F84">
      <formula1>OR(NOT(ISERROR(DATEVALUE(F2))), AND(ISNUMBER(F2), LEFT(CELL("format", F2))="D"))</formula1>
    </dataValidation>
  </dataValidations>
  <drawing r:id="rId1"/>
</worksheet>
</file>